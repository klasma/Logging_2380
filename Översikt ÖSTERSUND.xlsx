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45730</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45730</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45730</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45730</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45730</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45730</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45730</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45730</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45730</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45730</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45730</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45730</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45730</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45730</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45730</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45730</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45730</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45730</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45730</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45730</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45730</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45730</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45730</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45730</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45730</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45730</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45730</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45730</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65938-2021</t>
        </is>
      </c>
      <c r="B42" s="1" t="n">
        <v>44517</v>
      </c>
      <c r="C42" s="1" t="n">
        <v>45730</v>
      </c>
      <c r="D42" t="inlineStr">
        <is>
          <t>JÄMTLANDS LÄN</t>
        </is>
      </c>
      <c r="E42" t="inlineStr">
        <is>
          <t>ÖSTERSUND</t>
        </is>
      </c>
      <c r="G42" t="n">
        <v>4.4</v>
      </c>
      <c r="H42" t="n">
        <v>4</v>
      </c>
      <c r="I42" t="n">
        <v>0</v>
      </c>
      <c r="J42" t="n">
        <v>4</v>
      </c>
      <c r="K42" t="n">
        <v>2</v>
      </c>
      <c r="L42" t="n">
        <v>0</v>
      </c>
      <c r="M42" t="n">
        <v>0</v>
      </c>
      <c r="N42" t="n">
        <v>0</v>
      </c>
      <c r="O42" t="n">
        <v>6</v>
      </c>
      <c r="P42" t="n">
        <v>2</v>
      </c>
      <c r="Q42" t="n">
        <v>7</v>
      </c>
      <c r="R42" s="2" t="inlineStr">
        <is>
          <t>Knärot
Sprickporing
Doftskinn
Garnlav
Talltita
Tretåig hackspett
Revlummer</t>
        </is>
      </c>
      <c r="S42">
        <f>HYPERLINK("https://klasma.github.io/Logging_2380/artfynd/A 65938-2021 artfynd.xlsx", "A 65938-2021")</f>
        <v/>
      </c>
      <c r="T42">
        <f>HYPERLINK("https://klasma.github.io/Logging_2380/kartor/A 65938-2021 karta.png", "A 65938-2021")</f>
        <v/>
      </c>
      <c r="U42">
        <f>HYPERLINK("https://klasma.github.io/Logging_2380/knärot/A 65938-2021 karta knärot.png", "A 65938-2021")</f>
        <v/>
      </c>
      <c r="V42">
        <f>HYPERLINK("https://klasma.github.io/Logging_2380/klagomål/A 65938-2021 FSC-klagomål.docx", "A 65938-2021")</f>
        <v/>
      </c>
      <c r="W42">
        <f>HYPERLINK("https://klasma.github.io/Logging_2380/klagomålsmail/A 65938-2021 FSC-klagomål mail.docx", "A 65938-2021")</f>
        <v/>
      </c>
      <c r="X42">
        <f>HYPERLINK("https://klasma.github.io/Logging_2380/tillsyn/A 65938-2021 tillsynsbegäran.docx", "A 65938-2021")</f>
        <v/>
      </c>
      <c r="Y42">
        <f>HYPERLINK("https://klasma.github.io/Logging_2380/tillsynsmail/A 65938-2021 tillsynsbegäran mail.docx", "A 65938-2021")</f>
        <v/>
      </c>
      <c r="Z42">
        <f>HYPERLINK("https://klasma.github.io/Logging_2380/fåglar/A 65938-2021 prioriterade fågelarter.docx", "A 65938-2021")</f>
        <v/>
      </c>
    </row>
    <row r="43" ht="15" customHeight="1">
      <c r="A43" t="inlineStr">
        <is>
          <t>A 3341-2023</t>
        </is>
      </c>
      <c r="B43" s="1" t="n">
        <v>44945</v>
      </c>
      <c r="C43" s="1" t="n">
        <v>45730</v>
      </c>
      <c r="D43" t="inlineStr">
        <is>
          <t>JÄMTLANDS LÄN</t>
        </is>
      </c>
      <c r="E43" t="inlineStr">
        <is>
          <t>ÖSTERSUND</t>
        </is>
      </c>
      <c r="G43" t="n">
        <v>12.3</v>
      </c>
      <c r="H43" t="n">
        <v>1</v>
      </c>
      <c r="I43" t="n">
        <v>3</v>
      </c>
      <c r="J43" t="n">
        <v>3</v>
      </c>
      <c r="K43" t="n">
        <v>0</v>
      </c>
      <c r="L43" t="n">
        <v>0</v>
      </c>
      <c r="M43" t="n">
        <v>0</v>
      </c>
      <c r="N43" t="n">
        <v>0</v>
      </c>
      <c r="O43" t="n">
        <v>3</v>
      </c>
      <c r="P43" t="n">
        <v>0</v>
      </c>
      <c r="Q43" t="n">
        <v>7</v>
      </c>
      <c r="R43" s="2" t="inlineStr">
        <is>
          <t>Grantaggsvamp
Granticka
Äggvaxskivling
Finbräken
Kransrams
Trådfräken
Blåsippa</t>
        </is>
      </c>
      <c r="S43">
        <f>HYPERLINK("https://klasma.github.io/Logging_2380/artfynd/A 3341-2023 artfynd.xlsx", "A 3341-2023")</f>
        <v/>
      </c>
      <c r="T43">
        <f>HYPERLINK("https://klasma.github.io/Logging_2380/kartor/A 3341-2023 karta.png", "A 3341-2023")</f>
        <v/>
      </c>
      <c r="V43">
        <f>HYPERLINK("https://klasma.github.io/Logging_2380/klagomål/A 3341-2023 FSC-klagomål.docx", "A 3341-2023")</f>
        <v/>
      </c>
      <c r="W43">
        <f>HYPERLINK("https://klasma.github.io/Logging_2380/klagomålsmail/A 3341-2023 FSC-klagomål mail.docx", "A 3341-2023")</f>
        <v/>
      </c>
      <c r="X43">
        <f>HYPERLINK("https://klasma.github.io/Logging_2380/tillsyn/A 3341-2023 tillsynsbegäran.docx", "A 3341-2023")</f>
        <v/>
      </c>
      <c r="Y43">
        <f>HYPERLINK("https://klasma.github.io/Logging_2380/tillsynsmail/A 3341-2023 tillsynsbegäran mail.docx", "A 3341-2023")</f>
        <v/>
      </c>
    </row>
    <row r="44" ht="15" customHeight="1">
      <c r="A44" t="inlineStr">
        <is>
          <t>A 8120-2023</t>
        </is>
      </c>
      <c r="B44" s="1" t="n">
        <v>44970</v>
      </c>
      <c r="C44" s="1" t="n">
        <v>45730</v>
      </c>
      <c r="D44" t="inlineStr">
        <is>
          <t>JÄMTLANDS LÄN</t>
        </is>
      </c>
      <c r="E44" t="inlineStr">
        <is>
          <t>ÖSTERSUND</t>
        </is>
      </c>
      <c r="G44" t="n">
        <v>4</v>
      </c>
      <c r="H44" t="n">
        <v>2</v>
      </c>
      <c r="I44" t="n">
        <v>3</v>
      </c>
      <c r="J44" t="n">
        <v>3</v>
      </c>
      <c r="K44" t="n">
        <v>1</v>
      </c>
      <c r="L44" t="n">
        <v>0</v>
      </c>
      <c r="M44" t="n">
        <v>0</v>
      </c>
      <c r="N44" t="n">
        <v>0</v>
      </c>
      <c r="O44" t="n">
        <v>4</v>
      </c>
      <c r="P44" t="n">
        <v>1</v>
      </c>
      <c r="Q44" t="n">
        <v>7</v>
      </c>
      <c r="R44" s="2" t="inlineStr">
        <is>
          <t>Knärot
Garnlav
Lunglav
Skogsfru
Bårdlav
Luddlav
Stuplav</t>
        </is>
      </c>
      <c r="S44">
        <f>HYPERLINK("https://klasma.github.io/Logging_2380/artfynd/A 8120-2023 artfynd.xlsx", "A 8120-2023")</f>
        <v/>
      </c>
      <c r="T44">
        <f>HYPERLINK("https://klasma.github.io/Logging_2380/kartor/A 8120-2023 karta.png", "A 8120-2023")</f>
        <v/>
      </c>
      <c r="U44">
        <f>HYPERLINK("https://klasma.github.io/Logging_2380/knärot/A 8120-2023 karta knärot.png", "A 8120-2023")</f>
        <v/>
      </c>
      <c r="V44">
        <f>HYPERLINK("https://klasma.github.io/Logging_2380/klagomål/A 8120-2023 FSC-klagomål.docx", "A 8120-2023")</f>
        <v/>
      </c>
      <c r="W44">
        <f>HYPERLINK("https://klasma.github.io/Logging_2380/klagomålsmail/A 8120-2023 FSC-klagomål mail.docx", "A 8120-2023")</f>
        <v/>
      </c>
      <c r="X44">
        <f>HYPERLINK("https://klasma.github.io/Logging_2380/tillsyn/A 8120-2023 tillsynsbegäran.docx", "A 8120-2023")</f>
        <v/>
      </c>
      <c r="Y44">
        <f>HYPERLINK("https://klasma.github.io/Logging_2380/tillsynsmail/A 8120-2023 tillsynsbegäran mail.docx", "A 8120-2023")</f>
        <v/>
      </c>
    </row>
    <row r="45" ht="15" customHeight="1">
      <c r="A45" t="inlineStr">
        <is>
          <t>A 16369-2023</t>
        </is>
      </c>
      <c r="B45" s="1" t="n">
        <v>45028</v>
      </c>
      <c r="C45" s="1" t="n">
        <v>45730</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16688-2023</t>
        </is>
      </c>
      <c r="B46" s="1" t="n">
        <v>45028</v>
      </c>
      <c r="C46" s="1" t="n">
        <v>45730</v>
      </c>
      <c r="D46" t="inlineStr">
        <is>
          <t>JÄMTLANDS LÄN</t>
        </is>
      </c>
      <c r="E46" t="inlineStr">
        <is>
          <t>ÖSTERSUND</t>
        </is>
      </c>
      <c r="G46" t="n">
        <v>5</v>
      </c>
      <c r="H46" t="n">
        <v>1</v>
      </c>
      <c r="I46" t="n">
        <v>3</v>
      </c>
      <c r="J46" t="n">
        <v>2</v>
      </c>
      <c r="K46" t="n">
        <v>0</v>
      </c>
      <c r="L46" t="n">
        <v>1</v>
      </c>
      <c r="M46" t="n">
        <v>0</v>
      </c>
      <c r="N46" t="n">
        <v>0</v>
      </c>
      <c r="O46" t="n">
        <v>3</v>
      </c>
      <c r="P46" t="n">
        <v>1</v>
      </c>
      <c r="Q46" t="n">
        <v>7</v>
      </c>
      <c r="R46" s="2" t="inlineStr">
        <is>
          <t>Trolldruvemätare
Grantaggsvamp
Persiljespindling
Kransrams
Svart trolldruva
Underviol
Blåsippa</t>
        </is>
      </c>
      <c r="S46">
        <f>HYPERLINK("https://klasma.github.io/Logging_2380/artfynd/A 16688-2023 artfynd.xlsx", "A 16688-2023")</f>
        <v/>
      </c>
      <c r="T46">
        <f>HYPERLINK("https://klasma.github.io/Logging_2380/kartor/A 16688-2023 karta.png", "A 16688-2023")</f>
        <v/>
      </c>
      <c r="V46">
        <f>HYPERLINK("https://klasma.github.io/Logging_2380/klagomål/A 16688-2023 FSC-klagomål.docx", "A 16688-2023")</f>
        <v/>
      </c>
      <c r="W46">
        <f>HYPERLINK("https://klasma.github.io/Logging_2380/klagomålsmail/A 16688-2023 FSC-klagomål mail.docx", "A 16688-2023")</f>
        <v/>
      </c>
      <c r="X46">
        <f>HYPERLINK("https://klasma.github.io/Logging_2380/tillsyn/A 16688-2023 tillsynsbegäran.docx", "A 16688-2023")</f>
        <v/>
      </c>
      <c r="Y46">
        <f>HYPERLINK("https://klasma.github.io/Logging_2380/tillsynsmail/A 16688-2023 tillsynsbegäran mail.docx", "A 16688-2023")</f>
        <v/>
      </c>
    </row>
    <row r="47" ht="15" customHeight="1">
      <c r="A47" t="inlineStr">
        <is>
          <t>A 40777-2023</t>
        </is>
      </c>
      <c r="B47" s="1" t="n">
        <v>45170</v>
      </c>
      <c r="C47" s="1" t="n">
        <v>45730</v>
      </c>
      <c r="D47" t="inlineStr">
        <is>
          <t>JÄMTLANDS LÄN</t>
        </is>
      </c>
      <c r="E47" t="inlineStr">
        <is>
          <t>ÖSTERSUND</t>
        </is>
      </c>
      <c r="F47" t="inlineStr">
        <is>
          <t>SCA</t>
        </is>
      </c>
      <c r="G47" t="n">
        <v>16.4</v>
      </c>
      <c r="H47" t="n">
        <v>2</v>
      </c>
      <c r="I47" t="n">
        <v>1</v>
      </c>
      <c r="J47" t="n">
        <v>4</v>
      </c>
      <c r="K47" t="n">
        <v>1</v>
      </c>
      <c r="L47" t="n">
        <v>0</v>
      </c>
      <c r="M47" t="n">
        <v>0</v>
      </c>
      <c r="N47" t="n">
        <v>0</v>
      </c>
      <c r="O47" t="n">
        <v>5</v>
      </c>
      <c r="P47" t="n">
        <v>1</v>
      </c>
      <c r="Q47" t="n">
        <v>7</v>
      </c>
      <c r="R47" s="2" t="inlineStr">
        <is>
          <t>Doftticka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row>
    <row r="48" ht="15" customHeight="1">
      <c r="A48" t="inlineStr">
        <is>
          <t>A 60852-2023</t>
        </is>
      </c>
      <c r="B48" s="1" t="n">
        <v>45260</v>
      </c>
      <c r="C48" s="1" t="n">
        <v>45730</v>
      </c>
      <c r="D48" t="inlineStr">
        <is>
          <t>JÄMTLANDS LÄN</t>
        </is>
      </c>
      <c r="E48" t="inlineStr">
        <is>
          <t>ÖSTERSUND</t>
        </is>
      </c>
      <c r="G48" t="n">
        <v>19.1</v>
      </c>
      <c r="H48" t="n">
        <v>3</v>
      </c>
      <c r="I48" t="n">
        <v>3</v>
      </c>
      <c r="J48" t="n">
        <v>2</v>
      </c>
      <c r="K48" t="n">
        <v>0</v>
      </c>
      <c r="L48" t="n">
        <v>0</v>
      </c>
      <c r="M48" t="n">
        <v>0</v>
      </c>
      <c r="N48" t="n">
        <v>0</v>
      </c>
      <c r="O48" t="n">
        <v>2</v>
      </c>
      <c r="P48" t="n">
        <v>0</v>
      </c>
      <c r="Q48" t="n">
        <v>7</v>
      </c>
      <c r="R48" s="2" t="inlineStr">
        <is>
          <t>Granticka
Ullticka
Guckusko
Kransrams
Ögonpyrola
Blåsippa
Äkta lopplummer</t>
        </is>
      </c>
      <c r="S48">
        <f>HYPERLINK("https://klasma.github.io/Logging_2380/artfynd/A 60852-2023 artfynd.xlsx", "A 60852-2023")</f>
        <v/>
      </c>
      <c r="T48">
        <f>HYPERLINK("https://klasma.github.io/Logging_2380/kartor/A 60852-2023 karta.png", "A 60852-2023")</f>
        <v/>
      </c>
      <c r="V48">
        <f>HYPERLINK("https://klasma.github.io/Logging_2380/klagomål/A 60852-2023 FSC-klagomål.docx", "A 60852-2023")</f>
        <v/>
      </c>
      <c r="W48">
        <f>HYPERLINK("https://klasma.github.io/Logging_2380/klagomålsmail/A 60852-2023 FSC-klagomål mail.docx", "A 60852-2023")</f>
        <v/>
      </c>
      <c r="X48">
        <f>HYPERLINK("https://klasma.github.io/Logging_2380/tillsyn/A 60852-2023 tillsynsbegäran.docx", "A 60852-2023")</f>
        <v/>
      </c>
      <c r="Y48">
        <f>HYPERLINK("https://klasma.github.io/Logging_2380/tillsynsmail/A 60852-2023 tillsynsbegäran mail.docx", "A 60852-2023")</f>
        <v/>
      </c>
    </row>
    <row r="49" ht="15" customHeight="1">
      <c r="A49" t="inlineStr">
        <is>
          <t>A 17716-2024</t>
        </is>
      </c>
      <c r="B49" s="1" t="n">
        <v>45415</v>
      </c>
      <c r="C49" s="1" t="n">
        <v>45730</v>
      </c>
      <c r="D49" t="inlineStr">
        <is>
          <t>JÄMTLANDS LÄN</t>
        </is>
      </c>
      <c r="E49" t="inlineStr">
        <is>
          <t>ÖSTERSUND</t>
        </is>
      </c>
      <c r="G49" t="n">
        <v>1.4</v>
      </c>
      <c r="H49" t="n">
        <v>7</v>
      </c>
      <c r="I49" t="n">
        <v>2</v>
      </c>
      <c r="J49" t="n">
        <v>1</v>
      </c>
      <c r="K49" t="n">
        <v>1</v>
      </c>
      <c r="L49" t="n">
        <v>0</v>
      </c>
      <c r="M49" t="n">
        <v>0</v>
      </c>
      <c r="N49" t="n">
        <v>0</v>
      </c>
      <c r="O49" t="n">
        <v>2</v>
      </c>
      <c r="P49" t="n">
        <v>1</v>
      </c>
      <c r="Q49" t="n">
        <v>7</v>
      </c>
      <c r="R49" s="2" t="inlineStr">
        <is>
          <t>Knärot
Spillkråka
Spindelblomster
Tvåblad
Tjäder
Fläcknycklar
Blåsippa</t>
        </is>
      </c>
      <c r="S49">
        <f>HYPERLINK("https://klasma.github.io/Logging_2380/artfynd/A 17716-2024 artfynd.xlsx", "A 17716-2024")</f>
        <v/>
      </c>
      <c r="T49">
        <f>HYPERLINK("https://klasma.github.io/Logging_2380/kartor/A 17716-2024 karta.png", "A 17716-2024")</f>
        <v/>
      </c>
      <c r="U49">
        <f>HYPERLINK("https://klasma.github.io/Logging_2380/knärot/A 17716-2024 karta knärot.png", "A 17716-2024")</f>
        <v/>
      </c>
      <c r="V49">
        <f>HYPERLINK("https://klasma.github.io/Logging_2380/klagomål/A 17716-2024 FSC-klagomål.docx", "A 17716-2024")</f>
        <v/>
      </c>
      <c r="W49">
        <f>HYPERLINK("https://klasma.github.io/Logging_2380/klagomålsmail/A 17716-2024 FSC-klagomål mail.docx", "A 17716-2024")</f>
        <v/>
      </c>
      <c r="X49">
        <f>HYPERLINK("https://klasma.github.io/Logging_2380/tillsyn/A 17716-2024 tillsynsbegäran.docx", "A 17716-2024")</f>
        <v/>
      </c>
      <c r="Y49">
        <f>HYPERLINK("https://klasma.github.io/Logging_2380/tillsynsmail/A 17716-2024 tillsynsbegäran mail.docx", "A 17716-2024")</f>
        <v/>
      </c>
      <c r="Z49">
        <f>HYPERLINK("https://klasma.github.io/Logging_2380/fåglar/A 17716-2024 prioriterade fågelarter.docx", "A 17716-2024")</f>
        <v/>
      </c>
    </row>
    <row r="50" ht="15" customHeight="1">
      <c r="A50" t="inlineStr">
        <is>
          <t>A 12712-2021</t>
        </is>
      </c>
      <c r="B50" s="1" t="n">
        <v>44270</v>
      </c>
      <c r="C50" s="1" t="n">
        <v>45730</v>
      </c>
      <c r="D50" t="inlineStr">
        <is>
          <t>JÄMTLANDS LÄN</t>
        </is>
      </c>
      <c r="E50" t="inlineStr">
        <is>
          <t>ÖSTERSUND</t>
        </is>
      </c>
      <c r="G50" t="n">
        <v>8</v>
      </c>
      <c r="H50" t="n">
        <v>2</v>
      </c>
      <c r="I50" t="n">
        <v>3</v>
      </c>
      <c r="J50" t="n">
        <v>1</v>
      </c>
      <c r="K50" t="n">
        <v>0</v>
      </c>
      <c r="L50" t="n">
        <v>1</v>
      </c>
      <c r="M50" t="n">
        <v>0</v>
      </c>
      <c r="N50" t="n">
        <v>0</v>
      </c>
      <c r="O50" t="n">
        <v>2</v>
      </c>
      <c r="P50" t="n">
        <v>1</v>
      </c>
      <c r="Q50" t="n">
        <v>6</v>
      </c>
      <c r="R50" s="2" t="inlineStr">
        <is>
          <t>Trolldruvemätare
Talltita
Kransrams
Tibast
Underviol
Blåsippa</t>
        </is>
      </c>
      <c r="S50">
        <f>HYPERLINK("https://klasma.github.io/Logging_2380/artfynd/A 12712-2021 artfynd.xlsx", "A 12712-2021")</f>
        <v/>
      </c>
      <c r="T50">
        <f>HYPERLINK("https://klasma.github.io/Logging_2380/kartor/A 12712-2021 karta.png", "A 12712-2021")</f>
        <v/>
      </c>
      <c r="V50">
        <f>HYPERLINK("https://klasma.github.io/Logging_2380/klagomål/A 12712-2021 FSC-klagomål.docx", "A 12712-2021")</f>
        <v/>
      </c>
      <c r="W50">
        <f>HYPERLINK("https://klasma.github.io/Logging_2380/klagomålsmail/A 12712-2021 FSC-klagomål mail.docx", "A 12712-2021")</f>
        <v/>
      </c>
      <c r="X50">
        <f>HYPERLINK("https://klasma.github.io/Logging_2380/tillsyn/A 12712-2021 tillsynsbegäran.docx", "A 12712-2021")</f>
        <v/>
      </c>
      <c r="Y50">
        <f>HYPERLINK("https://klasma.github.io/Logging_2380/tillsynsmail/A 12712-2021 tillsynsbegäran mail.docx", "A 12712-2021")</f>
        <v/>
      </c>
      <c r="Z50">
        <f>HYPERLINK("https://klasma.github.io/Logging_2380/fåglar/A 12712-2021 prioriterade fågelarter.docx", "A 12712-2021")</f>
        <v/>
      </c>
    </row>
    <row r="51" ht="15" customHeight="1">
      <c r="A51" t="inlineStr">
        <is>
          <t>A 24523-2021</t>
        </is>
      </c>
      <c r="B51" s="1" t="n">
        <v>44337</v>
      </c>
      <c r="C51" s="1" t="n">
        <v>45730</v>
      </c>
      <c r="D51" t="inlineStr">
        <is>
          <t>JÄMTLANDS LÄN</t>
        </is>
      </c>
      <c r="E51" t="inlineStr">
        <is>
          <t>ÖSTERSUND</t>
        </is>
      </c>
      <c r="G51" t="n">
        <v>9.300000000000001</v>
      </c>
      <c r="H51" t="n">
        <v>2</v>
      </c>
      <c r="I51" t="n">
        <v>3</v>
      </c>
      <c r="J51" t="n">
        <v>2</v>
      </c>
      <c r="K51" t="n">
        <v>0</v>
      </c>
      <c r="L51" t="n">
        <v>0</v>
      </c>
      <c r="M51" t="n">
        <v>0</v>
      </c>
      <c r="N51" t="n">
        <v>0</v>
      </c>
      <c r="O51" t="n">
        <v>2</v>
      </c>
      <c r="P51" t="n">
        <v>0</v>
      </c>
      <c r="Q51" t="n">
        <v>6</v>
      </c>
      <c r="R51" s="2" t="inlineStr">
        <is>
          <t>Garnlav
Spillkråka
Svart trolldruva
Tibast
Underviol
Blåsippa</t>
        </is>
      </c>
      <c r="S51">
        <f>HYPERLINK("https://klasma.github.io/Logging_2380/artfynd/A 24523-2021 artfynd.xlsx", "A 24523-2021")</f>
        <v/>
      </c>
      <c r="T51">
        <f>HYPERLINK("https://klasma.github.io/Logging_2380/kartor/A 24523-2021 karta.png", "A 24523-2021")</f>
        <v/>
      </c>
      <c r="V51">
        <f>HYPERLINK("https://klasma.github.io/Logging_2380/klagomål/A 24523-2021 FSC-klagomål.docx", "A 24523-2021")</f>
        <v/>
      </c>
      <c r="W51">
        <f>HYPERLINK("https://klasma.github.io/Logging_2380/klagomålsmail/A 24523-2021 FSC-klagomål mail.docx", "A 24523-2021")</f>
        <v/>
      </c>
      <c r="X51">
        <f>HYPERLINK("https://klasma.github.io/Logging_2380/tillsyn/A 24523-2021 tillsynsbegäran.docx", "A 24523-2021")</f>
        <v/>
      </c>
      <c r="Y51">
        <f>HYPERLINK("https://klasma.github.io/Logging_2380/tillsynsmail/A 24523-2021 tillsynsbegäran mail.docx", "A 24523-2021")</f>
        <v/>
      </c>
      <c r="Z51">
        <f>HYPERLINK("https://klasma.github.io/Logging_2380/fåglar/A 24523-2021 prioriterade fågelarter.docx", "A 24523-2021")</f>
        <v/>
      </c>
    </row>
    <row r="52" ht="15" customHeight="1">
      <c r="A52" t="inlineStr">
        <is>
          <t>A 28512-2021</t>
        </is>
      </c>
      <c r="B52" s="1" t="n">
        <v>44356</v>
      </c>
      <c r="C52" s="1" t="n">
        <v>45730</v>
      </c>
      <c r="D52" t="inlineStr">
        <is>
          <t>JÄMTLANDS LÄN</t>
        </is>
      </c>
      <c r="E52" t="inlineStr">
        <is>
          <t>ÖSTERSUND</t>
        </is>
      </c>
      <c r="G52" t="n">
        <v>1.5</v>
      </c>
      <c r="H52" t="n">
        <v>2</v>
      </c>
      <c r="I52" t="n">
        <v>1</v>
      </c>
      <c r="J52" t="n">
        <v>5</v>
      </c>
      <c r="K52" t="n">
        <v>0</v>
      </c>
      <c r="L52" t="n">
        <v>0</v>
      </c>
      <c r="M52" t="n">
        <v>0</v>
      </c>
      <c r="N52" t="n">
        <v>0</v>
      </c>
      <c r="O52" t="n">
        <v>5</v>
      </c>
      <c r="P52" t="n">
        <v>0</v>
      </c>
      <c r="Q52" t="n">
        <v>6</v>
      </c>
      <c r="R52" s="2" t="inlineStr">
        <is>
          <t>Garnlav
Lunglav
Skrovellav
Talltita
Tretåig hackspett
Luddlav</t>
        </is>
      </c>
      <c r="S52">
        <f>HYPERLINK("https://klasma.github.io/Logging_2380/artfynd/A 28512-2021 artfynd.xlsx", "A 28512-2021")</f>
        <v/>
      </c>
      <c r="T52">
        <f>HYPERLINK("https://klasma.github.io/Logging_2380/kartor/A 28512-2021 karta.png", "A 28512-2021")</f>
        <v/>
      </c>
      <c r="U52">
        <f>HYPERLINK("https://klasma.github.io/Logging_2380/knärot/A 28512-2021 karta knärot.png", "A 28512-2021")</f>
        <v/>
      </c>
      <c r="V52">
        <f>HYPERLINK("https://klasma.github.io/Logging_2380/klagomål/A 28512-2021 FSC-klagomål.docx", "A 28512-2021")</f>
        <v/>
      </c>
      <c r="W52">
        <f>HYPERLINK("https://klasma.github.io/Logging_2380/klagomålsmail/A 28512-2021 FSC-klagomål mail.docx", "A 28512-2021")</f>
        <v/>
      </c>
      <c r="X52">
        <f>HYPERLINK("https://klasma.github.io/Logging_2380/tillsyn/A 28512-2021 tillsynsbegäran.docx", "A 28512-2021")</f>
        <v/>
      </c>
      <c r="Y52">
        <f>HYPERLINK("https://klasma.github.io/Logging_2380/tillsynsmail/A 28512-2021 tillsynsbegäran mail.docx", "A 28512-2021")</f>
        <v/>
      </c>
      <c r="Z52">
        <f>HYPERLINK("https://klasma.github.io/Logging_2380/fåglar/A 28512-2021 prioriterade fågelarter.docx", "A 28512-2021")</f>
        <v/>
      </c>
    </row>
    <row r="53" ht="15" customHeight="1">
      <c r="A53" t="inlineStr">
        <is>
          <t>A 376-2023</t>
        </is>
      </c>
      <c r="B53" s="1" t="n">
        <v>44929</v>
      </c>
      <c r="C53" s="1" t="n">
        <v>45730</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45730</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54508-2024</t>
        </is>
      </c>
      <c r="B55" s="1" t="n">
        <v>45617</v>
      </c>
      <c r="C55" s="1" t="n">
        <v>45730</v>
      </c>
      <c r="D55" t="inlineStr">
        <is>
          <t>JÄMTLANDS LÄN</t>
        </is>
      </c>
      <c r="E55" t="inlineStr">
        <is>
          <t>ÖSTERSUND</t>
        </is>
      </c>
      <c r="G55" t="n">
        <v>7.6</v>
      </c>
      <c r="H55" t="n">
        <v>3</v>
      </c>
      <c r="I55" t="n">
        <v>0</v>
      </c>
      <c r="J55" t="n">
        <v>5</v>
      </c>
      <c r="K55" t="n">
        <v>1</v>
      </c>
      <c r="L55" t="n">
        <v>0</v>
      </c>
      <c r="M55" t="n">
        <v>0</v>
      </c>
      <c r="N55" t="n">
        <v>0</v>
      </c>
      <c r="O55" t="n">
        <v>6</v>
      </c>
      <c r="P55" t="n">
        <v>1</v>
      </c>
      <c r="Q55" t="n">
        <v>6</v>
      </c>
      <c r="R55" s="2" t="inlineStr">
        <is>
          <t>Knärot
Granticka
Harticka
Spillkråka
Talltita
Ullticka</t>
        </is>
      </c>
      <c r="S55">
        <f>HYPERLINK("https://klasma.github.io/Logging_2380/artfynd/A 54508-2024 artfynd.xlsx", "A 54508-2024")</f>
        <v/>
      </c>
      <c r="T55">
        <f>HYPERLINK("https://klasma.github.io/Logging_2380/kartor/A 54508-2024 karta.png", "A 54508-2024")</f>
        <v/>
      </c>
      <c r="U55">
        <f>HYPERLINK("https://klasma.github.io/Logging_2380/knärot/A 54508-2024 karta knärot.png", "A 54508-2024")</f>
        <v/>
      </c>
      <c r="V55">
        <f>HYPERLINK("https://klasma.github.io/Logging_2380/klagomål/A 54508-2024 FSC-klagomål.docx", "A 54508-2024")</f>
        <v/>
      </c>
      <c r="W55">
        <f>HYPERLINK("https://klasma.github.io/Logging_2380/klagomålsmail/A 54508-2024 FSC-klagomål mail.docx", "A 54508-2024")</f>
        <v/>
      </c>
      <c r="X55">
        <f>HYPERLINK("https://klasma.github.io/Logging_2380/tillsyn/A 54508-2024 tillsynsbegäran.docx", "A 54508-2024")</f>
        <v/>
      </c>
      <c r="Y55">
        <f>HYPERLINK("https://klasma.github.io/Logging_2380/tillsynsmail/A 54508-2024 tillsynsbegäran mail.docx", "A 54508-2024")</f>
        <v/>
      </c>
      <c r="Z55">
        <f>HYPERLINK("https://klasma.github.io/Logging_2380/fåglar/A 54508-2024 prioriterade fågelarter.docx", "A 54508-2024")</f>
        <v/>
      </c>
    </row>
    <row r="56" ht="15" customHeight="1">
      <c r="A56" t="inlineStr">
        <is>
          <t>A 2513-2025</t>
        </is>
      </c>
      <c r="B56" s="1" t="n">
        <v>45674</v>
      </c>
      <c r="C56" s="1" t="n">
        <v>45730</v>
      </c>
      <c r="D56" t="inlineStr">
        <is>
          <t>JÄMTLANDS LÄN</t>
        </is>
      </c>
      <c r="E56" t="inlineStr">
        <is>
          <t>ÖSTERSUND</t>
        </is>
      </c>
      <c r="G56" t="n">
        <v>30</v>
      </c>
      <c r="H56" t="n">
        <v>2</v>
      </c>
      <c r="I56" t="n">
        <v>1</v>
      </c>
      <c r="J56" t="n">
        <v>5</v>
      </c>
      <c r="K56" t="n">
        <v>0</v>
      </c>
      <c r="L56" t="n">
        <v>0</v>
      </c>
      <c r="M56" t="n">
        <v>0</v>
      </c>
      <c r="N56" t="n">
        <v>0</v>
      </c>
      <c r="O56" t="n">
        <v>5</v>
      </c>
      <c r="P56" t="n">
        <v>0</v>
      </c>
      <c r="Q56" t="n">
        <v>6</v>
      </c>
      <c r="R56" s="2" t="inlineStr">
        <is>
          <t>Garnlav
Granticka
Lunglav
Spillkråka
Tretåig hackspett
Stor aspticka</t>
        </is>
      </c>
      <c r="S56">
        <f>HYPERLINK("https://klasma.github.io/Logging_2380/artfynd/A 2513-2025 artfynd.xlsx", "A 2513-2025")</f>
        <v/>
      </c>
      <c r="T56">
        <f>HYPERLINK("https://klasma.github.io/Logging_2380/kartor/A 2513-2025 karta.png", "A 2513-2025")</f>
        <v/>
      </c>
      <c r="V56">
        <f>HYPERLINK("https://klasma.github.io/Logging_2380/klagomål/A 2513-2025 FSC-klagomål.docx", "A 2513-2025")</f>
        <v/>
      </c>
      <c r="W56">
        <f>HYPERLINK("https://klasma.github.io/Logging_2380/klagomålsmail/A 2513-2025 FSC-klagomål mail.docx", "A 2513-2025")</f>
        <v/>
      </c>
      <c r="X56">
        <f>HYPERLINK("https://klasma.github.io/Logging_2380/tillsyn/A 2513-2025 tillsynsbegäran.docx", "A 2513-2025")</f>
        <v/>
      </c>
      <c r="Y56">
        <f>HYPERLINK("https://klasma.github.io/Logging_2380/tillsynsmail/A 2513-2025 tillsynsbegäran mail.docx", "A 2513-2025")</f>
        <v/>
      </c>
      <c r="Z56">
        <f>HYPERLINK("https://klasma.github.io/Logging_2380/fåglar/A 2513-2025 prioriterade fågelarter.docx", "A 2513-2025")</f>
        <v/>
      </c>
    </row>
    <row r="57" ht="15" customHeight="1">
      <c r="A57" t="inlineStr">
        <is>
          <t>A 27577-2022</t>
        </is>
      </c>
      <c r="B57" s="1" t="n">
        <v>44742</v>
      </c>
      <c r="C57" s="1" t="n">
        <v>45730</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47392-2022</t>
        </is>
      </c>
      <c r="B58" s="1" t="n">
        <v>44851</v>
      </c>
      <c r="C58" s="1" t="n">
        <v>45730</v>
      </c>
      <c r="D58" t="inlineStr">
        <is>
          <t>JÄMTLANDS LÄN</t>
        </is>
      </c>
      <c r="E58" t="inlineStr">
        <is>
          <t>ÖSTERSUND</t>
        </is>
      </c>
      <c r="G58" t="n">
        <v>1.6</v>
      </c>
      <c r="H58" t="n">
        <v>3</v>
      </c>
      <c r="I58" t="n">
        <v>3</v>
      </c>
      <c r="J58" t="n">
        <v>1</v>
      </c>
      <c r="K58" t="n">
        <v>1</v>
      </c>
      <c r="L58" t="n">
        <v>0</v>
      </c>
      <c r="M58" t="n">
        <v>0</v>
      </c>
      <c r="N58" t="n">
        <v>0</v>
      </c>
      <c r="O58" t="n">
        <v>2</v>
      </c>
      <c r="P58" t="n">
        <v>1</v>
      </c>
      <c r="Q58" t="n">
        <v>5</v>
      </c>
      <c r="R58" s="2" t="inlineStr">
        <is>
          <t>Knärot
Garnlav
Guckusko
Plattlummer
Trådfräken</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56096-2022</t>
        </is>
      </c>
      <c r="B59" s="1" t="n">
        <v>44889</v>
      </c>
      <c r="C59" s="1" t="n">
        <v>45730</v>
      </c>
      <c r="D59" t="inlineStr">
        <is>
          <t>JÄMTLANDS LÄN</t>
        </is>
      </c>
      <c r="E59" t="inlineStr">
        <is>
          <t>ÖSTERSUND</t>
        </is>
      </c>
      <c r="F59" t="inlineStr">
        <is>
          <t>Övriga Aktiebolag</t>
        </is>
      </c>
      <c r="G59" t="n">
        <v>15.1</v>
      </c>
      <c r="H59" t="n">
        <v>1</v>
      </c>
      <c r="I59" t="n">
        <v>0</v>
      </c>
      <c r="J59" t="n">
        <v>4</v>
      </c>
      <c r="K59" t="n">
        <v>0</v>
      </c>
      <c r="L59" t="n">
        <v>0</v>
      </c>
      <c r="M59" t="n">
        <v>0</v>
      </c>
      <c r="N59" t="n">
        <v>0</v>
      </c>
      <c r="O59" t="n">
        <v>4</v>
      </c>
      <c r="P59" t="n">
        <v>0</v>
      </c>
      <c r="Q59" t="n">
        <v>5</v>
      </c>
      <c r="R59" s="2" t="inlineStr">
        <is>
          <t>Brunklöver
Dvärgbägarlav
Garnlav
Ullticka
Revlummer</t>
        </is>
      </c>
      <c r="S59">
        <f>HYPERLINK("https://klasma.github.io/Logging_2380/artfynd/A 56096-2022 artfynd.xlsx", "A 56096-2022")</f>
        <v/>
      </c>
      <c r="T59">
        <f>HYPERLINK("https://klasma.github.io/Logging_2380/kartor/A 56096-2022 karta.png", "A 56096-2022")</f>
        <v/>
      </c>
      <c r="V59">
        <f>HYPERLINK("https://klasma.github.io/Logging_2380/klagomål/A 56096-2022 FSC-klagomål.docx", "A 56096-2022")</f>
        <v/>
      </c>
      <c r="W59">
        <f>HYPERLINK("https://klasma.github.io/Logging_2380/klagomålsmail/A 56096-2022 FSC-klagomål mail.docx", "A 56096-2022")</f>
        <v/>
      </c>
      <c r="X59">
        <f>HYPERLINK("https://klasma.github.io/Logging_2380/tillsyn/A 56096-2022 tillsynsbegäran.docx", "A 56096-2022")</f>
        <v/>
      </c>
      <c r="Y59">
        <f>HYPERLINK("https://klasma.github.io/Logging_2380/tillsynsmail/A 56096-2022 tillsynsbegäran mail.docx", "A 56096-2022")</f>
        <v/>
      </c>
    </row>
    <row r="60" ht="15" customHeight="1">
      <c r="A60" t="inlineStr">
        <is>
          <t>A 5043-2023</t>
        </is>
      </c>
      <c r="B60" s="1" t="n">
        <v>44956</v>
      </c>
      <c r="C60" s="1" t="n">
        <v>45730</v>
      </c>
      <c r="D60" t="inlineStr">
        <is>
          <t>JÄMTLANDS LÄN</t>
        </is>
      </c>
      <c r="E60" t="inlineStr">
        <is>
          <t>ÖSTERSUND</t>
        </is>
      </c>
      <c r="G60" t="n">
        <v>0.8</v>
      </c>
      <c r="H60" t="n">
        <v>2</v>
      </c>
      <c r="I60" t="n">
        <v>2</v>
      </c>
      <c r="J60" t="n">
        <v>1</v>
      </c>
      <c r="K60" t="n">
        <v>0</v>
      </c>
      <c r="L60" t="n">
        <v>0</v>
      </c>
      <c r="M60" t="n">
        <v>0</v>
      </c>
      <c r="N60" t="n">
        <v>0</v>
      </c>
      <c r="O60" t="n">
        <v>1</v>
      </c>
      <c r="P60" t="n">
        <v>0</v>
      </c>
      <c r="Q60" t="n">
        <v>5</v>
      </c>
      <c r="R60" s="2" t="inlineStr">
        <is>
          <t>Slåtterfibbla
Svavelriska
Vårärt
Brudsporre
Blåsippa</t>
        </is>
      </c>
      <c r="S60">
        <f>HYPERLINK("https://klasma.github.io/Logging_2380/artfynd/A 5043-2023 artfynd.xlsx", "A 5043-2023")</f>
        <v/>
      </c>
      <c r="T60">
        <f>HYPERLINK("https://klasma.github.io/Logging_2380/kartor/A 5043-2023 karta.png", "A 5043-2023")</f>
        <v/>
      </c>
      <c r="V60">
        <f>HYPERLINK("https://klasma.github.io/Logging_2380/klagomål/A 5043-2023 FSC-klagomål.docx", "A 5043-2023")</f>
        <v/>
      </c>
      <c r="W60">
        <f>HYPERLINK("https://klasma.github.io/Logging_2380/klagomålsmail/A 5043-2023 FSC-klagomål mail.docx", "A 5043-2023")</f>
        <v/>
      </c>
      <c r="X60">
        <f>HYPERLINK("https://klasma.github.io/Logging_2380/tillsyn/A 5043-2023 tillsynsbegäran.docx", "A 5043-2023")</f>
        <v/>
      </c>
      <c r="Y60">
        <f>HYPERLINK("https://klasma.github.io/Logging_2380/tillsynsmail/A 5043-2023 tillsynsbegäran mail.docx", "A 5043-2023")</f>
        <v/>
      </c>
    </row>
    <row r="61" ht="15" customHeight="1">
      <c r="A61" t="inlineStr">
        <is>
          <t>A 45979-2023</t>
        </is>
      </c>
      <c r="B61" s="1" t="n">
        <v>45189</v>
      </c>
      <c r="C61" s="1" t="n">
        <v>45730</v>
      </c>
      <c r="D61" t="inlineStr">
        <is>
          <t>JÄMTLANDS LÄN</t>
        </is>
      </c>
      <c r="E61" t="inlineStr">
        <is>
          <t>ÖSTERSUND</t>
        </is>
      </c>
      <c r="G61" t="n">
        <v>3.3</v>
      </c>
      <c r="H61" t="n">
        <v>3</v>
      </c>
      <c r="I61" t="n">
        <v>2</v>
      </c>
      <c r="J61" t="n">
        <v>0</v>
      </c>
      <c r="K61" t="n">
        <v>0</v>
      </c>
      <c r="L61" t="n">
        <v>1</v>
      </c>
      <c r="M61" t="n">
        <v>0</v>
      </c>
      <c r="N61" t="n">
        <v>0</v>
      </c>
      <c r="O61" t="n">
        <v>1</v>
      </c>
      <c r="P61" t="n">
        <v>1</v>
      </c>
      <c r="Q61" t="n">
        <v>5</v>
      </c>
      <c r="R61" s="2" t="inlineStr">
        <is>
          <t>Trolldruvemätare
Svart trolldruva
Tvåblad
Dactylorhiza incarnata subsp. incarnata
Ängsnycklar</t>
        </is>
      </c>
      <c r="S61">
        <f>HYPERLINK("https://klasma.github.io/Logging_2380/artfynd/A 45979-2023 artfynd.xlsx", "A 45979-2023")</f>
        <v/>
      </c>
      <c r="T61">
        <f>HYPERLINK("https://klasma.github.io/Logging_2380/kartor/A 45979-2023 karta.png", "A 45979-2023")</f>
        <v/>
      </c>
      <c r="V61">
        <f>HYPERLINK("https://klasma.github.io/Logging_2380/klagomål/A 45979-2023 FSC-klagomål.docx", "A 45979-2023")</f>
        <v/>
      </c>
      <c r="W61">
        <f>HYPERLINK("https://klasma.github.io/Logging_2380/klagomålsmail/A 45979-2023 FSC-klagomål mail.docx", "A 45979-2023")</f>
        <v/>
      </c>
      <c r="X61">
        <f>HYPERLINK("https://klasma.github.io/Logging_2380/tillsyn/A 45979-2023 tillsynsbegäran.docx", "A 45979-2023")</f>
        <v/>
      </c>
      <c r="Y61">
        <f>HYPERLINK("https://klasma.github.io/Logging_2380/tillsynsmail/A 45979-2023 tillsynsbegäran mail.docx", "A 45979-2023")</f>
        <v/>
      </c>
    </row>
    <row r="62" ht="15" customHeight="1">
      <c r="A62" t="inlineStr">
        <is>
          <t>A 59537-2023</t>
        </is>
      </c>
      <c r="B62" s="1" t="n">
        <v>45254</v>
      </c>
      <c r="C62" s="1" t="n">
        <v>45730</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7717-2024</t>
        </is>
      </c>
      <c r="B63" s="1" t="n">
        <v>45349</v>
      </c>
      <c r="C63" s="1" t="n">
        <v>45730</v>
      </c>
      <c r="D63" t="inlineStr">
        <is>
          <t>JÄMTLANDS LÄN</t>
        </is>
      </c>
      <c r="E63" t="inlineStr">
        <is>
          <t>ÖSTERSUND</t>
        </is>
      </c>
      <c r="F63" t="inlineStr">
        <is>
          <t>Övriga Aktiebolag</t>
        </is>
      </c>
      <c r="G63" t="n">
        <v>2.5</v>
      </c>
      <c r="H63" t="n">
        <v>1</v>
      </c>
      <c r="I63" t="n">
        <v>1</v>
      </c>
      <c r="J63" t="n">
        <v>4</v>
      </c>
      <c r="K63" t="n">
        <v>0</v>
      </c>
      <c r="L63" t="n">
        <v>0</v>
      </c>
      <c r="M63" t="n">
        <v>0</v>
      </c>
      <c r="N63" t="n">
        <v>0</v>
      </c>
      <c r="O63" t="n">
        <v>4</v>
      </c>
      <c r="P63" t="n">
        <v>0</v>
      </c>
      <c r="Q63" t="n">
        <v>5</v>
      </c>
      <c r="R63" s="2" t="inlineStr">
        <is>
          <t>Garnlav
Lunglav
Skrovellav
Talltita
Stuplav</t>
        </is>
      </c>
      <c r="S63">
        <f>HYPERLINK("https://klasma.github.io/Logging_2380/artfynd/A 7717-2024 artfynd.xlsx", "A 7717-2024")</f>
        <v/>
      </c>
      <c r="T63">
        <f>HYPERLINK("https://klasma.github.io/Logging_2380/kartor/A 7717-2024 karta.png", "A 7717-2024")</f>
        <v/>
      </c>
      <c r="V63">
        <f>HYPERLINK("https://klasma.github.io/Logging_2380/klagomål/A 7717-2024 FSC-klagomål.docx", "A 7717-2024")</f>
        <v/>
      </c>
      <c r="W63">
        <f>HYPERLINK("https://klasma.github.io/Logging_2380/klagomålsmail/A 7717-2024 FSC-klagomål mail.docx", "A 7717-2024")</f>
        <v/>
      </c>
      <c r="X63">
        <f>HYPERLINK("https://klasma.github.io/Logging_2380/tillsyn/A 7717-2024 tillsynsbegäran.docx", "A 7717-2024")</f>
        <v/>
      </c>
      <c r="Y63">
        <f>HYPERLINK("https://klasma.github.io/Logging_2380/tillsynsmail/A 7717-2024 tillsynsbegäran mail.docx", "A 7717-2024")</f>
        <v/>
      </c>
      <c r="Z63">
        <f>HYPERLINK("https://klasma.github.io/Logging_2380/fåglar/A 7717-2024 prioriterade fågelarter.docx", "A 7717-2024")</f>
        <v/>
      </c>
    </row>
    <row r="64" ht="15" customHeight="1">
      <c r="A64" t="inlineStr">
        <is>
          <t>A 10747-2024</t>
        </is>
      </c>
      <c r="B64" s="1" t="n">
        <v>45369</v>
      </c>
      <c r="C64" s="1" t="n">
        <v>45730</v>
      </c>
      <c r="D64" t="inlineStr">
        <is>
          <t>JÄMTLANDS LÄN</t>
        </is>
      </c>
      <c r="E64" t="inlineStr">
        <is>
          <t>ÖSTERSUND</t>
        </is>
      </c>
      <c r="G64" t="n">
        <v>4.3</v>
      </c>
      <c r="H64" t="n">
        <v>1</v>
      </c>
      <c r="I64" t="n">
        <v>1</v>
      </c>
      <c r="J64" t="n">
        <v>3</v>
      </c>
      <c r="K64" t="n">
        <v>1</v>
      </c>
      <c r="L64" t="n">
        <v>0</v>
      </c>
      <c r="M64" t="n">
        <v>0</v>
      </c>
      <c r="N64" t="n">
        <v>0</v>
      </c>
      <c r="O64" t="n">
        <v>4</v>
      </c>
      <c r="P64" t="n">
        <v>1</v>
      </c>
      <c r="Q64" t="n">
        <v>5</v>
      </c>
      <c r="R64" s="2" t="inlineStr">
        <is>
          <t>Fjällfotad musseron
Barrviolspindling
Gultoppig fingersvamp
Tretåig hackspett
Fjällig taggsvamp s.str.</t>
        </is>
      </c>
      <c r="S64">
        <f>HYPERLINK("https://klasma.github.io/Logging_2380/artfynd/A 10747-2024 artfynd.xlsx", "A 10747-2024")</f>
        <v/>
      </c>
      <c r="T64">
        <f>HYPERLINK("https://klasma.github.io/Logging_2380/kartor/A 10747-2024 karta.png", "A 10747-2024")</f>
        <v/>
      </c>
      <c r="V64">
        <f>HYPERLINK("https://klasma.github.io/Logging_2380/klagomål/A 10747-2024 FSC-klagomål.docx", "A 10747-2024")</f>
        <v/>
      </c>
      <c r="W64">
        <f>HYPERLINK("https://klasma.github.io/Logging_2380/klagomålsmail/A 10747-2024 FSC-klagomål mail.docx", "A 10747-2024")</f>
        <v/>
      </c>
      <c r="X64">
        <f>HYPERLINK("https://klasma.github.io/Logging_2380/tillsyn/A 10747-2024 tillsynsbegäran.docx", "A 10747-2024")</f>
        <v/>
      </c>
      <c r="Y64">
        <f>HYPERLINK("https://klasma.github.io/Logging_2380/tillsynsmail/A 10747-2024 tillsynsbegäran mail.docx", "A 10747-2024")</f>
        <v/>
      </c>
      <c r="Z64">
        <f>HYPERLINK("https://klasma.github.io/Logging_2380/fåglar/A 10747-2024 prioriterade fågelarter.docx", "A 10747-2024")</f>
        <v/>
      </c>
    </row>
    <row r="65" ht="15" customHeight="1">
      <c r="A65" t="inlineStr">
        <is>
          <t>A 39941-2024</t>
        </is>
      </c>
      <c r="B65" s="1" t="n">
        <v>45553</v>
      </c>
      <c r="C65" s="1" t="n">
        <v>45730</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45015-2024</t>
        </is>
      </c>
      <c r="B66" s="1" t="n">
        <v>45575</v>
      </c>
      <c r="C66" s="1" t="n">
        <v>45730</v>
      </c>
      <c r="D66" t="inlineStr">
        <is>
          <t>JÄMTLANDS LÄN</t>
        </is>
      </c>
      <c r="E66" t="inlineStr">
        <is>
          <t>ÖSTERSUND</t>
        </is>
      </c>
      <c r="F66" t="inlineStr">
        <is>
          <t>Övriga statliga verk och myndigheter</t>
        </is>
      </c>
      <c r="G66" t="n">
        <v>2.3</v>
      </c>
      <c r="H66" t="n">
        <v>2</v>
      </c>
      <c r="I66" t="n">
        <v>1</v>
      </c>
      <c r="J66" t="n">
        <v>2</v>
      </c>
      <c r="K66" t="n">
        <v>1</v>
      </c>
      <c r="L66" t="n">
        <v>0</v>
      </c>
      <c r="M66" t="n">
        <v>0</v>
      </c>
      <c r="N66" t="n">
        <v>0</v>
      </c>
      <c r="O66" t="n">
        <v>3</v>
      </c>
      <c r="P66" t="n">
        <v>1</v>
      </c>
      <c r="Q66" t="n">
        <v>5</v>
      </c>
      <c r="R66" s="2" t="inlineStr">
        <is>
          <t>Knärot
Garnlav
Vitgrynig nållav
Kamjordstjärna
Revlummer</t>
        </is>
      </c>
      <c r="S66">
        <f>HYPERLINK("https://klasma.github.io/Logging_2380/artfynd/A 45015-2024 artfynd.xlsx", "A 45015-2024")</f>
        <v/>
      </c>
      <c r="T66">
        <f>HYPERLINK("https://klasma.github.io/Logging_2380/kartor/A 45015-2024 karta.png", "A 45015-2024")</f>
        <v/>
      </c>
      <c r="U66">
        <f>HYPERLINK("https://klasma.github.io/Logging_2380/knärot/A 45015-2024 karta knärot.png", "A 45015-2024")</f>
        <v/>
      </c>
      <c r="V66">
        <f>HYPERLINK("https://klasma.github.io/Logging_2380/klagomål/A 45015-2024 FSC-klagomål.docx", "A 45015-2024")</f>
        <v/>
      </c>
      <c r="W66">
        <f>HYPERLINK("https://klasma.github.io/Logging_2380/klagomålsmail/A 45015-2024 FSC-klagomål mail.docx", "A 45015-2024")</f>
        <v/>
      </c>
      <c r="X66">
        <f>HYPERLINK("https://klasma.github.io/Logging_2380/tillsyn/A 45015-2024 tillsynsbegäran.docx", "A 45015-2024")</f>
        <v/>
      </c>
      <c r="Y66">
        <f>HYPERLINK("https://klasma.github.io/Logging_2380/tillsynsmail/A 45015-2024 tillsynsbegäran mail.docx", "A 45015-2024")</f>
        <v/>
      </c>
    </row>
    <row r="67" ht="15" customHeight="1">
      <c r="A67" t="inlineStr">
        <is>
          <t>A 54731-2024</t>
        </is>
      </c>
      <c r="B67" s="1" t="n">
        <v>45618</v>
      </c>
      <c r="C67" s="1" t="n">
        <v>45730</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61153-2024</t>
        </is>
      </c>
      <c r="B68" s="1" t="n">
        <v>45645</v>
      </c>
      <c r="C68" s="1" t="n">
        <v>45730</v>
      </c>
      <c r="D68" t="inlineStr">
        <is>
          <t>JÄMTLANDS LÄN</t>
        </is>
      </c>
      <c r="E68" t="inlineStr">
        <is>
          <t>ÖSTERSUND</t>
        </is>
      </c>
      <c r="G68" t="n">
        <v>8.699999999999999</v>
      </c>
      <c r="H68" t="n">
        <v>4</v>
      </c>
      <c r="I68" t="n">
        <v>0</v>
      </c>
      <c r="J68" t="n">
        <v>3</v>
      </c>
      <c r="K68" t="n">
        <v>1</v>
      </c>
      <c r="L68" t="n">
        <v>0</v>
      </c>
      <c r="M68" t="n">
        <v>0</v>
      </c>
      <c r="N68" t="n">
        <v>0</v>
      </c>
      <c r="O68" t="n">
        <v>4</v>
      </c>
      <c r="P68" t="n">
        <v>1</v>
      </c>
      <c r="Q68" t="n">
        <v>5</v>
      </c>
      <c r="R68" s="2" t="inlineStr">
        <is>
          <t>Knärot
Garnlav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29135-2022</t>
        </is>
      </c>
      <c r="B69" s="1" t="n">
        <v>44750</v>
      </c>
      <c r="C69" s="1" t="n">
        <v>45730</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59291-2022</t>
        </is>
      </c>
      <c r="B70" s="1" t="n">
        <v>44904</v>
      </c>
      <c r="C70" s="1" t="n">
        <v>45730</v>
      </c>
      <c r="D70" t="inlineStr">
        <is>
          <t>JÄMTLANDS LÄN</t>
        </is>
      </c>
      <c r="E70" t="inlineStr">
        <is>
          <t>ÖSTERSUND</t>
        </is>
      </c>
      <c r="G70" t="n">
        <v>9.199999999999999</v>
      </c>
      <c r="H70" t="n">
        <v>1</v>
      </c>
      <c r="I70" t="n">
        <v>0</v>
      </c>
      <c r="J70" t="n">
        <v>3</v>
      </c>
      <c r="K70" t="n">
        <v>0</v>
      </c>
      <c r="L70" t="n">
        <v>0</v>
      </c>
      <c r="M70" t="n">
        <v>0</v>
      </c>
      <c r="N70" t="n">
        <v>0</v>
      </c>
      <c r="O70" t="n">
        <v>3</v>
      </c>
      <c r="P70" t="n">
        <v>0</v>
      </c>
      <c r="Q70" t="n">
        <v>4</v>
      </c>
      <c r="R70" s="2" t="inlineStr">
        <is>
          <t>Garnlav
Lunglav
Skrovellav
Revlummer</t>
        </is>
      </c>
      <c r="S70">
        <f>HYPERLINK("https://klasma.github.io/Logging_2380/artfynd/A 59291-2022 artfynd.xlsx", "A 59291-2022")</f>
        <v/>
      </c>
      <c r="T70">
        <f>HYPERLINK("https://klasma.github.io/Logging_2380/kartor/A 59291-2022 karta.png", "A 59291-2022")</f>
        <v/>
      </c>
      <c r="V70">
        <f>HYPERLINK("https://klasma.github.io/Logging_2380/klagomål/A 59291-2022 FSC-klagomål.docx", "A 59291-2022")</f>
        <v/>
      </c>
      <c r="W70">
        <f>HYPERLINK("https://klasma.github.io/Logging_2380/klagomålsmail/A 59291-2022 FSC-klagomål mail.docx", "A 59291-2022")</f>
        <v/>
      </c>
      <c r="X70">
        <f>HYPERLINK("https://klasma.github.io/Logging_2380/tillsyn/A 59291-2022 tillsynsbegäran.docx", "A 59291-2022")</f>
        <v/>
      </c>
      <c r="Y70">
        <f>HYPERLINK("https://klasma.github.io/Logging_2380/tillsynsmail/A 59291-2022 tillsynsbegäran mail.docx", "A 59291-2022")</f>
        <v/>
      </c>
    </row>
    <row r="71" ht="15" customHeight="1">
      <c r="A71" t="inlineStr">
        <is>
          <t>A 2962-2023</t>
        </is>
      </c>
      <c r="B71" s="1" t="n">
        <v>44945</v>
      </c>
      <c r="C71" s="1" t="n">
        <v>45730</v>
      </c>
      <c r="D71" t="inlineStr">
        <is>
          <t>JÄMTLANDS LÄN</t>
        </is>
      </c>
      <c r="E71" t="inlineStr">
        <is>
          <t>ÖSTERSUND</t>
        </is>
      </c>
      <c r="F71" t="inlineStr">
        <is>
          <t>Övriga Aktiebolag</t>
        </is>
      </c>
      <c r="G71" t="n">
        <v>14.4</v>
      </c>
      <c r="H71" t="n">
        <v>2</v>
      </c>
      <c r="I71" t="n">
        <v>0</v>
      </c>
      <c r="J71" t="n">
        <v>3</v>
      </c>
      <c r="K71" t="n">
        <v>0</v>
      </c>
      <c r="L71" t="n">
        <v>0</v>
      </c>
      <c r="M71" t="n">
        <v>0</v>
      </c>
      <c r="N71" t="n">
        <v>0</v>
      </c>
      <c r="O71" t="n">
        <v>3</v>
      </c>
      <c r="P71" t="n">
        <v>0</v>
      </c>
      <c r="Q71" t="n">
        <v>4</v>
      </c>
      <c r="R71" s="2" t="inlineStr">
        <is>
          <t>Garnlav
Lunglav
Tretåig hackspett
Revlummer</t>
        </is>
      </c>
      <c r="S71">
        <f>HYPERLINK("https://klasma.github.io/Logging_2380/artfynd/A 2962-2023 artfynd.xlsx", "A 2962-2023")</f>
        <v/>
      </c>
      <c r="T71">
        <f>HYPERLINK("https://klasma.github.io/Logging_2380/kartor/A 2962-2023 karta.png", "A 2962-2023")</f>
        <v/>
      </c>
      <c r="V71">
        <f>HYPERLINK("https://klasma.github.io/Logging_2380/klagomål/A 2962-2023 FSC-klagomål.docx", "A 2962-2023")</f>
        <v/>
      </c>
      <c r="W71">
        <f>HYPERLINK("https://klasma.github.io/Logging_2380/klagomålsmail/A 2962-2023 FSC-klagomål mail.docx", "A 2962-2023")</f>
        <v/>
      </c>
      <c r="X71">
        <f>HYPERLINK("https://klasma.github.io/Logging_2380/tillsyn/A 2962-2023 tillsynsbegäran.docx", "A 2962-2023")</f>
        <v/>
      </c>
      <c r="Y71">
        <f>HYPERLINK("https://klasma.github.io/Logging_2380/tillsynsmail/A 2962-2023 tillsynsbegäran mail.docx", "A 2962-2023")</f>
        <v/>
      </c>
      <c r="Z71">
        <f>HYPERLINK("https://klasma.github.io/Logging_2380/fåglar/A 2962-2023 prioriterade fågelarter.docx", "A 2962-2023")</f>
        <v/>
      </c>
    </row>
    <row r="72" ht="15" customHeight="1">
      <c r="A72" t="inlineStr">
        <is>
          <t>A 55344-2023</t>
        </is>
      </c>
      <c r="B72" s="1" t="n">
        <v>45237</v>
      </c>
      <c r="C72" s="1" t="n">
        <v>45730</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45463</v>
      </c>
      <c r="C73" s="1" t="n">
        <v>45730</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41754-2024</t>
        </is>
      </c>
      <c r="B74" s="1" t="n">
        <v>45561</v>
      </c>
      <c r="C74" s="1" t="n">
        <v>45730</v>
      </c>
      <c r="D74" t="inlineStr">
        <is>
          <t>JÄMTLANDS LÄN</t>
        </is>
      </c>
      <c r="E74" t="inlineStr">
        <is>
          <t>ÖSTERSUND</t>
        </is>
      </c>
      <c r="F74" t="inlineStr">
        <is>
          <t>SCA</t>
        </is>
      </c>
      <c r="G74" t="n">
        <v>2.3</v>
      </c>
      <c r="H74" t="n">
        <v>0</v>
      </c>
      <c r="I74" t="n">
        <v>1</v>
      </c>
      <c r="J74" t="n">
        <v>3</v>
      </c>
      <c r="K74" t="n">
        <v>0</v>
      </c>
      <c r="L74" t="n">
        <v>0</v>
      </c>
      <c r="M74" t="n">
        <v>0</v>
      </c>
      <c r="N74" t="n">
        <v>0</v>
      </c>
      <c r="O74" t="n">
        <v>3</v>
      </c>
      <c r="P74" t="n">
        <v>0</v>
      </c>
      <c r="Q74" t="n">
        <v>4</v>
      </c>
      <c r="R74" s="2" t="inlineStr">
        <is>
          <t>Dvärgbägarlav
Kolflarnlav
Lunglav
Dropptaggsvamp</t>
        </is>
      </c>
      <c r="S74">
        <f>HYPERLINK("https://klasma.github.io/Logging_2380/artfynd/A 41754-2024 artfynd.xlsx", "A 41754-2024")</f>
        <v/>
      </c>
      <c r="T74">
        <f>HYPERLINK("https://klasma.github.io/Logging_2380/kartor/A 41754-2024 karta.png", "A 41754-2024")</f>
        <v/>
      </c>
      <c r="V74">
        <f>HYPERLINK("https://klasma.github.io/Logging_2380/klagomål/A 41754-2024 FSC-klagomål.docx", "A 41754-2024")</f>
        <v/>
      </c>
      <c r="W74">
        <f>HYPERLINK("https://klasma.github.io/Logging_2380/klagomålsmail/A 41754-2024 FSC-klagomål mail.docx", "A 41754-2024")</f>
        <v/>
      </c>
      <c r="X74">
        <f>HYPERLINK("https://klasma.github.io/Logging_2380/tillsyn/A 41754-2024 tillsynsbegäran.docx", "A 41754-2024")</f>
        <v/>
      </c>
      <c r="Y74">
        <f>HYPERLINK("https://klasma.github.io/Logging_2380/tillsynsmail/A 41754-2024 tillsynsbegäran mail.docx", "A 41754-2024")</f>
        <v/>
      </c>
    </row>
    <row r="75" ht="15" customHeight="1">
      <c r="A75" t="inlineStr">
        <is>
          <t>A 48753-2024</t>
        </is>
      </c>
      <c r="B75" s="1" t="n">
        <v>45593</v>
      </c>
      <c r="C75" s="1" t="n">
        <v>45730</v>
      </c>
      <c r="D75" t="inlineStr">
        <is>
          <t>JÄMTLANDS LÄN</t>
        </is>
      </c>
      <c r="E75" t="inlineStr">
        <is>
          <t>ÖSTERSUND</t>
        </is>
      </c>
      <c r="F75" t="inlineStr">
        <is>
          <t>Övriga statliga verk och myndigheter</t>
        </is>
      </c>
      <c r="G75" t="n">
        <v>2.2</v>
      </c>
      <c r="H75" t="n">
        <v>1</v>
      </c>
      <c r="I75" t="n">
        <v>0</v>
      </c>
      <c r="J75" t="n">
        <v>3</v>
      </c>
      <c r="K75" t="n">
        <v>0</v>
      </c>
      <c r="L75" t="n">
        <v>0</v>
      </c>
      <c r="M75" t="n">
        <v>0</v>
      </c>
      <c r="N75" t="n">
        <v>0</v>
      </c>
      <c r="O75" t="n">
        <v>3</v>
      </c>
      <c r="P75" t="n">
        <v>0</v>
      </c>
      <c r="Q75" t="n">
        <v>4</v>
      </c>
      <c r="R75" s="2" t="inlineStr">
        <is>
          <t>Granticka
Gränsticka
Ullticka
Revlummer</t>
        </is>
      </c>
      <c r="S75">
        <f>HYPERLINK("https://klasma.github.io/Logging_2380/artfynd/A 48753-2024 artfynd.xlsx", "A 48753-2024")</f>
        <v/>
      </c>
      <c r="T75">
        <f>HYPERLINK("https://klasma.github.io/Logging_2380/kartor/A 48753-2024 karta.png", "A 48753-2024")</f>
        <v/>
      </c>
      <c r="V75">
        <f>HYPERLINK("https://klasma.github.io/Logging_2380/klagomål/A 48753-2024 FSC-klagomål.docx", "A 48753-2024")</f>
        <v/>
      </c>
      <c r="W75">
        <f>HYPERLINK("https://klasma.github.io/Logging_2380/klagomålsmail/A 48753-2024 FSC-klagomål mail.docx", "A 48753-2024")</f>
        <v/>
      </c>
      <c r="X75">
        <f>HYPERLINK("https://klasma.github.io/Logging_2380/tillsyn/A 48753-2024 tillsynsbegäran.docx", "A 48753-2024")</f>
        <v/>
      </c>
      <c r="Y75">
        <f>HYPERLINK("https://klasma.github.io/Logging_2380/tillsynsmail/A 48753-2024 tillsynsbegäran mail.docx", "A 48753-2024")</f>
        <v/>
      </c>
    </row>
    <row r="76" ht="15" customHeight="1">
      <c r="A76" t="inlineStr">
        <is>
          <t>A 55818-2024</t>
        </is>
      </c>
      <c r="B76" s="1" t="n">
        <v>45623</v>
      </c>
      <c r="C76" s="1" t="n">
        <v>45730</v>
      </c>
      <c r="D76" t="inlineStr">
        <is>
          <t>JÄMTLANDS LÄN</t>
        </is>
      </c>
      <c r="E76" t="inlineStr">
        <is>
          <t>ÖSTERSUND</t>
        </is>
      </c>
      <c r="G76" t="n">
        <v>9.5</v>
      </c>
      <c r="H76" t="n">
        <v>0</v>
      </c>
      <c r="I76" t="n">
        <v>1</v>
      </c>
      <c r="J76" t="n">
        <v>2</v>
      </c>
      <c r="K76" t="n">
        <v>1</v>
      </c>
      <c r="L76" t="n">
        <v>0</v>
      </c>
      <c r="M76" t="n">
        <v>0</v>
      </c>
      <c r="N76" t="n">
        <v>0</v>
      </c>
      <c r="O76" t="n">
        <v>3</v>
      </c>
      <c r="P76" t="n">
        <v>1</v>
      </c>
      <c r="Q76" t="n">
        <v>4</v>
      </c>
      <c r="R76" s="2" t="inlineStr">
        <is>
          <t>Gräddporing
Kolflarnlav
Lunglav
Dropptaggsvamp</t>
        </is>
      </c>
      <c r="S76">
        <f>HYPERLINK("https://klasma.github.io/Logging_2380/artfynd/A 55818-2024 artfynd.xlsx", "A 55818-2024")</f>
        <v/>
      </c>
      <c r="T76">
        <f>HYPERLINK("https://klasma.github.io/Logging_2380/kartor/A 55818-2024 karta.png", "A 55818-2024")</f>
        <v/>
      </c>
      <c r="V76">
        <f>HYPERLINK("https://klasma.github.io/Logging_2380/klagomål/A 55818-2024 FSC-klagomål.docx", "A 55818-2024")</f>
        <v/>
      </c>
      <c r="W76">
        <f>HYPERLINK("https://klasma.github.io/Logging_2380/klagomålsmail/A 55818-2024 FSC-klagomål mail.docx", "A 55818-2024")</f>
        <v/>
      </c>
      <c r="X76">
        <f>HYPERLINK("https://klasma.github.io/Logging_2380/tillsyn/A 55818-2024 tillsynsbegäran.docx", "A 55818-2024")</f>
        <v/>
      </c>
      <c r="Y76">
        <f>HYPERLINK("https://klasma.github.io/Logging_2380/tillsynsmail/A 55818-2024 tillsynsbegäran mail.docx", "A 55818-2024")</f>
        <v/>
      </c>
    </row>
    <row r="77" ht="15" customHeight="1">
      <c r="A77" t="inlineStr">
        <is>
          <t>A 60109-2024</t>
        </is>
      </c>
      <c r="B77" s="1" t="n">
        <v>45642</v>
      </c>
      <c r="C77" s="1" t="n">
        <v>45730</v>
      </c>
      <c r="D77" t="inlineStr">
        <is>
          <t>JÄMTLANDS LÄN</t>
        </is>
      </c>
      <c r="E77" t="inlineStr">
        <is>
          <t>ÖSTERSUND</t>
        </is>
      </c>
      <c r="G77" t="n">
        <v>10.2</v>
      </c>
      <c r="H77" t="n">
        <v>1</v>
      </c>
      <c r="I77" t="n">
        <v>0</v>
      </c>
      <c r="J77" t="n">
        <v>4</v>
      </c>
      <c r="K77" t="n">
        <v>0</v>
      </c>
      <c r="L77" t="n">
        <v>0</v>
      </c>
      <c r="M77" t="n">
        <v>0</v>
      </c>
      <c r="N77" t="n">
        <v>0</v>
      </c>
      <c r="O77" t="n">
        <v>4</v>
      </c>
      <c r="P77" t="n">
        <v>0</v>
      </c>
      <c r="Q77" t="n">
        <v>4</v>
      </c>
      <c r="R77" s="2" t="inlineStr">
        <is>
          <t>Garnlav
Granticka
Spillkråka
Ullticka</t>
        </is>
      </c>
      <c r="S77">
        <f>HYPERLINK("https://klasma.github.io/Logging_2380/artfynd/A 60109-2024 artfynd.xlsx", "A 60109-2024")</f>
        <v/>
      </c>
      <c r="T77">
        <f>HYPERLINK("https://klasma.github.io/Logging_2380/kartor/A 60109-2024 karta.png", "A 60109-2024")</f>
        <v/>
      </c>
      <c r="V77">
        <f>HYPERLINK("https://klasma.github.io/Logging_2380/klagomål/A 60109-2024 FSC-klagomål.docx", "A 60109-2024")</f>
        <v/>
      </c>
      <c r="W77">
        <f>HYPERLINK("https://klasma.github.io/Logging_2380/klagomålsmail/A 60109-2024 FSC-klagomål mail.docx", "A 60109-2024")</f>
        <v/>
      </c>
      <c r="X77">
        <f>HYPERLINK("https://klasma.github.io/Logging_2380/tillsyn/A 60109-2024 tillsynsbegäran.docx", "A 60109-2024")</f>
        <v/>
      </c>
      <c r="Y77">
        <f>HYPERLINK("https://klasma.github.io/Logging_2380/tillsynsmail/A 60109-2024 tillsynsbegäran mail.docx", "A 60109-2024")</f>
        <v/>
      </c>
      <c r="Z77">
        <f>HYPERLINK("https://klasma.github.io/Logging_2380/fåglar/A 60109-2024 prioriterade fågelarter.docx", "A 60109-2024")</f>
        <v/>
      </c>
    </row>
    <row r="78" ht="15" customHeight="1">
      <c r="A78" t="inlineStr">
        <is>
          <t>A 60580-2024</t>
        </is>
      </c>
      <c r="B78" s="1" t="n">
        <v>45644</v>
      </c>
      <c r="C78" s="1" t="n">
        <v>45730</v>
      </c>
      <c r="D78" t="inlineStr">
        <is>
          <t>JÄMTLANDS LÄN</t>
        </is>
      </c>
      <c r="E78" t="inlineStr">
        <is>
          <t>ÖSTERSUND</t>
        </is>
      </c>
      <c r="G78" t="n">
        <v>13.5</v>
      </c>
      <c r="H78" t="n">
        <v>2</v>
      </c>
      <c r="I78" t="n">
        <v>0</v>
      </c>
      <c r="J78" t="n">
        <v>4</v>
      </c>
      <c r="K78" t="n">
        <v>0</v>
      </c>
      <c r="L78" t="n">
        <v>0</v>
      </c>
      <c r="M78" t="n">
        <v>0</v>
      </c>
      <c r="N78" t="n">
        <v>0</v>
      </c>
      <c r="O78" t="n">
        <v>4</v>
      </c>
      <c r="P78" t="n">
        <v>0</v>
      </c>
      <c r="Q78" t="n">
        <v>4</v>
      </c>
      <c r="R78" s="2" t="inlineStr">
        <is>
          <t>Granticka
Lunglav
Spillkråka
Tretåig hackspett</t>
        </is>
      </c>
      <c r="S78">
        <f>HYPERLINK("https://klasma.github.io/Logging_2380/artfynd/A 60580-2024 artfynd.xlsx", "A 60580-2024")</f>
        <v/>
      </c>
      <c r="T78">
        <f>HYPERLINK("https://klasma.github.io/Logging_2380/kartor/A 60580-2024 karta.png", "A 60580-2024")</f>
        <v/>
      </c>
      <c r="V78">
        <f>HYPERLINK("https://klasma.github.io/Logging_2380/klagomål/A 60580-2024 FSC-klagomål.docx", "A 60580-2024")</f>
        <v/>
      </c>
      <c r="W78">
        <f>HYPERLINK("https://klasma.github.io/Logging_2380/klagomålsmail/A 60580-2024 FSC-klagomål mail.docx", "A 60580-2024")</f>
        <v/>
      </c>
      <c r="X78">
        <f>HYPERLINK("https://klasma.github.io/Logging_2380/tillsyn/A 60580-2024 tillsynsbegäran.docx", "A 60580-2024")</f>
        <v/>
      </c>
      <c r="Y78">
        <f>HYPERLINK("https://klasma.github.io/Logging_2380/tillsynsmail/A 60580-2024 tillsynsbegäran mail.docx", "A 60580-2024")</f>
        <v/>
      </c>
      <c r="Z78">
        <f>HYPERLINK("https://klasma.github.io/Logging_2380/fåglar/A 60580-2024 prioriterade fågelarter.docx", "A 60580-2024")</f>
        <v/>
      </c>
    </row>
    <row r="79" ht="15" customHeight="1">
      <c r="A79" t="inlineStr">
        <is>
          <t>A 23410-2019</t>
        </is>
      </c>
      <c r="B79" s="1" t="n">
        <v>43592</v>
      </c>
      <c r="C79" s="1" t="n">
        <v>45730</v>
      </c>
      <c r="D79" t="inlineStr">
        <is>
          <t>JÄMTLANDS LÄN</t>
        </is>
      </c>
      <c r="E79" t="inlineStr">
        <is>
          <t>ÖSTERSUND</t>
        </is>
      </c>
      <c r="G79" t="n">
        <v>10.6</v>
      </c>
      <c r="H79" t="n">
        <v>3</v>
      </c>
      <c r="I79" t="n">
        <v>2</v>
      </c>
      <c r="J79" t="n">
        <v>0</v>
      </c>
      <c r="K79" t="n">
        <v>0</v>
      </c>
      <c r="L79" t="n">
        <v>0</v>
      </c>
      <c r="M79" t="n">
        <v>0</v>
      </c>
      <c r="N79" t="n">
        <v>0</v>
      </c>
      <c r="O79" t="n">
        <v>0</v>
      </c>
      <c r="P79" t="n">
        <v>0</v>
      </c>
      <c r="Q79" t="n">
        <v>3</v>
      </c>
      <c r="R79" s="2" t="inlineStr">
        <is>
          <t>Guckusko
Tvåblad
Fläcknycklar</t>
        </is>
      </c>
      <c r="S79">
        <f>HYPERLINK("https://klasma.github.io/Logging_2380/artfynd/A 23410-2019 artfynd.xlsx", "A 23410-2019")</f>
        <v/>
      </c>
      <c r="T79">
        <f>HYPERLINK("https://klasma.github.io/Logging_2380/kartor/A 23410-2019 karta.png", "A 23410-2019")</f>
        <v/>
      </c>
      <c r="V79">
        <f>HYPERLINK("https://klasma.github.io/Logging_2380/klagomål/A 23410-2019 FSC-klagomål.docx", "A 23410-2019")</f>
        <v/>
      </c>
      <c r="W79">
        <f>HYPERLINK("https://klasma.github.io/Logging_2380/klagomålsmail/A 23410-2019 FSC-klagomål mail.docx", "A 23410-2019")</f>
        <v/>
      </c>
      <c r="X79">
        <f>HYPERLINK("https://klasma.github.io/Logging_2380/tillsyn/A 23410-2019 tillsynsbegäran.docx", "A 23410-2019")</f>
        <v/>
      </c>
      <c r="Y79">
        <f>HYPERLINK("https://klasma.github.io/Logging_2380/tillsynsmail/A 23410-2019 tillsynsbegäran mail.docx", "A 23410-2019")</f>
        <v/>
      </c>
    </row>
    <row r="80" ht="15" customHeight="1">
      <c r="A80" t="inlineStr">
        <is>
          <t>A 26741-2019</t>
        </is>
      </c>
      <c r="B80" s="1" t="n">
        <v>43607</v>
      </c>
      <c r="C80" s="1" t="n">
        <v>45730</v>
      </c>
      <c r="D80" t="inlineStr">
        <is>
          <t>JÄMTLANDS LÄN</t>
        </is>
      </c>
      <c r="E80" t="inlineStr">
        <is>
          <t>ÖSTERSUND</t>
        </is>
      </c>
      <c r="F80" t="inlineStr">
        <is>
          <t>Övriga statliga verk och myndigheter</t>
        </is>
      </c>
      <c r="G80" t="n">
        <v>4.5</v>
      </c>
      <c r="H80" t="n">
        <v>0</v>
      </c>
      <c r="I80" t="n">
        <v>1</v>
      </c>
      <c r="J80" t="n">
        <v>1</v>
      </c>
      <c r="K80" t="n">
        <v>0</v>
      </c>
      <c r="L80" t="n">
        <v>1</v>
      </c>
      <c r="M80" t="n">
        <v>0</v>
      </c>
      <c r="N80" t="n">
        <v>0</v>
      </c>
      <c r="O80" t="n">
        <v>2</v>
      </c>
      <c r="P80" t="n">
        <v>1</v>
      </c>
      <c r="Q80" t="n">
        <v>3</v>
      </c>
      <c r="R80" s="2" t="inlineStr">
        <is>
          <t>Trolldruvemätare
Lunglav
Svart trolldruva</t>
        </is>
      </c>
      <c r="S80">
        <f>HYPERLINK("https://klasma.github.io/Logging_2380/artfynd/A 26741-2019 artfynd.xlsx", "A 26741-2019")</f>
        <v/>
      </c>
      <c r="T80">
        <f>HYPERLINK("https://klasma.github.io/Logging_2380/kartor/A 26741-2019 karta.png", "A 26741-2019")</f>
        <v/>
      </c>
      <c r="V80">
        <f>HYPERLINK("https://klasma.github.io/Logging_2380/klagomål/A 26741-2019 FSC-klagomål.docx", "A 26741-2019")</f>
        <v/>
      </c>
      <c r="W80">
        <f>HYPERLINK("https://klasma.github.io/Logging_2380/klagomålsmail/A 26741-2019 FSC-klagomål mail.docx", "A 26741-2019")</f>
        <v/>
      </c>
      <c r="X80">
        <f>HYPERLINK("https://klasma.github.io/Logging_2380/tillsyn/A 26741-2019 tillsynsbegäran.docx", "A 26741-2019")</f>
        <v/>
      </c>
      <c r="Y80">
        <f>HYPERLINK("https://klasma.github.io/Logging_2380/tillsynsmail/A 26741-2019 tillsynsbegäran mail.docx", "A 26741-2019")</f>
        <v/>
      </c>
    </row>
    <row r="81" ht="15" customHeight="1">
      <c r="A81" t="inlineStr">
        <is>
          <t>A 36815-2019</t>
        </is>
      </c>
      <c r="B81" s="1" t="n">
        <v>43672</v>
      </c>
      <c r="C81" s="1" t="n">
        <v>45730</v>
      </c>
      <c r="D81" t="inlineStr">
        <is>
          <t>JÄMTLANDS LÄN</t>
        </is>
      </c>
      <c r="E81" t="inlineStr">
        <is>
          <t>ÖSTERSUND</t>
        </is>
      </c>
      <c r="F81" t="inlineStr">
        <is>
          <t>SCA</t>
        </is>
      </c>
      <c r="G81" t="n">
        <v>7.4</v>
      </c>
      <c r="H81" t="n">
        <v>1</v>
      </c>
      <c r="I81" t="n">
        <v>0</v>
      </c>
      <c r="J81" t="n">
        <v>2</v>
      </c>
      <c r="K81" t="n">
        <v>0</v>
      </c>
      <c r="L81" t="n">
        <v>0</v>
      </c>
      <c r="M81" t="n">
        <v>0</v>
      </c>
      <c r="N81" t="n">
        <v>0</v>
      </c>
      <c r="O81" t="n">
        <v>2</v>
      </c>
      <c r="P81" t="n">
        <v>0</v>
      </c>
      <c r="Q81" t="n">
        <v>3</v>
      </c>
      <c r="R81" s="2" t="inlineStr">
        <is>
          <t>Lunglav
Skrovellav
Blåsippa</t>
        </is>
      </c>
      <c r="S81">
        <f>HYPERLINK("https://klasma.github.io/Logging_2380/artfynd/A 36815-2019 artfynd.xlsx", "A 36815-2019")</f>
        <v/>
      </c>
      <c r="T81">
        <f>HYPERLINK("https://klasma.github.io/Logging_2380/kartor/A 36815-2019 karta.png", "A 36815-2019")</f>
        <v/>
      </c>
      <c r="V81">
        <f>HYPERLINK("https://klasma.github.io/Logging_2380/klagomål/A 36815-2019 FSC-klagomål.docx", "A 36815-2019")</f>
        <v/>
      </c>
      <c r="W81">
        <f>HYPERLINK("https://klasma.github.io/Logging_2380/klagomålsmail/A 36815-2019 FSC-klagomål mail.docx", "A 36815-2019")</f>
        <v/>
      </c>
      <c r="X81">
        <f>HYPERLINK("https://klasma.github.io/Logging_2380/tillsyn/A 36815-2019 tillsynsbegäran.docx", "A 36815-2019")</f>
        <v/>
      </c>
      <c r="Y81">
        <f>HYPERLINK("https://klasma.github.io/Logging_2380/tillsynsmail/A 36815-2019 tillsynsbegäran mail.docx", "A 36815-2019")</f>
        <v/>
      </c>
    </row>
    <row r="82" ht="15" customHeight="1">
      <c r="A82" t="inlineStr">
        <is>
          <t>A 62240-2019</t>
        </is>
      </c>
      <c r="B82" s="1" t="n">
        <v>43784</v>
      </c>
      <c r="C82" s="1" t="n">
        <v>45730</v>
      </c>
      <c r="D82" t="inlineStr">
        <is>
          <t>JÄMTLANDS LÄN</t>
        </is>
      </c>
      <c r="E82" t="inlineStr">
        <is>
          <t>ÖSTERSUND</t>
        </is>
      </c>
      <c r="G82" t="n">
        <v>2</v>
      </c>
      <c r="H82" t="n">
        <v>1</v>
      </c>
      <c r="I82" t="n">
        <v>2</v>
      </c>
      <c r="J82" t="n">
        <v>0</v>
      </c>
      <c r="K82" t="n">
        <v>0</v>
      </c>
      <c r="L82" t="n">
        <v>0</v>
      </c>
      <c r="M82" t="n">
        <v>0</v>
      </c>
      <c r="N82" t="n">
        <v>0</v>
      </c>
      <c r="O82" t="n">
        <v>0</v>
      </c>
      <c r="P82" t="n">
        <v>0</v>
      </c>
      <c r="Q82" t="n">
        <v>3</v>
      </c>
      <c r="R82" s="2" t="inlineStr">
        <is>
          <t>Tibast
Ögonpyrola
Blåsippa</t>
        </is>
      </c>
      <c r="S82">
        <f>HYPERLINK("https://klasma.github.io/Logging_2380/artfynd/A 62240-2019 artfynd.xlsx", "A 62240-2019")</f>
        <v/>
      </c>
      <c r="T82">
        <f>HYPERLINK("https://klasma.github.io/Logging_2380/kartor/A 62240-2019 karta.png", "A 62240-2019")</f>
        <v/>
      </c>
      <c r="V82">
        <f>HYPERLINK("https://klasma.github.io/Logging_2380/klagomål/A 62240-2019 FSC-klagomål.docx", "A 62240-2019")</f>
        <v/>
      </c>
      <c r="W82">
        <f>HYPERLINK("https://klasma.github.io/Logging_2380/klagomålsmail/A 62240-2019 FSC-klagomål mail.docx", "A 62240-2019")</f>
        <v/>
      </c>
      <c r="X82">
        <f>HYPERLINK("https://klasma.github.io/Logging_2380/tillsyn/A 62240-2019 tillsynsbegäran.docx", "A 62240-2019")</f>
        <v/>
      </c>
      <c r="Y82">
        <f>HYPERLINK("https://klasma.github.io/Logging_2380/tillsynsmail/A 62240-2019 tillsynsbegäran mail.docx", "A 62240-2019")</f>
        <v/>
      </c>
    </row>
    <row r="83" ht="15" customHeight="1">
      <c r="A83" t="inlineStr">
        <is>
          <t>A 7877-2021</t>
        </is>
      </c>
      <c r="B83" s="1" t="n">
        <v>44242</v>
      </c>
      <c r="C83" s="1" t="n">
        <v>45730</v>
      </c>
      <c r="D83" t="inlineStr">
        <is>
          <t>JÄMTLANDS LÄN</t>
        </is>
      </c>
      <c r="E83" t="inlineStr">
        <is>
          <t>ÖSTERSUND</t>
        </is>
      </c>
      <c r="G83" t="n">
        <v>18.2</v>
      </c>
      <c r="H83" t="n">
        <v>2</v>
      </c>
      <c r="I83" t="n">
        <v>2</v>
      </c>
      <c r="J83" t="n">
        <v>0</v>
      </c>
      <c r="K83" t="n">
        <v>1</v>
      </c>
      <c r="L83" t="n">
        <v>0</v>
      </c>
      <c r="M83" t="n">
        <v>0</v>
      </c>
      <c r="N83" t="n">
        <v>0</v>
      </c>
      <c r="O83" t="n">
        <v>1</v>
      </c>
      <c r="P83" t="n">
        <v>1</v>
      </c>
      <c r="Q83" t="n">
        <v>3</v>
      </c>
      <c r="R83" s="2" t="inlineStr">
        <is>
          <t>Knärot
Grönpyrola
Spindelblomster</t>
        </is>
      </c>
      <c r="S83">
        <f>HYPERLINK("https://klasma.github.io/Logging_2380/artfynd/A 7877-2021 artfynd.xlsx", "A 7877-2021")</f>
        <v/>
      </c>
      <c r="T83">
        <f>HYPERLINK("https://klasma.github.io/Logging_2380/kartor/A 7877-2021 karta.png", "A 7877-2021")</f>
        <v/>
      </c>
      <c r="U83">
        <f>HYPERLINK("https://klasma.github.io/Logging_2380/knärot/A 7877-2021 karta knärot.png", "A 7877-2021")</f>
        <v/>
      </c>
      <c r="V83">
        <f>HYPERLINK("https://klasma.github.io/Logging_2380/klagomål/A 7877-2021 FSC-klagomål.docx", "A 7877-2021")</f>
        <v/>
      </c>
      <c r="W83">
        <f>HYPERLINK("https://klasma.github.io/Logging_2380/klagomålsmail/A 7877-2021 FSC-klagomål mail.docx", "A 7877-2021")</f>
        <v/>
      </c>
      <c r="X83">
        <f>HYPERLINK("https://klasma.github.io/Logging_2380/tillsyn/A 7877-2021 tillsynsbegäran.docx", "A 7877-2021")</f>
        <v/>
      </c>
      <c r="Y83">
        <f>HYPERLINK("https://klasma.github.io/Logging_2380/tillsynsmail/A 7877-2021 tillsynsbegäran mail.docx", "A 7877-2021")</f>
        <v/>
      </c>
    </row>
    <row r="84" ht="15" customHeight="1">
      <c r="A84" t="inlineStr">
        <is>
          <t>A 54421-2021</t>
        </is>
      </c>
      <c r="B84" s="1" t="n">
        <v>44473</v>
      </c>
      <c r="C84" s="1" t="n">
        <v>45730</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29349-2022</t>
        </is>
      </c>
      <c r="B85" s="1" t="n">
        <v>44750</v>
      </c>
      <c r="C85" s="1" t="n">
        <v>45730</v>
      </c>
      <c r="D85" t="inlineStr">
        <is>
          <t>JÄMTLANDS LÄN</t>
        </is>
      </c>
      <c r="E85" t="inlineStr">
        <is>
          <t>ÖSTERSUND</t>
        </is>
      </c>
      <c r="G85" t="n">
        <v>9.9</v>
      </c>
      <c r="H85" t="n">
        <v>1</v>
      </c>
      <c r="I85" t="n">
        <v>3</v>
      </c>
      <c r="J85" t="n">
        <v>0</v>
      </c>
      <c r="K85" t="n">
        <v>0</v>
      </c>
      <c r="L85" t="n">
        <v>0</v>
      </c>
      <c r="M85" t="n">
        <v>0</v>
      </c>
      <c r="N85" t="n">
        <v>0</v>
      </c>
      <c r="O85" t="n">
        <v>0</v>
      </c>
      <c r="P85" t="n">
        <v>0</v>
      </c>
      <c r="Q85" t="n">
        <v>3</v>
      </c>
      <c r="R85" s="2" t="inlineStr">
        <is>
          <t>Finbräken
Grönkulla
Kransrams</t>
        </is>
      </c>
      <c r="S85">
        <f>HYPERLINK("https://klasma.github.io/Logging_2380/artfynd/A 29349-2022 artfynd.xlsx", "A 29349-2022")</f>
        <v/>
      </c>
      <c r="T85">
        <f>HYPERLINK("https://klasma.github.io/Logging_2380/kartor/A 29349-2022 karta.png", "A 29349-2022")</f>
        <v/>
      </c>
      <c r="V85">
        <f>HYPERLINK("https://klasma.github.io/Logging_2380/klagomål/A 29349-2022 FSC-klagomål.docx", "A 29349-2022")</f>
        <v/>
      </c>
      <c r="W85">
        <f>HYPERLINK("https://klasma.github.io/Logging_2380/klagomålsmail/A 29349-2022 FSC-klagomål mail.docx", "A 29349-2022")</f>
        <v/>
      </c>
      <c r="X85">
        <f>HYPERLINK("https://klasma.github.io/Logging_2380/tillsyn/A 29349-2022 tillsynsbegäran.docx", "A 29349-2022")</f>
        <v/>
      </c>
      <c r="Y85">
        <f>HYPERLINK("https://klasma.github.io/Logging_2380/tillsynsmail/A 29349-2022 tillsynsbegäran mail.docx", "A 29349-2022")</f>
        <v/>
      </c>
    </row>
    <row r="86" ht="15" customHeight="1">
      <c r="A86" t="inlineStr">
        <is>
          <t>A 39641-2022</t>
        </is>
      </c>
      <c r="B86" s="1" t="n">
        <v>44817</v>
      </c>
      <c r="C86" s="1" t="n">
        <v>45730</v>
      </c>
      <c r="D86" t="inlineStr">
        <is>
          <t>JÄMTLANDS LÄN</t>
        </is>
      </c>
      <c r="E86" t="inlineStr">
        <is>
          <t>ÖSTERSUND</t>
        </is>
      </c>
      <c r="G86" t="n">
        <v>6</v>
      </c>
      <c r="H86" t="n">
        <v>2</v>
      </c>
      <c r="I86" t="n">
        <v>1</v>
      </c>
      <c r="J86" t="n">
        <v>1</v>
      </c>
      <c r="K86" t="n">
        <v>1</v>
      </c>
      <c r="L86" t="n">
        <v>0</v>
      </c>
      <c r="M86" t="n">
        <v>0</v>
      </c>
      <c r="N86" t="n">
        <v>0</v>
      </c>
      <c r="O86" t="n">
        <v>2</v>
      </c>
      <c r="P86" t="n">
        <v>1</v>
      </c>
      <c r="Q86" t="n">
        <v>3</v>
      </c>
      <c r="R86" s="2" t="inlineStr">
        <is>
          <t>Knärot
Tretåig hackspett
Kransrams</t>
        </is>
      </c>
      <c r="S86">
        <f>HYPERLINK("https://klasma.github.io/Logging_2380/artfynd/A 39641-2022 artfynd.xlsx", "A 39641-2022")</f>
        <v/>
      </c>
      <c r="T86">
        <f>HYPERLINK("https://klasma.github.io/Logging_2380/kartor/A 39641-2022 karta.png", "A 39641-2022")</f>
        <v/>
      </c>
      <c r="U86">
        <f>HYPERLINK("https://klasma.github.io/Logging_2380/knärot/A 39641-2022 karta knärot.png", "A 39641-2022")</f>
        <v/>
      </c>
      <c r="V86">
        <f>HYPERLINK("https://klasma.github.io/Logging_2380/klagomål/A 39641-2022 FSC-klagomål.docx", "A 39641-2022")</f>
        <v/>
      </c>
      <c r="W86">
        <f>HYPERLINK("https://klasma.github.io/Logging_2380/klagomålsmail/A 39641-2022 FSC-klagomål mail.docx", "A 39641-2022")</f>
        <v/>
      </c>
      <c r="X86">
        <f>HYPERLINK("https://klasma.github.io/Logging_2380/tillsyn/A 39641-2022 tillsynsbegäran.docx", "A 39641-2022")</f>
        <v/>
      </c>
      <c r="Y86">
        <f>HYPERLINK("https://klasma.github.io/Logging_2380/tillsynsmail/A 39641-2022 tillsynsbegäran mail.docx", "A 39641-2022")</f>
        <v/>
      </c>
      <c r="Z86">
        <f>HYPERLINK("https://klasma.github.io/Logging_2380/fåglar/A 39641-2022 prioriterade fågelarter.docx", "A 39641-2022")</f>
        <v/>
      </c>
    </row>
    <row r="87" ht="15" customHeight="1">
      <c r="A87" t="inlineStr">
        <is>
          <t>A 60565-2022</t>
        </is>
      </c>
      <c r="B87" s="1" t="n">
        <v>44904</v>
      </c>
      <c r="C87" s="1" t="n">
        <v>45730</v>
      </c>
      <c r="D87" t="inlineStr">
        <is>
          <t>JÄMTLANDS LÄN</t>
        </is>
      </c>
      <c r="E87" t="inlineStr">
        <is>
          <t>ÖSTERSUND</t>
        </is>
      </c>
      <c r="G87" t="n">
        <v>2.5</v>
      </c>
      <c r="H87" t="n">
        <v>2</v>
      </c>
      <c r="I87" t="n">
        <v>0</v>
      </c>
      <c r="J87" t="n">
        <v>2</v>
      </c>
      <c r="K87" t="n">
        <v>0</v>
      </c>
      <c r="L87" t="n">
        <v>0</v>
      </c>
      <c r="M87" t="n">
        <v>0</v>
      </c>
      <c r="N87" t="n">
        <v>0</v>
      </c>
      <c r="O87" t="n">
        <v>2</v>
      </c>
      <c r="P87" t="n">
        <v>0</v>
      </c>
      <c r="Q87" t="n">
        <v>3</v>
      </c>
      <c r="R87" s="2" t="inlineStr">
        <is>
          <t>Garnlav
Talltita
Revlummer</t>
        </is>
      </c>
      <c r="S87">
        <f>HYPERLINK("https://klasma.github.io/Logging_2380/artfynd/A 60565-2022 artfynd.xlsx", "A 60565-2022")</f>
        <v/>
      </c>
      <c r="T87">
        <f>HYPERLINK("https://klasma.github.io/Logging_2380/kartor/A 60565-2022 karta.png", "A 60565-2022")</f>
        <v/>
      </c>
      <c r="V87">
        <f>HYPERLINK("https://klasma.github.io/Logging_2380/klagomål/A 60565-2022 FSC-klagomål.docx", "A 60565-2022")</f>
        <v/>
      </c>
      <c r="W87">
        <f>HYPERLINK("https://klasma.github.io/Logging_2380/klagomålsmail/A 60565-2022 FSC-klagomål mail.docx", "A 60565-2022")</f>
        <v/>
      </c>
      <c r="X87">
        <f>HYPERLINK("https://klasma.github.io/Logging_2380/tillsyn/A 60565-2022 tillsynsbegäran.docx", "A 60565-2022")</f>
        <v/>
      </c>
      <c r="Y87">
        <f>HYPERLINK("https://klasma.github.io/Logging_2380/tillsynsmail/A 60565-2022 tillsynsbegäran mail.docx", "A 60565-2022")</f>
        <v/>
      </c>
      <c r="Z87">
        <f>HYPERLINK("https://klasma.github.io/Logging_2380/fåglar/A 60565-2022 prioriterade fågelarter.docx", "A 60565-2022")</f>
        <v/>
      </c>
    </row>
    <row r="88" ht="15" customHeight="1">
      <c r="A88" t="inlineStr">
        <is>
          <t>A 5100-2023</t>
        </is>
      </c>
      <c r="B88" s="1" t="n">
        <v>44956</v>
      </c>
      <c r="C88" s="1" t="n">
        <v>45730</v>
      </c>
      <c r="D88" t="inlineStr">
        <is>
          <t>JÄMTLANDS LÄN</t>
        </is>
      </c>
      <c r="E88" t="inlineStr">
        <is>
          <t>ÖSTERSUND</t>
        </is>
      </c>
      <c r="G88" t="n">
        <v>2.6</v>
      </c>
      <c r="H88" t="n">
        <v>0</v>
      </c>
      <c r="I88" t="n">
        <v>2</v>
      </c>
      <c r="J88" t="n">
        <v>0</v>
      </c>
      <c r="K88" t="n">
        <v>0</v>
      </c>
      <c r="L88" t="n">
        <v>1</v>
      </c>
      <c r="M88" t="n">
        <v>0</v>
      </c>
      <c r="N88" t="n">
        <v>0</v>
      </c>
      <c r="O88" t="n">
        <v>1</v>
      </c>
      <c r="P88" t="n">
        <v>1</v>
      </c>
      <c r="Q88" t="n">
        <v>3</v>
      </c>
      <c r="R88" s="2" t="inlineStr">
        <is>
          <t>Trolldruvemätare
Svart trolldruva
Tibast</t>
        </is>
      </c>
      <c r="S88">
        <f>HYPERLINK("https://klasma.github.io/Logging_2380/artfynd/A 5100-2023 artfynd.xlsx", "A 5100-2023")</f>
        <v/>
      </c>
      <c r="T88">
        <f>HYPERLINK("https://klasma.github.io/Logging_2380/kartor/A 5100-2023 karta.png", "A 5100-2023")</f>
        <v/>
      </c>
      <c r="V88">
        <f>HYPERLINK("https://klasma.github.io/Logging_2380/klagomål/A 5100-2023 FSC-klagomål.docx", "A 5100-2023")</f>
        <v/>
      </c>
      <c r="W88">
        <f>HYPERLINK("https://klasma.github.io/Logging_2380/klagomålsmail/A 5100-2023 FSC-klagomål mail.docx", "A 5100-2023")</f>
        <v/>
      </c>
      <c r="X88">
        <f>HYPERLINK("https://klasma.github.io/Logging_2380/tillsyn/A 5100-2023 tillsynsbegäran.docx", "A 5100-2023")</f>
        <v/>
      </c>
      <c r="Y88">
        <f>HYPERLINK("https://klasma.github.io/Logging_2380/tillsynsmail/A 5100-2023 tillsynsbegäran mail.docx", "A 5100-2023")</f>
        <v/>
      </c>
    </row>
    <row r="89" ht="15" customHeight="1">
      <c r="A89" t="inlineStr">
        <is>
          <t>A 19520-2023</t>
        </is>
      </c>
      <c r="B89" s="1" t="n">
        <v>45049</v>
      </c>
      <c r="C89" s="1" t="n">
        <v>45730</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21752-2023</t>
        </is>
      </c>
      <c r="B90" s="1" t="n">
        <v>45063</v>
      </c>
      <c r="C90" s="1" t="n">
        <v>45730</v>
      </c>
      <c r="D90" t="inlineStr">
        <is>
          <t>JÄMTLANDS LÄN</t>
        </is>
      </c>
      <c r="E90" t="inlineStr">
        <is>
          <t>ÖSTERSUND</t>
        </is>
      </c>
      <c r="G90" t="n">
        <v>1.5</v>
      </c>
      <c r="H90" t="n">
        <v>3</v>
      </c>
      <c r="I90" t="n">
        <v>1</v>
      </c>
      <c r="J90" t="n">
        <v>0</v>
      </c>
      <c r="K90" t="n">
        <v>1</v>
      </c>
      <c r="L90" t="n">
        <v>0</v>
      </c>
      <c r="M90" t="n">
        <v>0</v>
      </c>
      <c r="N90" t="n">
        <v>0</v>
      </c>
      <c r="O90" t="n">
        <v>1</v>
      </c>
      <c r="P90" t="n">
        <v>1</v>
      </c>
      <c r="Q90" t="n">
        <v>3</v>
      </c>
      <c r="R90" s="2" t="inlineStr">
        <is>
          <t>Knärot
Spindelblomster
Fläcknycklar</t>
        </is>
      </c>
      <c r="S90">
        <f>HYPERLINK("https://klasma.github.io/Logging_2380/artfynd/A 21752-2023 artfynd.xlsx", "A 21752-2023")</f>
        <v/>
      </c>
      <c r="T90">
        <f>HYPERLINK("https://klasma.github.io/Logging_2380/kartor/A 21752-2023 karta.png", "A 21752-2023")</f>
        <v/>
      </c>
      <c r="U90">
        <f>HYPERLINK("https://klasma.github.io/Logging_2380/knärot/A 21752-2023 karta knärot.png", "A 21752-2023")</f>
        <v/>
      </c>
      <c r="V90">
        <f>HYPERLINK("https://klasma.github.io/Logging_2380/klagomål/A 21752-2023 FSC-klagomål.docx", "A 21752-2023")</f>
        <v/>
      </c>
      <c r="W90">
        <f>HYPERLINK("https://klasma.github.io/Logging_2380/klagomålsmail/A 21752-2023 FSC-klagomål mail.docx", "A 21752-2023")</f>
        <v/>
      </c>
      <c r="X90">
        <f>HYPERLINK("https://klasma.github.io/Logging_2380/tillsyn/A 21752-2023 tillsynsbegäran.docx", "A 21752-2023")</f>
        <v/>
      </c>
      <c r="Y90">
        <f>HYPERLINK("https://klasma.github.io/Logging_2380/tillsynsmail/A 21752-2023 tillsynsbegäran mail.docx", "A 21752-2023")</f>
        <v/>
      </c>
    </row>
    <row r="91" ht="15" customHeight="1">
      <c r="A91" t="inlineStr">
        <is>
          <t>A 43981-2023</t>
        </is>
      </c>
      <c r="B91" s="1" t="n">
        <v>45187</v>
      </c>
      <c r="C91" s="1" t="n">
        <v>45730</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46705-2023</t>
        </is>
      </c>
      <c r="B92" s="1" t="n">
        <v>45198</v>
      </c>
      <c r="C92" s="1" t="n">
        <v>45730</v>
      </c>
      <c r="D92" t="inlineStr">
        <is>
          <t>JÄMTLANDS LÄN</t>
        </is>
      </c>
      <c r="E92" t="inlineStr">
        <is>
          <t>ÖSTERSUND</t>
        </is>
      </c>
      <c r="F92" t="inlineStr">
        <is>
          <t>Sveaskog</t>
        </is>
      </c>
      <c r="G92" t="n">
        <v>7.5</v>
      </c>
      <c r="H92" t="n">
        <v>1</v>
      </c>
      <c r="I92" t="n">
        <v>3</v>
      </c>
      <c r="J92" t="n">
        <v>0</v>
      </c>
      <c r="K92" t="n">
        <v>0</v>
      </c>
      <c r="L92" t="n">
        <v>0</v>
      </c>
      <c r="M92" t="n">
        <v>0</v>
      </c>
      <c r="N92" t="n">
        <v>0</v>
      </c>
      <c r="O92" t="n">
        <v>0</v>
      </c>
      <c r="P92" t="n">
        <v>0</v>
      </c>
      <c r="Q92" t="n">
        <v>3</v>
      </c>
      <c r="R92" s="2" t="inlineStr">
        <is>
          <t>Finbräken
Guckusko
Ögonpyrola</t>
        </is>
      </c>
      <c r="S92">
        <f>HYPERLINK("https://klasma.github.io/Logging_2380/artfynd/A 46705-2023 artfynd.xlsx", "A 46705-2023")</f>
        <v/>
      </c>
      <c r="T92">
        <f>HYPERLINK("https://klasma.github.io/Logging_2380/kartor/A 46705-2023 karta.png", "A 46705-2023")</f>
        <v/>
      </c>
      <c r="V92">
        <f>HYPERLINK("https://klasma.github.io/Logging_2380/klagomål/A 46705-2023 FSC-klagomål.docx", "A 46705-2023")</f>
        <v/>
      </c>
      <c r="W92">
        <f>HYPERLINK("https://klasma.github.io/Logging_2380/klagomålsmail/A 46705-2023 FSC-klagomål mail.docx", "A 46705-2023")</f>
        <v/>
      </c>
      <c r="X92">
        <f>HYPERLINK("https://klasma.github.io/Logging_2380/tillsyn/A 46705-2023 tillsynsbegäran.docx", "A 46705-2023")</f>
        <v/>
      </c>
      <c r="Y92">
        <f>HYPERLINK("https://klasma.github.io/Logging_2380/tillsynsmail/A 46705-2023 tillsynsbegäran mail.docx", "A 46705-2023")</f>
        <v/>
      </c>
    </row>
    <row r="93" ht="15" customHeight="1">
      <c r="A93" t="inlineStr">
        <is>
          <t>A 51877-2023</t>
        </is>
      </c>
      <c r="B93" s="1" t="n">
        <v>45215</v>
      </c>
      <c r="C93" s="1" t="n">
        <v>45730</v>
      </c>
      <c r="D93" t="inlineStr">
        <is>
          <t>JÄMTLANDS LÄN</t>
        </is>
      </c>
      <c r="E93" t="inlineStr">
        <is>
          <t>ÖSTERSUND</t>
        </is>
      </c>
      <c r="G93" t="n">
        <v>10.5</v>
      </c>
      <c r="H93" t="n">
        <v>1</v>
      </c>
      <c r="I93" t="n">
        <v>1</v>
      </c>
      <c r="J93" t="n">
        <v>2</v>
      </c>
      <c r="K93" t="n">
        <v>0</v>
      </c>
      <c r="L93" t="n">
        <v>0</v>
      </c>
      <c r="M93" t="n">
        <v>0</v>
      </c>
      <c r="N93" t="n">
        <v>0</v>
      </c>
      <c r="O93" t="n">
        <v>2</v>
      </c>
      <c r="P93" t="n">
        <v>0</v>
      </c>
      <c r="Q93" t="n">
        <v>3</v>
      </c>
      <c r="R93" s="2" t="inlineStr">
        <is>
          <t>Garnlav
Talltita
Nästlav</t>
        </is>
      </c>
      <c r="S93">
        <f>HYPERLINK("https://klasma.github.io/Logging_2380/artfynd/A 51877-2023 artfynd.xlsx", "A 51877-2023")</f>
        <v/>
      </c>
      <c r="T93">
        <f>HYPERLINK("https://klasma.github.io/Logging_2380/kartor/A 51877-2023 karta.png", "A 51877-2023")</f>
        <v/>
      </c>
      <c r="V93">
        <f>HYPERLINK("https://klasma.github.io/Logging_2380/klagomål/A 51877-2023 FSC-klagomål.docx", "A 51877-2023")</f>
        <v/>
      </c>
      <c r="W93">
        <f>HYPERLINK("https://klasma.github.io/Logging_2380/klagomålsmail/A 51877-2023 FSC-klagomål mail.docx", "A 51877-2023")</f>
        <v/>
      </c>
      <c r="X93">
        <f>HYPERLINK("https://klasma.github.io/Logging_2380/tillsyn/A 51877-2023 tillsynsbegäran.docx", "A 51877-2023")</f>
        <v/>
      </c>
      <c r="Y93">
        <f>HYPERLINK("https://klasma.github.io/Logging_2380/tillsynsmail/A 51877-2023 tillsynsbegäran mail.docx", "A 51877-2023")</f>
        <v/>
      </c>
      <c r="Z93">
        <f>HYPERLINK("https://klasma.github.io/Logging_2380/fåglar/A 51877-2023 prioriterade fågelarter.docx", "A 51877-2023")</f>
        <v/>
      </c>
    </row>
    <row r="94" ht="15" customHeight="1">
      <c r="A94" t="inlineStr">
        <is>
          <t>A 3846-2024</t>
        </is>
      </c>
      <c r="B94" s="1" t="n">
        <v>45321</v>
      </c>
      <c r="C94" s="1" t="n">
        <v>45730</v>
      </c>
      <c r="D94" t="inlineStr">
        <is>
          <t>JÄMTLANDS LÄN</t>
        </is>
      </c>
      <c r="E94" t="inlineStr">
        <is>
          <t>ÖSTERSUND</t>
        </is>
      </c>
      <c r="G94" t="n">
        <v>2.2</v>
      </c>
      <c r="H94" t="n">
        <v>0</v>
      </c>
      <c r="I94" t="n">
        <v>2</v>
      </c>
      <c r="J94" t="n">
        <v>1</v>
      </c>
      <c r="K94" t="n">
        <v>0</v>
      </c>
      <c r="L94" t="n">
        <v>0</v>
      </c>
      <c r="M94" t="n">
        <v>0</v>
      </c>
      <c r="N94" t="n">
        <v>0</v>
      </c>
      <c r="O94" t="n">
        <v>1</v>
      </c>
      <c r="P94" t="n">
        <v>0</v>
      </c>
      <c r="Q94" t="n">
        <v>3</v>
      </c>
      <c r="R94" s="2" t="inlineStr">
        <is>
          <t>Granticka
Olivspindling
Svavelriska</t>
        </is>
      </c>
      <c r="S94">
        <f>HYPERLINK("https://klasma.github.io/Logging_2380/artfynd/A 3846-2024 artfynd.xlsx", "A 3846-2024")</f>
        <v/>
      </c>
      <c r="T94">
        <f>HYPERLINK("https://klasma.github.io/Logging_2380/kartor/A 3846-2024 karta.png", "A 3846-2024")</f>
        <v/>
      </c>
      <c r="V94">
        <f>HYPERLINK("https://klasma.github.io/Logging_2380/klagomål/A 3846-2024 FSC-klagomål.docx", "A 3846-2024")</f>
        <v/>
      </c>
      <c r="W94">
        <f>HYPERLINK("https://klasma.github.io/Logging_2380/klagomålsmail/A 3846-2024 FSC-klagomål mail.docx", "A 3846-2024")</f>
        <v/>
      </c>
      <c r="X94">
        <f>HYPERLINK("https://klasma.github.io/Logging_2380/tillsyn/A 3846-2024 tillsynsbegäran.docx", "A 3846-2024")</f>
        <v/>
      </c>
      <c r="Y94">
        <f>HYPERLINK("https://klasma.github.io/Logging_2380/tillsynsmail/A 3846-2024 tillsynsbegäran mail.docx", "A 3846-2024")</f>
        <v/>
      </c>
    </row>
    <row r="95" ht="15" customHeight="1">
      <c r="A95" t="inlineStr">
        <is>
          <t>A 31448-2024</t>
        </is>
      </c>
      <c r="B95" s="1" t="n">
        <v>45506</v>
      </c>
      <c r="C95" s="1" t="n">
        <v>45730</v>
      </c>
      <c r="D95" t="inlineStr">
        <is>
          <t>JÄMTLANDS LÄN</t>
        </is>
      </c>
      <c r="E95" t="inlineStr">
        <is>
          <t>ÖSTERSUND</t>
        </is>
      </c>
      <c r="G95" t="n">
        <v>10</v>
      </c>
      <c r="H95" t="n">
        <v>1</v>
      </c>
      <c r="I95" t="n">
        <v>0</v>
      </c>
      <c r="J95" t="n">
        <v>3</v>
      </c>
      <c r="K95" t="n">
        <v>0</v>
      </c>
      <c r="L95" t="n">
        <v>0</v>
      </c>
      <c r="M95" t="n">
        <v>0</v>
      </c>
      <c r="N95" t="n">
        <v>0</v>
      </c>
      <c r="O95" t="n">
        <v>3</v>
      </c>
      <c r="P95" t="n">
        <v>0</v>
      </c>
      <c r="Q95" t="n">
        <v>3</v>
      </c>
      <c r="R95" s="2" t="inlineStr">
        <is>
          <t>Garnlav
Granticka
Spillkråka</t>
        </is>
      </c>
      <c r="S95">
        <f>HYPERLINK("https://klasma.github.io/Logging_2380/artfynd/A 31448-2024 artfynd.xlsx", "A 31448-2024")</f>
        <v/>
      </c>
      <c r="T95">
        <f>HYPERLINK("https://klasma.github.io/Logging_2380/kartor/A 31448-2024 karta.png", "A 31448-2024")</f>
        <v/>
      </c>
      <c r="V95">
        <f>HYPERLINK("https://klasma.github.io/Logging_2380/klagomål/A 31448-2024 FSC-klagomål.docx", "A 31448-2024")</f>
        <v/>
      </c>
      <c r="W95">
        <f>HYPERLINK("https://klasma.github.io/Logging_2380/klagomålsmail/A 31448-2024 FSC-klagomål mail.docx", "A 31448-2024")</f>
        <v/>
      </c>
      <c r="X95">
        <f>HYPERLINK("https://klasma.github.io/Logging_2380/tillsyn/A 31448-2024 tillsynsbegäran.docx", "A 31448-2024")</f>
        <v/>
      </c>
      <c r="Y95">
        <f>HYPERLINK("https://klasma.github.io/Logging_2380/tillsynsmail/A 31448-2024 tillsynsbegäran mail.docx", "A 31448-2024")</f>
        <v/>
      </c>
      <c r="Z95">
        <f>HYPERLINK("https://klasma.github.io/Logging_2380/fåglar/A 31448-2024 prioriterade fågelarter.docx", "A 31448-2024")</f>
        <v/>
      </c>
    </row>
    <row r="96" ht="15" customHeight="1">
      <c r="A96" t="inlineStr">
        <is>
          <t>A 36742-2024</t>
        </is>
      </c>
      <c r="B96" s="1" t="n">
        <v>45538</v>
      </c>
      <c r="C96" s="1" t="n">
        <v>45730</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40695-2024</t>
        </is>
      </c>
      <c r="B97" s="1" t="n">
        <v>45558</v>
      </c>
      <c r="C97" s="1" t="n">
        <v>45730</v>
      </c>
      <c r="D97" t="inlineStr">
        <is>
          <t>JÄMTLANDS LÄN</t>
        </is>
      </c>
      <c r="E97" t="inlineStr">
        <is>
          <t>ÖSTERSUND</t>
        </is>
      </c>
      <c r="F97" t="inlineStr">
        <is>
          <t>SCA</t>
        </is>
      </c>
      <c r="G97" t="n">
        <v>2.9</v>
      </c>
      <c r="H97" t="n">
        <v>0</v>
      </c>
      <c r="I97" t="n">
        <v>2</v>
      </c>
      <c r="J97" t="n">
        <v>1</v>
      </c>
      <c r="K97" t="n">
        <v>0</v>
      </c>
      <c r="L97" t="n">
        <v>0</v>
      </c>
      <c r="M97" t="n">
        <v>0</v>
      </c>
      <c r="N97" t="n">
        <v>0</v>
      </c>
      <c r="O97" t="n">
        <v>1</v>
      </c>
      <c r="P97" t="n">
        <v>0</v>
      </c>
      <c r="Q97" t="n">
        <v>3</v>
      </c>
      <c r="R97" s="2" t="inlineStr">
        <is>
          <t>Lunglav
Dropptaggsvamp
Skinnlav</t>
        </is>
      </c>
      <c r="S97">
        <f>HYPERLINK("https://klasma.github.io/Logging_2380/artfynd/A 40695-2024 artfynd.xlsx", "A 40695-2024")</f>
        <v/>
      </c>
      <c r="T97">
        <f>HYPERLINK("https://klasma.github.io/Logging_2380/kartor/A 40695-2024 karta.png", "A 40695-2024")</f>
        <v/>
      </c>
      <c r="V97">
        <f>HYPERLINK("https://klasma.github.io/Logging_2380/klagomål/A 40695-2024 FSC-klagomål.docx", "A 40695-2024")</f>
        <v/>
      </c>
      <c r="W97">
        <f>HYPERLINK("https://klasma.github.io/Logging_2380/klagomålsmail/A 40695-2024 FSC-klagomål mail.docx", "A 40695-2024")</f>
        <v/>
      </c>
      <c r="X97">
        <f>HYPERLINK("https://klasma.github.io/Logging_2380/tillsyn/A 40695-2024 tillsynsbegäran.docx", "A 40695-2024")</f>
        <v/>
      </c>
      <c r="Y97">
        <f>HYPERLINK("https://klasma.github.io/Logging_2380/tillsynsmail/A 40695-2024 tillsynsbegäran mail.docx", "A 40695-2024")</f>
        <v/>
      </c>
    </row>
    <row r="98" ht="15" customHeight="1">
      <c r="A98" t="inlineStr">
        <is>
          <t>A 41282-2024</t>
        </is>
      </c>
      <c r="B98" s="1" t="n">
        <v>45559</v>
      </c>
      <c r="C98" s="1" t="n">
        <v>45730</v>
      </c>
      <c r="D98" t="inlineStr">
        <is>
          <t>JÄMTLANDS LÄN</t>
        </is>
      </c>
      <c r="E98" t="inlineStr">
        <is>
          <t>ÖSTERSUND</t>
        </is>
      </c>
      <c r="F98" t="inlineStr">
        <is>
          <t>SCA</t>
        </is>
      </c>
      <c r="G98" t="n">
        <v>2.4</v>
      </c>
      <c r="H98" t="n">
        <v>0</v>
      </c>
      <c r="I98" t="n">
        <v>1</v>
      </c>
      <c r="J98" t="n">
        <v>2</v>
      </c>
      <c r="K98" t="n">
        <v>0</v>
      </c>
      <c r="L98" t="n">
        <v>0</v>
      </c>
      <c r="M98" t="n">
        <v>0</v>
      </c>
      <c r="N98" t="n">
        <v>0</v>
      </c>
      <c r="O98" t="n">
        <v>2</v>
      </c>
      <c r="P98" t="n">
        <v>0</v>
      </c>
      <c r="Q98" t="n">
        <v>3</v>
      </c>
      <c r="R98" s="2" t="inlineStr">
        <is>
          <t>Mörk kolflarnlav
Vitgrynig nållav
Dropptaggsvamp</t>
        </is>
      </c>
      <c r="S98">
        <f>HYPERLINK("https://klasma.github.io/Logging_2380/artfynd/A 41282-2024 artfynd.xlsx", "A 41282-2024")</f>
        <v/>
      </c>
      <c r="T98">
        <f>HYPERLINK("https://klasma.github.io/Logging_2380/kartor/A 41282-2024 karta.png", "A 41282-2024")</f>
        <v/>
      </c>
      <c r="V98">
        <f>HYPERLINK("https://klasma.github.io/Logging_2380/klagomål/A 41282-2024 FSC-klagomål.docx", "A 41282-2024")</f>
        <v/>
      </c>
      <c r="W98">
        <f>HYPERLINK("https://klasma.github.io/Logging_2380/klagomålsmail/A 41282-2024 FSC-klagomål mail.docx", "A 41282-2024")</f>
        <v/>
      </c>
      <c r="X98">
        <f>HYPERLINK("https://klasma.github.io/Logging_2380/tillsyn/A 41282-2024 tillsynsbegäran.docx", "A 41282-2024")</f>
        <v/>
      </c>
      <c r="Y98">
        <f>HYPERLINK("https://klasma.github.io/Logging_2380/tillsynsmail/A 41282-2024 tillsynsbegäran mail.docx", "A 41282-2024")</f>
        <v/>
      </c>
    </row>
    <row r="99" ht="15" customHeight="1">
      <c r="A99" t="inlineStr">
        <is>
          <t>A 44047-2024</t>
        </is>
      </c>
      <c r="B99" s="1" t="n">
        <v>45572</v>
      </c>
      <c r="C99" s="1" t="n">
        <v>45730</v>
      </c>
      <c r="D99" t="inlineStr">
        <is>
          <t>JÄMTLANDS LÄN</t>
        </is>
      </c>
      <c r="E99" t="inlineStr">
        <is>
          <t>ÖSTERSUND</t>
        </is>
      </c>
      <c r="F99" t="inlineStr">
        <is>
          <t>SCA</t>
        </is>
      </c>
      <c r="G99" t="n">
        <v>5.8</v>
      </c>
      <c r="H99" t="n">
        <v>1</v>
      </c>
      <c r="I99" t="n">
        <v>0</v>
      </c>
      <c r="J99" t="n">
        <v>2</v>
      </c>
      <c r="K99" t="n">
        <v>1</v>
      </c>
      <c r="L99" t="n">
        <v>0</v>
      </c>
      <c r="M99" t="n">
        <v>0</v>
      </c>
      <c r="N99" t="n">
        <v>0</v>
      </c>
      <c r="O99" t="n">
        <v>3</v>
      </c>
      <c r="P99" t="n">
        <v>1</v>
      </c>
      <c r="Q99" t="n">
        <v>3</v>
      </c>
      <c r="R99" s="2" t="inlineStr">
        <is>
          <t>Knärot
Lunglav
Motaggsvamp</t>
        </is>
      </c>
      <c r="S99">
        <f>HYPERLINK("https://klasma.github.io/Logging_2380/artfynd/A 44047-2024 artfynd.xlsx", "A 44047-2024")</f>
        <v/>
      </c>
      <c r="T99">
        <f>HYPERLINK("https://klasma.github.io/Logging_2380/kartor/A 44047-2024 karta.png", "A 44047-2024")</f>
        <v/>
      </c>
      <c r="U99">
        <f>HYPERLINK("https://klasma.github.io/Logging_2380/knärot/A 44047-2024 karta knärot.png", "A 44047-2024")</f>
        <v/>
      </c>
      <c r="V99">
        <f>HYPERLINK("https://klasma.github.io/Logging_2380/klagomål/A 44047-2024 FSC-klagomål.docx", "A 44047-2024")</f>
        <v/>
      </c>
      <c r="W99">
        <f>HYPERLINK("https://klasma.github.io/Logging_2380/klagomålsmail/A 44047-2024 FSC-klagomål mail.docx", "A 44047-2024")</f>
        <v/>
      </c>
      <c r="X99">
        <f>HYPERLINK("https://klasma.github.io/Logging_2380/tillsyn/A 44047-2024 tillsynsbegäran.docx", "A 44047-2024")</f>
        <v/>
      </c>
      <c r="Y99">
        <f>HYPERLINK("https://klasma.github.io/Logging_2380/tillsynsmail/A 44047-2024 tillsynsbegäran mail.docx", "A 44047-2024")</f>
        <v/>
      </c>
    </row>
    <row r="100" ht="15" customHeight="1">
      <c r="A100" t="inlineStr">
        <is>
          <t>A 44877-2024</t>
        </is>
      </c>
      <c r="B100" s="1" t="n">
        <v>45575</v>
      </c>
      <c r="C100" s="1" t="n">
        <v>45730</v>
      </c>
      <c r="D100" t="inlineStr">
        <is>
          <t>JÄMTLANDS LÄN</t>
        </is>
      </c>
      <c r="E100" t="inlineStr">
        <is>
          <t>ÖSTERSUND</t>
        </is>
      </c>
      <c r="F100" t="inlineStr">
        <is>
          <t>SCA</t>
        </is>
      </c>
      <c r="G100" t="n">
        <v>6.4</v>
      </c>
      <c r="H100" t="n">
        <v>1</v>
      </c>
      <c r="I100" t="n">
        <v>1</v>
      </c>
      <c r="J100" t="n">
        <v>1</v>
      </c>
      <c r="K100" t="n">
        <v>1</v>
      </c>
      <c r="L100" t="n">
        <v>0</v>
      </c>
      <c r="M100" t="n">
        <v>0</v>
      </c>
      <c r="N100" t="n">
        <v>0</v>
      </c>
      <c r="O100" t="n">
        <v>2</v>
      </c>
      <c r="P100" t="n">
        <v>1</v>
      </c>
      <c r="Q100" t="n">
        <v>3</v>
      </c>
      <c r="R100" s="2" t="inlineStr">
        <is>
          <t>Knärot
Lunglav
Dropptaggsvamp</t>
        </is>
      </c>
      <c r="S100">
        <f>HYPERLINK("https://klasma.github.io/Logging_2380/artfynd/A 44877-2024 artfynd.xlsx", "A 44877-2024")</f>
        <v/>
      </c>
      <c r="T100">
        <f>HYPERLINK("https://klasma.github.io/Logging_2380/kartor/A 44877-2024 karta.png", "A 44877-2024")</f>
        <v/>
      </c>
      <c r="U100">
        <f>HYPERLINK("https://klasma.github.io/Logging_2380/knärot/A 44877-2024 karta knärot.png", "A 44877-2024")</f>
        <v/>
      </c>
      <c r="V100">
        <f>HYPERLINK("https://klasma.github.io/Logging_2380/klagomål/A 44877-2024 FSC-klagomål.docx", "A 44877-2024")</f>
        <v/>
      </c>
      <c r="W100">
        <f>HYPERLINK("https://klasma.github.io/Logging_2380/klagomålsmail/A 44877-2024 FSC-klagomål mail.docx", "A 44877-2024")</f>
        <v/>
      </c>
      <c r="X100">
        <f>HYPERLINK("https://klasma.github.io/Logging_2380/tillsyn/A 44877-2024 tillsynsbegäran.docx", "A 44877-2024")</f>
        <v/>
      </c>
      <c r="Y100">
        <f>HYPERLINK("https://klasma.github.io/Logging_2380/tillsynsmail/A 44877-2024 tillsynsbegäran mail.docx", "A 44877-2024")</f>
        <v/>
      </c>
    </row>
    <row r="101" ht="15" customHeight="1">
      <c r="A101" t="inlineStr">
        <is>
          <t>A 53652-2024</t>
        </is>
      </c>
      <c r="B101" s="1" t="n">
        <v>45615</v>
      </c>
      <c r="C101" s="1" t="n">
        <v>45730</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56599-2024</t>
        </is>
      </c>
      <c r="B102" s="1" t="n">
        <v>45625</v>
      </c>
      <c r="C102" s="1" t="n">
        <v>45730</v>
      </c>
      <c r="D102" t="inlineStr">
        <is>
          <t>JÄMTLANDS LÄN</t>
        </is>
      </c>
      <c r="E102" t="inlineStr">
        <is>
          <t>ÖSTERSUND</t>
        </is>
      </c>
      <c r="G102" t="n">
        <v>2.1</v>
      </c>
      <c r="H102" t="n">
        <v>3</v>
      </c>
      <c r="I102" t="n">
        <v>0</v>
      </c>
      <c r="J102" t="n">
        <v>0</v>
      </c>
      <c r="K102" t="n">
        <v>1</v>
      </c>
      <c r="L102" t="n">
        <v>0</v>
      </c>
      <c r="M102" t="n">
        <v>0</v>
      </c>
      <c r="N102" t="n">
        <v>0</v>
      </c>
      <c r="O102" t="n">
        <v>1</v>
      </c>
      <c r="P102" t="n">
        <v>1</v>
      </c>
      <c r="Q102" t="n">
        <v>3</v>
      </c>
      <c r="R102" s="2" t="inlineStr">
        <is>
          <t>Knärot
Blåsippa
Revlummer</t>
        </is>
      </c>
      <c r="S102">
        <f>HYPERLINK("https://klasma.github.io/Logging_2380/artfynd/A 56599-2024 artfynd.xlsx", "A 56599-2024")</f>
        <v/>
      </c>
      <c r="T102">
        <f>HYPERLINK("https://klasma.github.io/Logging_2380/kartor/A 56599-2024 karta.png", "A 56599-2024")</f>
        <v/>
      </c>
      <c r="U102">
        <f>HYPERLINK("https://klasma.github.io/Logging_2380/knärot/A 56599-2024 karta knärot.png", "A 56599-2024")</f>
        <v/>
      </c>
      <c r="V102">
        <f>HYPERLINK("https://klasma.github.io/Logging_2380/klagomål/A 56599-2024 FSC-klagomål.docx", "A 56599-2024")</f>
        <v/>
      </c>
      <c r="W102">
        <f>HYPERLINK("https://klasma.github.io/Logging_2380/klagomålsmail/A 56599-2024 FSC-klagomål mail.docx", "A 56599-2024")</f>
        <v/>
      </c>
      <c r="X102">
        <f>HYPERLINK("https://klasma.github.io/Logging_2380/tillsyn/A 56599-2024 tillsynsbegäran.docx", "A 56599-2024")</f>
        <v/>
      </c>
      <c r="Y102">
        <f>HYPERLINK("https://klasma.github.io/Logging_2380/tillsynsmail/A 56599-2024 tillsynsbegäran mail.docx", "A 56599-2024")</f>
        <v/>
      </c>
    </row>
    <row r="103" ht="15" customHeight="1">
      <c r="A103" t="inlineStr">
        <is>
          <t>A 7965-2025</t>
        </is>
      </c>
      <c r="B103" s="1" t="n">
        <v>45707</v>
      </c>
      <c r="C103" s="1" t="n">
        <v>45730</v>
      </c>
      <c r="D103" t="inlineStr">
        <is>
          <t>JÄMTLANDS LÄN</t>
        </is>
      </c>
      <c r="E103" t="inlineStr">
        <is>
          <t>ÖSTERSUND</t>
        </is>
      </c>
      <c r="G103" t="n">
        <v>3.7</v>
      </c>
      <c r="H103" t="n">
        <v>2</v>
      </c>
      <c r="I103" t="n">
        <v>1</v>
      </c>
      <c r="J103" t="n">
        <v>0</v>
      </c>
      <c r="K103" t="n">
        <v>0</v>
      </c>
      <c r="L103" t="n">
        <v>0</v>
      </c>
      <c r="M103" t="n">
        <v>0</v>
      </c>
      <c r="N103" t="n">
        <v>0</v>
      </c>
      <c r="O103" t="n">
        <v>0</v>
      </c>
      <c r="P103" t="n">
        <v>0</v>
      </c>
      <c r="Q103" t="n">
        <v>3</v>
      </c>
      <c r="R103" s="2" t="inlineStr">
        <is>
          <t>Finbräken
Fläcknycklar
Blåsippa</t>
        </is>
      </c>
      <c r="S103">
        <f>HYPERLINK("https://klasma.github.io/Logging_2380/artfynd/A 7965-2025 artfynd.xlsx", "A 7965-2025")</f>
        <v/>
      </c>
      <c r="T103">
        <f>HYPERLINK("https://klasma.github.io/Logging_2380/kartor/A 7965-2025 karta.png", "A 7965-2025")</f>
        <v/>
      </c>
      <c r="V103">
        <f>HYPERLINK("https://klasma.github.io/Logging_2380/klagomål/A 7965-2025 FSC-klagomål.docx", "A 7965-2025")</f>
        <v/>
      </c>
      <c r="W103">
        <f>HYPERLINK("https://klasma.github.io/Logging_2380/klagomålsmail/A 7965-2025 FSC-klagomål mail.docx", "A 7965-2025")</f>
        <v/>
      </c>
      <c r="X103">
        <f>HYPERLINK("https://klasma.github.io/Logging_2380/tillsyn/A 7965-2025 tillsynsbegäran.docx", "A 7965-2025")</f>
        <v/>
      </c>
      <c r="Y103">
        <f>HYPERLINK("https://klasma.github.io/Logging_2380/tillsynsmail/A 7965-2025 tillsynsbegäran mail.docx", "A 7965-2025")</f>
        <v/>
      </c>
    </row>
    <row r="104" ht="15" customHeight="1">
      <c r="A104" t="inlineStr">
        <is>
          <t>A 35996-2019</t>
        </is>
      </c>
      <c r="B104" s="1" t="n">
        <v>43656</v>
      </c>
      <c r="C104" s="1" t="n">
        <v>45730</v>
      </c>
      <c r="D104" t="inlineStr">
        <is>
          <t>JÄMTLANDS LÄN</t>
        </is>
      </c>
      <c r="E104" t="inlineStr">
        <is>
          <t>ÖSTERSUND</t>
        </is>
      </c>
      <c r="F104" t="inlineStr">
        <is>
          <t>SCA</t>
        </is>
      </c>
      <c r="G104" t="n">
        <v>1.4</v>
      </c>
      <c r="H104" t="n">
        <v>1</v>
      </c>
      <c r="I104" t="n">
        <v>0</v>
      </c>
      <c r="J104" t="n">
        <v>1</v>
      </c>
      <c r="K104" t="n">
        <v>0</v>
      </c>
      <c r="L104" t="n">
        <v>0</v>
      </c>
      <c r="M104" t="n">
        <v>0</v>
      </c>
      <c r="N104" t="n">
        <v>0</v>
      </c>
      <c r="O104" t="n">
        <v>1</v>
      </c>
      <c r="P104" t="n">
        <v>0</v>
      </c>
      <c r="Q104" t="n">
        <v>2</v>
      </c>
      <c r="R104" s="2" t="inlineStr">
        <is>
          <t>Kolflarnlav
Blåsippa</t>
        </is>
      </c>
      <c r="S104">
        <f>HYPERLINK("https://klasma.github.io/Logging_2380/artfynd/A 35996-2019 artfynd.xlsx", "A 35996-2019")</f>
        <v/>
      </c>
      <c r="T104">
        <f>HYPERLINK("https://klasma.github.io/Logging_2380/kartor/A 35996-2019 karta.png", "A 35996-2019")</f>
        <v/>
      </c>
      <c r="V104">
        <f>HYPERLINK("https://klasma.github.io/Logging_2380/klagomål/A 35996-2019 FSC-klagomål.docx", "A 35996-2019")</f>
        <v/>
      </c>
      <c r="W104">
        <f>HYPERLINK("https://klasma.github.io/Logging_2380/klagomålsmail/A 35996-2019 FSC-klagomål mail.docx", "A 35996-2019")</f>
        <v/>
      </c>
      <c r="X104">
        <f>HYPERLINK("https://klasma.github.io/Logging_2380/tillsyn/A 35996-2019 tillsynsbegäran.docx", "A 35996-2019")</f>
        <v/>
      </c>
      <c r="Y104">
        <f>HYPERLINK("https://klasma.github.io/Logging_2380/tillsynsmail/A 35996-2019 tillsynsbegäran mail.docx", "A 35996-2019")</f>
        <v/>
      </c>
    </row>
    <row r="105" ht="15" customHeight="1">
      <c r="A105" t="inlineStr">
        <is>
          <t>A 29583-2021</t>
        </is>
      </c>
      <c r="B105" s="1" t="n">
        <v>44361</v>
      </c>
      <c r="C105" s="1" t="n">
        <v>45730</v>
      </c>
      <c r="D105" t="inlineStr">
        <is>
          <t>JÄMTLANDS LÄN</t>
        </is>
      </c>
      <c r="E105" t="inlineStr">
        <is>
          <t>ÖSTERSUND</t>
        </is>
      </c>
      <c r="G105" t="n">
        <v>11.7</v>
      </c>
      <c r="H105" t="n">
        <v>1</v>
      </c>
      <c r="I105" t="n">
        <v>1</v>
      </c>
      <c r="J105" t="n">
        <v>0</v>
      </c>
      <c r="K105" t="n">
        <v>0</v>
      </c>
      <c r="L105" t="n">
        <v>0</v>
      </c>
      <c r="M105" t="n">
        <v>0</v>
      </c>
      <c r="N105" t="n">
        <v>0</v>
      </c>
      <c r="O105" t="n">
        <v>0</v>
      </c>
      <c r="P105" t="n">
        <v>0</v>
      </c>
      <c r="Q105" t="n">
        <v>2</v>
      </c>
      <c r="R105" s="2" t="inlineStr">
        <is>
          <t>Kransrams
Blåsippa</t>
        </is>
      </c>
      <c r="S105">
        <f>HYPERLINK("https://klasma.github.io/Logging_2380/artfynd/A 29583-2021 artfynd.xlsx", "A 29583-2021")</f>
        <v/>
      </c>
      <c r="T105">
        <f>HYPERLINK("https://klasma.github.io/Logging_2380/kartor/A 29583-2021 karta.png", "A 29583-2021")</f>
        <v/>
      </c>
      <c r="V105">
        <f>HYPERLINK("https://klasma.github.io/Logging_2380/klagomål/A 29583-2021 FSC-klagomål.docx", "A 29583-2021")</f>
        <v/>
      </c>
      <c r="W105">
        <f>HYPERLINK("https://klasma.github.io/Logging_2380/klagomålsmail/A 29583-2021 FSC-klagomål mail.docx", "A 29583-2021")</f>
        <v/>
      </c>
      <c r="X105">
        <f>HYPERLINK("https://klasma.github.io/Logging_2380/tillsyn/A 29583-2021 tillsynsbegäran.docx", "A 29583-2021")</f>
        <v/>
      </c>
      <c r="Y105">
        <f>HYPERLINK("https://klasma.github.io/Logging_2380/tillsynsmail/A 29583-2021 tillsynsbegäran mail.docx", "A 29583-2021")</f>
        <v/>
      </c>
    </row>
    <row r="106" ht="15" customHeight="1">
      <c r="A106" t="inlineStr">
        <is>
          <t>A 30105-2021</t>
        </is>
      </c>
      <c r="B106" s="1" t="n">
        <v>44363</v>
      </c>
      <c r="C106" s="1" t="n">
        <v>45730</v>
      </c>
      <c r="D106" t="inlineStr">
        <is>
          <t>JÄMTLANDS LÄN</t>
        </is>
      </c>
      <c r="E106" t="inlineStr">
        <is>
          <t>ÖSTERSUND</t>
        </is>
      </c>
      <c r="G106" t="n">
        <v>2</v>
      </c>
      <c r="H106" t="n">
        <v>0</v>
      </c>
      <c r="I106" t="n">
        <v>2</v>
      </c>
      <c r="J106" t="n">
        <v>0</v>
      </c>
      <c r="K106" t="n">
        <v>0</v>
      </c>
      <c r="L106" t="n">
        <v>0</v>
      </c>
      <c r="M106" t="n">
        <v>0</v>
      </c>
      <c r="N106" t="n">
        <v>0</v>
      </c>
      <c r="O106" t="n">
        <v>0</v>
      </c>
      <c r="P106" t="n">
        <v>0</v>
      </c>
      <c r="Q106" t="n">
        <v>2</v>
      </c>
      <c r="R106" s="2" t="inlineStr">
        <is>
          <t>Grönpyrola
Ögonpyrola</t>
        </is>
      </c>
      <c r="S106">
        <f>HYPERLINK("https://klasma.github.io/Logging_2380/artfynd/A 30105-2021 artfynd.xlsx", "A 30105-2021")</f>
        <v/>
      </c>
      <c r="T106">
        <f>HYPERLINK("https://klasma.github.io/Logging_2380/kartor/A 30105-2021 karta.png", "A 30105-2021")</f>
        <v/>
      </c>
      <c r="V106">
        <f>HYPERLINK("https://klasma.github.io/Logging_2380/klagomål/A 30105-2021 FSC-klagomål.docx", "A 30105-2021")</f>
        <v/>
      </c>
      <c r="W106">
        <f>HYPERLINK("https://klasma.github.io/Logging_2380/klagomålsmail/A 30105-2021 FSC-klagomål mail.docx", "A 30105-2021")</f>
        <v/>
      </c>
      <c r="X106">
        <f>HYPERLINK("https://klasma.github.io/Logging_2380/tillsyn/A 30105-2021 tillsynsbegäran.docx", "A 30105-2021")</f>
        <v/>
      </c>
      <c r="Y106">
        <f>HYPERLINK("https://klasma.github.io/Logging_2380/tillsynsmail/A 30105-2021 tillsynsbegäran mail.docx", "A 30105-2021")</f>
        <v/>
      </c>
    </row>
    <row r="107" ht="15" customHeight="1">
      <c r="A107" t="inlineStr">
        <is>
          <t>A 46105-2021</t>
        </is>
      </c>
      <c r="B107" s="1" t="n">
        <v>44441</v>
      </c>
      <c r="C107" s="1" t="n">
        <v>45730</v>
      </c>
      <c r="D107" t="inlineStr">
        <is>
          <t>JÄMTLANDS LÄN</t>
        </is>
      </c>
      <c r="E107" t="inlineStr">
        <is>
          <t>ÖSTERSUND</t>
        </is>
      </c>
      <c r="G107" t="n">
        <v>4.4</v>
      </c>
      <c r="H107" t="n">
        <v>2</v>
      </c>
      <c r="I107" t="n">
        <v>0</v>
      </c>
      <c r="J107" t="n">
        <v>1</v>
      </c>
      <c r="K107" t="n">
        <v>1</v>
      </c>
      <c r="L107" t="n">
        <v>0</v>
      </c>
      <c r="M107" t="n">
        <v>0</v>
      </c>
      <c r="N107" t="n">
        <v>0</v>
      </c>
      <c r="O107" t="n">
        <v>2</v>
      </c>
      <c r="P107" t="n">
        <v>1</v>
      </c>
      <c r="Q107" t="n">
        <v>2</v>
      </c>
      <c r="R107" s="2" t="inlineStr">
        <is>
          <t>Tallbit
Tretåig hackspett</t>
        </is>
      </c>
      <c r="S107">
        <f>HYPERLINK("https://klasma.github.io/Logging_2380/artfynd/A 46105-2021 artfynd.xlsx", "A 46105-2021")</f>
        <v/>
      </c>
      <c r="T107">
        <f>HYPERLINK("https://klasma.github.io/Logging_2380/kartor/A 46105-2021 karta.png", "A 46105-2021")</f>
        <v/>
      </c>
      <c r="V107">
        <f>HYPERLINK("https://klasma.github.io/Logging_2380/klagomål/A 46105-2021 FSC-klagomål.docx", "A 46105-2021")</f>
        <v/>
      </c>
      <c r="W107">
        <f>HYPERLINK("https://klasma.github.io/Logging_2380/klagomålsmail/A 46105-2021 FSC-klagomål mail.docx", "A 46105-2021")</f>
        <v/>
      </c>
      <c r="X107">
        <f>HYPERLINK("https://klasma.github.io/Logging_2380/tillsyn/A 46105-2021 tillsynsbegäran.docx", "A 46105-2021")</f>
        <v/>
      </c>
      <c r="Y107">
        <f>HYPERLINK("https://klasma.github.io/Logging_2380/tillsynsmail/A 46105-2021 tillsynsbegäran mail.docx", "A 46105-2021")</f>
        <v/>
      </c>
      <c r="Z107">
        <f>HYPERLINK("https://klasma.github.io/Logging_2380/fåglar/A 46105-2021 prioriterade fågelarter.docx", "A 46105-2021")</f>
        <v/>
      </c>
    </row>
    <row r="108" ht="15" customHeight="1">
      <c r="A108" t="inlineStr">
        <is>
          <t>A 63601-2021</t>
        </is>
      </c>
      <c r="B108" s="1" t="n">
        <v>44508</v>
      </c>
      <c r="C108" s="1" t="n">
        <v>45730</v>
      </c>
      <c r="D108" t="inlineStr">
        <is>
          <t>JÄMTLANDS LÄN</t>
        </is>
      </c>
      <c r="E108" t="inlineStr">
        <is>
          <t>ÖSTERSUND</t>
        </is>
      </c>
      <c r="F108" t="inlineStr">
        <is>
          <t>SCA</t>
        </is>
      </c>
      <c r="G108" t="n">
        <v>2.9</v>
      </c>
      <c r="H108" t="n">
        <v>0</v>
      </c>
      <c r="I108" t="n">
        <v>1</v>
      </c>
      <c r="J108" t="n">
        <v>0</v>
      </c>
      <c r="K108" t="n">
        <v>1</v>
      </c>
      <c r="L108" t="n">
        <v>0</v>
      </c>
      <c r="M108" t="n">
        <v>0</v>
      </c>
      <c r="N108" t="n">
        <v>0</v>
      </c>
      <c r="O108" t="n">
        <v>1</v>
      </c>
      <c r="P108" t="n">
        <v>1</v>
      </c>
      <c r="Q108" t="n">
        <v>2</v>
      </c>
      <c r="R108" s="2" t="inlineStr">
        <is>
          <t>Läderdoftande fingersvamp
Blodvaxskivling</t>
        </is>
      </c>
      <c r="S108">
        <f>HYPERLINK("https://klasma.github.io/Logging_2380/artfynd/A 63601-2021 artfynd.xlsx", "A 63601-2021")</f>
        <v/>
      </c>
      <c r="T108">
        <f>HYPERLINK("https://klasma.github.io/Logging_2380/kartor/A 63601-2021 karta.png", "A 63601-2021")</f>
        <v/>
      </c>
      <c r="V108">
        <f>HYPERLINK("https://klasma.github.io/Logging_2380/klagomål/A 63601-2021 FSC-klagomål.docx", "A 63601-2021")</f>
        <v/>
      </c>
      <c r="W108">
        <f>HYPERLINK("https://klasma.github.io/Logging_2380/klagomålsmail/A 63601-2021 FSC-klagomål mail.docx", "A 63601-2021")</f>
        <v/>
      </c>
      <c r="X108">
        <f>HYPERLINK("https://klasma.github.io/Logging_2380/tillsyn/A 63601-2021 tillsynsbegäran.docx", "A 63601-2021")</f>
        <v/>
      </c>
      <c r="Y108">
        <f>HYPERLINK("https://klasma.github.io/Logging_2380/tillsynsmail/A 63601-2021 tillsynsbegäran mail.docx", "A 63601-2021")</f>
        <v/>
      </c>
    </row>
    <row r="109" ht="15" customHeight="1">
      <c r="A109" t="inlineStr">
        <is>
          <t>A 43935-2022</t>
        </is>
      </c>
      <c r="B109" s="1" t="n">
        <v>44838</v>
      </c>
      <c r="C109" s="1" t="n">
        <v>45730</v>
      </c>
      <c r="D109" t="inlineStr">
        <is>
          <t>JÄMTLANDS LÄN</t>
        </is>
      </c>
      <c r="E109" t="inlineStr">
        <is>
          <t>ÖSTERSUND</t>
        </is>
      </c>
      <c r="F109" t="inlineStr">
        <is>
          <t>Övriga Aktiebolag</t>
        </is>
      </c>
      <c r="G109" t="n">
        <v>19.2</v>
      </c>
      <c r="H109" t="n">
        <v>0</v>
      </c>
      <c r="I109" t="n">
        <v>0</v>
      </c>
      <c r="J109" t="n">
        <v>1</v>
      </c>
      <c r="K109" t="n">
        <v>1</v>
      </c>
      <c r="L109" t="n">
        <v>0</v>
      </c>
      <c r="M109" t="n">
        <v>0</v>
      </c>
      <c r="N109" t="n">
        <v>0</v>
      </c>
      <c r="O109" t="n">
        <v>2</v>
      </c>
      <c r="P109" t="n">
        <v>1</v>
      </c>
      <c r="Q109" t="n">
        <v>2</v>
      </c>
      <c r="R109" s="2" t="inlineStr">
        <is>
          <t>Sprickporing
Blå taggsvamp</t>
        </is>
      </c>
      <c r="S109">
        <f>HYPERLINK("https://klasma.github.io/Logging_2380/artfynd/A 43935-2022 artfynd.xlsx", "A 43935-2022")</f>
        <v/>
      </c>
      <c r="T109">
        <f>HYPERLINK("https://klasma.github.io/Logging_2380/kartor/A 43935-2022 karta.png", "A 43935-2022")</f>
        <v/>
      </c>
      <c r="V109">
        <f>HYPERLINK("https://klasma.github.io/Logging_2380/klagomål/A 43935-2022 FSC-klagomål.docx", "A 43935-2022")</f>
        <v/>
      </c>
      <c r="W109">
        <f>HYPERLINK("https://klasma.github.io/Logging_2380/klagomålsmail/A 43935-2022 FSC-klagomål mail.docx", "A 43935-2022")</f>
        <v/>
      </c>
      <c r="X109">
        <f>HYPERLINK("https://klasma.github.io/Logging_2380/tillsyn/A 43935-2022 tillsynsbegäran.docx", "A 43935-2022")</f>
        <v/>
      </c>
      <c r="Y109">
        <f>HYPERLINK("https://klasma.github.io/Logging_2380/tillsynsmail/A 43935-2022 tillsynsbegäran mail.docx", "A 43935-2022")</f>
        <v/>
      </c>
    </row>
    <row r="110" ht="15" customHeight="1">
      <c r="A110" t="inlineStr">
        <is>
          <t>A 47385-2022</t>
        </is>
      </c>
      <c r="B110" s="1" t="n">
        <v>44853</v>
      </c>
      <c r="C110" s="1" t="n">
        <v>45730</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60534-2022</t>
        </is>
      </c>
      <c r="B111" s="1" t="n">
        <v>44904</v>
      </c>
      <c r="C111" s="1" t="n">
        <v>45730</v>
      </c>
      <c r="D111" t="inlineStr">
        <is>
          <t>JÄMTLANDS LÄN</t>
        </is>
      </c>
      <c r="E111" t="inlineStr">
        <is>
          <t>ÖSTERSUND</t>
        </is>
      </c>
      <c r="G111" t="n">
        <v>9.9</v>
      </c>
      <c r="H111" t="n">
        <v>0</v>
      </c>
      <c r="I111" t="n">
        <v>0</v>
      </c>
      <c r="J111" t="n">
        <v>2</v>
      </c>
      <c r="K111" t="n">
        <v>0</v>
      </c>
      <c r="L111" t="n">
        <v>0</v>
      </c>
      <c r="M111" t="n">
        <v>0</v>
      </c>
      <c r="N111" t="n">
        <v>0</v>
      </c>
      <c r="O111" t="n">
        <v>2</v>
      </c>
      <c r="P111" t="n">
        <v>0</v>
      </c>
      <c r="Q111" t="n">
        <v>2</v>
      </c>
      <c r="R111" s="2" t="inlineStr">
        <is>
          <t>Rosenticka
Ullticka</t>
        </is>
      </c>
      <c r="S111">
        <f>HYPERLINK("https://klasma.github.io/Logging_2380/artfynd/A 60534-2022 artfynd.xlsx", "A 60534-2022")</f>
        <v/>
      </c>
      <c r="T111">
        <f>HYPERLINK("https://klasma.github.io/Logging_2380/kartor/A 60534-2022 karta.png", "A 60534-2022")</f>
        <v/>
      </c>
      <c r="V111">
        <f>HYPERLINK("https://klasma.github.io/Logging_2380/klagomål/A 60534-2022 FSC-klagomål.docx", "A 60534-2022")</f>
        <v/>
      </c>
      <c r="W111">
        <f>HYPERLINK("https://klasma.github.io/Logging_2380/klagomålsmail/A 60534-2022 FSC-klagomål mail.docx", "A 60534-2022")</f>
        <v/>
      </c>
      <c r="X111">
        <f>HYPERLINK("https://klasma.github.io/Logging_2380/tillsyn/A 60534-2022 tillsynsbegäran.docx", "A 60534-2022")</f>
        <v/>
      </c>
      <c r="Y111">
        <f>HYPERLINK("https://klasma.github.io/Logging_2380/tillsynsmail/A 60534-2022 tillsynsbegäran mail.docx", "A 60534-2022")</f>
        <v/>
      </c>
    </row>
    <row r="112" ht="15" customHeight="1">
      <c r="A112" t="inlineStr">
        <is>
          <t>A 59793-2022</t>
        </is>
      </c>
      <c r="B112" s="1" t="n">
        <v>44908</v>
      </c>
      <c r="C112" s="1" t="n">
        <v>45730</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60614-2022</t>
        </is>
      </c>
      <c r="B113" s="1" t="n">
        <v>44911</v>
      </c>
      <c r="C113" s="1" t="n">
        <v>45730</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4916-2023</t>
        </is>
      </c>
      <c r="B114" s="1" t="n">
        <v>44956</v>
      </c>
      <c r="C114" s="1" t="n">
        <v>45730</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19147-2023</t>
        </is>
      </c>
      <c r="B115" s="1" t="n">
        <v>45044</v>
      </c>
      <c r="C115" s="1" t="n">
        <v>45730</v>
      </c>
      <c r="D115" t="inlineStr">
        <is>
          <t>JÄMTLANDS LÄN</t>
        </is>
      </c>
      <c r="E115" t="inlineStr">
        <is>
          <t>ÖSTERSUND</t>
        </is>
      </c>
      <c r="G115" t="n">
        <v>5</v>
      </c>
      <c r="H115" t="n">
        <v>1</v>
      </c>
      <c r="I115" t="n">
        <v>0</v>
      </c>
      <c r="J115" t="n">
        <v>1</v>
      </c>
      <c r="K115" t="n">
        <v>0</v>
      </c>
      <c r="L115" t="n">
        <v>1</v>
      </c>
      <c r="M115" t="n">
        <v>0</v>
      </c>
      <c r="N115" t="n">
        <v>0</v>
      </c>
      <c r="O115" t="n">
        <v>2</v>
      </c>
      <c r="P115" t="n">
        <v>1</v>
      </c>
      <c r="Q115" t="n">
        <v>2</v>
      </c>
      <c r="R115" s="2" t="inlineStr">
        <is>
          <t>Bredgentiana
Scharlakansvaxskivling</t>
        </is>
      </c>
      <c r="S115">
        <f>HYPERLINK("https://klasma.github.io/Logging_2380/artfynd/A 19147-2023 artfynd.xlsx", "A 19147-2023")</f>
        <v/>
      </c>
      <c r="T115">
        <f>HYPERLINK("https://klasma.github.io/Logging_2380/kartor/A 19147-2023 karta.png", "A 19147-2023")</f>
        <v/>
      </c>
      <c r="V115">
        <f>HYPERLINK("https://klasma.github.io/Logging_2380/klagomål/A 19147-2023 FSC-klagomål.docx", "A 19147-2023")</f>
        <v/>
      </c>
      <c r="W115">
        <f>HYPERLINK("https://klasma.github.io/Logging_2380/klagomålsmail/A 19147-2023 FSC-klagomål mail.docx", "A 19147-2023")</f>
        <v/>
      </c>
      <c r="X115">
        <f>HYPERLINK("https://klasma.github.io/Logging_2380/tillsyn/A 19147-2023 tillsynsbegäran.docx", "A 19147-2023")</f>
        <v/>
      </c>
      <c r="Y115">
        <f>HYPERLINK("https://klasma.github.io/Logging_2380/tillsynsmail/A 19147-2023 tillsynsbegäran mail.docx", "A 19147-2023")</f>
        <v/>
      </c>
    </row>
    <row r="116" ht="15" customHeight="1">
      <c r="A116" t="inlineStr">
        <is>
          <t>A 38334-2023</t>
        </is>
      </c>
      <c r="B116" s="1" t="n">
        <v>45161</v>
      </c>
      <c r="C116" s="1" t="n">
        <v>45730</v>
      </c>
      <c r="D116" t="inlineStr">
        <is>
          <t>JÄMTLANDS LÄN</t>
        </is>
      </c>
      <c r="E116" t="inlineStr">
        <is>
          <t>ÖSTERSUND</t>
        </is>
      </c>
      <c r="G116" t="n">
        <v>10.5</v>
      </c>
      <c r="H116" t="n">
        <v>0</v>
      </c>
      <c r="I116" t="n">
        <v>0</v>
      </c>
      <c r="J116" t="n">
        <v>0</v>
      </c>
      <c r="K116" t="n">
        <v>2</v>
      </c>
      <c r="L116" t="n">
        <v>0</v>
      </c>
      <c r="M116" t="n">
        <v>0</v>
      </c>
      <c r="N116" t="n">
        <v>0</v>
      </c>
      <c r="O116" t="n">
        <v>2</v>
      </c>
      <c r="P116" t="n">
        <v>2</v>
      </c>
      <c r="Q116" t="n">
        <v>2</v>
      </c>
      <c r="R116" s="2" t="inlineStr">
        <is>
          <t>Rynkskinn
Violett fingersvamp</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row>
    <row r="117" ht="15" customHeight="1">
      <c r="A117" t="inlineStr">
        <is>
          <t>A 52129-2023</t>
        </is>
      </c>
      <c r="B117" s="1" t="n">
        <v>45223</v>
      </c>
      <c r="C117" s="1" t="n">
        <v>45730</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56006-2023</t>
        </is>
      </c>
      <c r="B118" s="1" t="n">
        <v>45233</v>
      </c>
      <c r="C118" s="1" t="n">
        <v>45730</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55648-2023</t>
        </is>
      </c>
      <c r="B119" s="1" t="n">
        <v>45238</v>
      </c>
      <c r="C119" s="1" t="n">
        <v>45730</v>
      </c>
      <c r="D119" t="inlineStr">
        <is>
          <t>JÄMTLANDS LÄN</t>
        </is>
      </c>
      <c r="E119" t="inlineStr">
        <is>
          <t>ÖSTERSUND</t>
        </is>
      </c>
      <c r="G119" t="n">
        <v>10.9</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HYPERLINK("https://klasma.github.io/Logging_2380/artfynd/A 55648-2023 artfynd.xlsx", "A 55648-2023")</f>
        <v/>
      </c>
      <c r="T119">
        <f>HYPERLINK("https://klasma.github.io/Logging_2380/kartor/A 55648-2023 karta.png", "A 55648-2023")</f>
        <v/>
      </c>
      <c r="V119">
        <f>HYPERLINK("https://klasma.github.io/Logging_2380/klagomål/A 55648-2023 FSC-klagomål.docx", "A 55648-2023")</f>
        <v/>
      </c>
      <c r="W119">
        <f>HYPERLINK("https://klasma.github.io/Logging_2380/klagomålsmail/A 55648-2023 FSC-klagomål mail.docx", "A 55648-2023")</f>
        <v/>
      </c>
      <c r="X119">
        <f>HYPERLINK("https://klasma.github.io/Logging_2380/tillsyn/A 55648-2023 tillsynsbegäran.docx", "A 55648-2023")</f>
        <v/>
      </c>
      <c r="Y119">
        <f>HYPERLINK("https://klasma.github.io/Logging_2380/tillsynsmail/A 55648-2023 tillsynsbegäran mail.docx", "A 55648-2023")</f>
        <v/>
      </c>
      <c r="Z119">
        <f>HYPERLINK("https://klasma.github.io/Logging_2380/fåglar/A 55648-2023 prioriterade fågelarter.docx", "A 55648-2023")</f>
        <v/>
      </c>
    </row>
    <row r="120" ht="15" customHeight="1">
      <c r="A120" t="inlineStr">
        <is>
          <t>A 57491-2023</t>
        </is>
      </c>
      <c r="B120" s="1" t="n">
        <v>45246</v>
      </c>
      <c r="C120" s="1" t="n">
        <v>45730</v>
      </c>
      <c r="D120" t="inlineStr">
        <is>
          <t>JÄMTLANDS LÄN</t>
        </is>
      </c>
      <c r="E120" t="inlineStr">
        <is>
          <t>ÖSTERSUND</t>
        </is>
      </c>
      <c r="G120" t="n">
        <v>9.699999999999999</v>
      </c>
      <c r="H120" t="n">
        <v>1</v>
      </c>
      <c r="I120" t="n">
        <v>0</v>
      </c>
      <c r="J120" t="n">
        <v>1</v>
      </c>
      <c r="K120" t="n">
        <v>1</v>
      </c>
      <c r="L120" t="n">
        <v>0</v>
      </c>
      <c r="M120" t="n">
        <v>0</v>
      </c>
      <c r="N120" t="n">
        <v>0</v>
      </c>
      <c r="O120" t="n">
        <v>2</v>
      </c>
      <c r="P120" t="n">
        <v>1</v>
      </c>
      <c r="Q120" t="n">
        <v>2</v>
      </c>
      <c r="R120" s="2" t="inlineStr">
        <is>
          <t>Doftticka
Lunglav</t>
        </is>
      </c>
      <c r="S120">
        <f>HYPERLINK("https://klasma.github.io/Logging_2380/artfynd/A 57491-2023 artfynd.xlsx", "A 57491-2023")</f>
        <v/>
      </c>
      <c r="T120">
        <f>HYPERLINK("https://klasma.github.io/Logging_2380/kartor/A 57491-2023 karta.png", "A 57491-2023")</f>
        <v/>
      </c>
      <c r="V120">
        <f>HYPERLINK("https://klasma.github.io/Logging_2380/klagomål/A 57491-2023 FSC-klagomål.docx", "A 57491-2023")</f>
        <v/>
      </c>
      <c r="W120">
        <f>HYPERLINK("https://klasma.github.io/Logging_2380/klagomålsmail/A 57491-2023 FSC-klagomål mail.docx", "A 57491-2023")</f>
        <v/>
      </c>
      <c r="X120">
        <f>HYPERLINK("https://klasma.github.io/Logging_2380/tillsyn/A 57491-2023 tillsynsbegäran.docx", "A 57491-2023")</f>
        <v/>
      </c>
      <c r="Y120">
        <f>HYPERLINK("https://klasma.github.io/Logging_2380/tillsynsmail/A 57491-2023 tillsynsbegäran mail.docx", "A 57491-2023")</f>
        <v/>
      </c>
    </row>
    <row r="121" ht="15" customHeight="1">
      <c r="A121" t="inlineStr">
        <is>
          <t>A 63930-2023</t>
        </is>
      </c>
      <c r="B121" s="1" t="n">
        <v>45278</v>
      </c>
      <c r="C121" s="1" t="n">
        <v>45730</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64270-2023</t>
        </is>
      </c>
      <c r="B122" s="1" t="n">
        <v>45279</v>
      </c>
      <c r="C122" s="1" t="n">
        <v>45730</v>
      </c>
      <c r="D122" t="inlineStr">
        <is>
          <t>JÄMTLANDS LÄN</t>
        </is>
      </c>
      <c r="E122" t="inlineStr">
        <is>
          <t>ÖSTERSUND</t>
        </is>
      </c>
      <c r="F122" t="inlineStr">
        <is>
          <t>SCA</t>
        </is>
      </c>
      <c r="G122" t="n">
        <v>0.7</v>
      </c>
      <c r="H122" t="n">
        <v>2</v>
      </c>
      <c r="I122" t="n">
        <v>0</v>
      </c>
      <c r="J122" t="n">
        <v>2</v>
      </c>
      <c r="K122" t="n">
        <v>0</v>
      </c>
      <c r="L122" t="n">
        <v>0</v>
      </c>
      <c r="M122" t="n">
        <v>0</v>
      </c>
      <c r="N122" t="n">
        <v>0</v>
      </c>
      <c r="O122" t="n">
        <v>2</v>
      </c>
      <c r="P122" t="n">
        <v>0</v>
      </c>
      <c r="Q122" t="n">
        <v>2</v>
      </c>
      <c r="R122" s="2" t="inlineStr">
        <is>
          <t>Spillkråka
Talltita</t>
        </is>
      </c>
      <c r="S122">
        <f>HYPERLINK("https://klasma.github.io/Logging_2380/artfynd/A 64270-2023 artfynd.xlsx", "A 64270-2023")</f>
        <v/>
      </c>
      <c r="T122">
        <f>HYPERLINK("https://klasma.github.io/Logging_2380/kartor/A 64270-2023 karta.png", "A 64270-2023")</f>
        <v/>
      </c>
      <c r="V122">
        <f>HYPERLINK("https://klasma.github.io/Logging_2380/klagomål/A 64270-2023 FSC-klagomål.docx", "A 64270-2023")</f>
        <v/>
      </c>
      <c r="W122">
        <f>HYPERLINK("https://klasma.github.io/Logging_2380/klagomålsmail/A 64270-2023 FSC-klagomål mail.docx", "A 64270-2023")</f>
        <v/>
      </c>
      <c r="X122">
        <f>HYPERLINK("https://klasma.github.io/Logging_2380/tillsyn/A 64270-2023 tillsynsbegäran.docx", "A 64270-2023")</f>
        <v/>
      </c>
      <c r="Y122">
        <f>HYPERLINK("https://klasma.github.io/Logging_2380/tillsynsmail/A 64270-2023 tillsynsbegäran mail.docx", "A 64270-2023")</f>
        <v/>
      </c>
      <c r="Z122">
        <f>HYPERLINK("https://klasma.github.io/Logging_2380/fåglar/A 64270-2023 prioriterade fågelarter.docx", "A 64270-2023")</f>
        <v/>
      </c>
    </row>
    <row r="123" ht="15" customHeight="1">
      <c r="A123" t="inlineStr">
        <is>
          <t>A 7698-2024</t>
        </is>
      </c>
      <c r="B123" s="1" t="n">
        <v>45349</v>
      </c>
      <c r="C123" s="1" t="n">
        <v>45730</v>
      </c>
      <c r="D123" t="inlineStr">
        <is>
          <t>JÄMTLANDS LÄN</t>
        </is>
      </c>
      <c r="E123" t="inlineStr">
        <is>
          <t>ÖSTERSUND</t>
        </is>
      </c>
      <c r="F123" t="inlineStr">
        <is>
          <t>Övriga Aktiebolag</t>
        </is>
      </c>
      <c r="G123" t="n">
        <v>4.5</v>
      </c>
      <c r="H123" t="n">
        <v>2</v>
      </c>
      <c r="I123" t="n">
        <v>1</v>
      </c>
      <c r="J123" t="n">
        <v>0</v>
      </c>
      <c r="K123" t="n">
        <v>0</v>
      </c>
      <c r="L123" t="n">
        <v>0</v>
      </c>
      <c r="M123" t="n">
        <v>0</v>
      </c>
      <c r="N123" t="n">
        <v>0</v>
      </c>
      <c r="O123" t="n">
        <v>0</v>
      </c>
      <c r="P123" t="n">
        <v>0</v>
      </c>
      <c r="Q123" t="n">
        <v>2</v>
      </c>
      <c r="R123" s="2" t="inlineStr">
        <is>
          <t>Tvåblad
Brudsporre</t>
        </is>
      </c>
      <c r="S123">
        <f>HYPERLINK("https://klasma.github.io/Logging_2380/artfynd/A 7698-2024 artfynd.xlsx", "A 7698-2024")</f>
        <v/>
      </c>
      <c r="T123">
        <f>HYPERLINK("https://klasma.github.io/Logging_2380/kartor/A 7698-2024 karta.png", "A 7698-2024")</f>
        <v/>
      </c>
      <c r="V123">
        <f>HYPERLINK("https://klasma.github.io/Logging_2380/klagomål/A 7698-2024 FSC-klagomål.docx", "A 7698-2024")</f>
        <v/>
      </c>
      <c r="W123">
        <f>HYPERLINK("https://klasma.github.io/Logging_2380/klagomålsmail/A 7698-2024 FSC-klagomål mail.docx", "A 7698-2024")</f>
        <v/>
      </c>
      <c r="X123">
        <f>HYPERLINK("https://klasma.github.io/Logging_2380/tillsyn/A 7698-2024 tillsynsbegäran.docx", "A 7698-2024")</f>
        <v/>
      </c>
      <c r="Y123">
        <f>HYPERLINK("https://klasma.github.io/Logging_2380/tillsynsmail/A 7698-2024 tillsynsbegäran mail.docx", "A 7698-2024")</f>
        <v/>
      </c>
    </row>
    <row r="124" ht="15" customHeight="1">
      <c r="A124" t="inlineStr">
        <is>
          <t>A 18300-2024</t>
        </is>
      </c>
      <c r="B124" s="1" t="n">
        <v>45421</v>
      </c>
      <c r="C124" s="1" t="n">
        <v>45730</v>
      </c>
      <c r="D124" t="inlineStr">
        <is>
          <t>JÄMTLANDS LÄN</t>
        </is>
      </c>
      <c r="E124" t="inlineStr">
        <is>
          <t>ÖSTERSUND</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HYPERLINK("https://klasma.github.io/Logging_2380/artfynd/A 18300-2024 artfynd.xlsx", "A 18300-2024")</f>
        <v/>
      </c>
      <c r="T124">
        <f>HYPERLINK("https://klasma.github.io/Logging_2380/kartor/A 18300-2024 karta.png", "A 18300-2024")</f>
        <v/>
      </c>
      <c r="V124">
        <f>HYPERLINK("https://klasma.github.io/Logging_2380/klagomål/A 18300-2024 FSC-klagomål.docx", "A 18300-2024")</f>
        <v/>
      </c>
      <c r="W124">
        <f>HYPERLINK("https://klasma.github.io/Logging_2380/klagomålsmail/A 18300-2024 FSC-klagomål mail.docx", "A 18300-2024")</f>
        <v/>
      </c>
      <c r="X124">
        <f>HYPERLINK("https://klasma.github.io/Logging_2380/tillsyn/A 18300-2024 tillsynsbegäran.docx", "A 18300-2024")</f>
        <v/>
      </c>
      <c r="Y124">
        <f>HYPERLINK("https://klasma.github.io/Logging_2380/tillsynsmail/A 18300-2024 tillsynsbegäran mail.docx", "A 18300-2024")</f>
        <v/>
      </c>
    </row>
    <row r="125" ht="15" customHeight="1">
      <c r="A125" t="inlineStr">
        <is>
          <t>A 21615-2024</t>
        </is>
      </c>
      <c r="B125" s="1" t="n">
        <v>45442</v>
      </c>
      <c r="C125" s="1" t="n">
        <v>45730</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22077-2024</t>
        </is>
      </c>
      <c r="B126" s="1" t="n">
        <v>45443</v>
      </c>
      <c r="C126" s="1" t="n">
        <v>45730</v>
      </c>
      <c r="D126" t="inlineStr">
        <is>
          <t>JÄMTLANDS LÄN</t>
        </is>
      </c>
      <c r="E126" t="inlineStr">
        <is>
          <t>ÖSTERSUND</t>
        </is>
      </c>
      <c r="G126" t="n">
        <v>5</v>
      </c>
      <c r="H126" t="n">
        <v>1</v>
      </c>
      <c r="I126" t="n">
        <v>1</v>
      </c>
      <c r="J126" t="n">
        <v>0</v>
      </c>
      <c r="K126" t="n">
        <v>0</v>
      </c>
      <c r="L126" t="n">
        <v>0</v>
      </c>
      <c r="M126" t="n">
        <v>0</v>
      </c>
      <c r="N126" t="n">
        <v>0</v>
      </c>
      <c r="O126" t="n">
        <v>0</v>
      </c>
      <c r="P126" t="n">
        <v>0</v>
      </c>
      <c r="Q126" t="n">
        <v>2</v>
      </c>
      <c r="R126" s="2" t="inlineStr">
        <is>
          <t>Underviol
Blåsippa</t>
        </is>
      </c>
      <c r="S126">
        <f>HYPERLINK("https://klasma.github.io/Logging_2380/artfynd/A 22077-2024 artfynd.xlsx", "A 22077-2024")</f>
        <v/>
      </c>
      <c r="T126">
        <f>HYPERLINK("https://klasma.github.io/Logging_2380/kartor/A 22077-2024 karta.png", "A 22077-2024")</f>
        <v/>
      </c>
      <c r="V126">
        <f>HYPERLINK("https://klasma.github.io/Logging_2380/klagomål/A 22077-2024 FSC-klagomål.docx", "A 22077-2024")</f>
        <v/>
      </c>
      <c r="W126">
        <f>HYPERLINK("https://klasma.github.io/Logging_2380/klagomålsmail/A 22077-2024 FSC-klagomål mail.docx", "A 22077-2024")</f>
        <v/>
      </c>
      <c r="X126">
        <f>HYPERLINK("https://klasma.github.io/Logging_2380/tillsyn/A 22077-2024 tillsynsbegäran.docx", "A 22077-2024")</f>
        <v/>
      </c>
      <c r="Y126">
        <f>HYPERLINK("https://klasma.github.io/Logging_2380/tillsynsmail/A 22077-2024 tillsynsbegäran mail.docx", "A 22077-2024")</f>
        <v/>
      </c>
    </row>
    <row r="127" ht="15" customHeight="1">
      <c r="A127" t="inlineStr">
        <is>
          <t>A 25389-2024</t>
        </is>
      </c>
      <c r="B127" s="1" t="n">
        <v>45463</v>
      </c>
      <c r="C127" s="1" t="n">
        <v>45730</v>
      </c>
      <c r="D127" t="inlineStr">
        <is>
          <t>JÄMTLANDS LÄN</t>
        </is>
      </c>
      <c r="E127" t="inlineStr">
        <is>
          <t>ÖSTERSUND</t>
        </is>
      </c>
      <c r="G127" t="n">
        <v>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25389-2024 artfynd.xlsx", "A 25389-2024")</f>
        <v/>
      </c>
      <c r="T127">
        <f>HYPERLINK("https://klasma.github.io/Logging_2380/kartor/A 25389-2024 karta.png", "A 25389-2024")</f>
        <v/>
      </c>
      <c r="V127">
        <f>HYPERLINK("https://klasma.github.io/Logging_2380/klagomål/A 25389-2024 FSC-klagomål.docx", "A 25389-2024")</f>
        <v/>
      </c>
      <c r="W127">
        <f>HYPERLINK("https://klasma.github.io/Logging_2380/klagomålsmail/A 25389-2024 FSC-klagomål mail.docx", "A 25389-2024")</f>
        <v/>
      </c>
      <c r="X127">
        <f>HYPERLINK("https://klasma.github.io/Logging_2380/tillsyn/A 25389-2024 tillsynsbegäran.docx", "A 25389-2024")</f>
        <v/>
      </c>
      <c r="Y127">
        <f>HYPERLINK("https://klasma.github.io/Logging_2380/tillsynsmail/A 25389-2024 tillsynsbegäran mail.docx", "A 25389-2024")</f>
        <v/>
      </c>
    </row>
    <row r="128" ht="15" customHeight="1">
      <c r="A128" t="inlineStr">
        <is>
          <t>A 35977-2024</t>
        </is>
      </c>
      <c r="B128" s="1" t="n">
        <v>45533</v>
      </c>
      <c r="C128" s="1" t="n">
        <v>45730</v>
      </c>
      <c r="D128" t="inlineStr">
        <is>
          <t>JÄMTLANDS LÄN</t>
        </is>
      </c>
      <c r="E128" t="inlineStr">
        <is>
          <t>ÖSTERSUND</t>
        </is>
      </c>
      <c r="G128" t="n">
        <v>0.7</v>
      </c>
      <c r="H128" t="n">
        <v>0</v>
      </c>
      <c r="I128" t="n">
        <v>2</v>
      </c>
      <c r="J128" t="n">
        <v>0</v>
      </c>
      <c r="K128" t="n">
        <v>0</v>
      </c>
      <c r="L128" t="n">
        <v>0</v>
      </c>
      <c r="M128" t="n">
        <v>0</v>
      </c>
      <c r="N128" t="n">
        <v>0</v>
      </c>
      <c r="O128" t="n">
        <v>0</v>
      </c>
      <c r="P128" t="n">
        <v>0</v>
      </c>
      <c r="Q128" t="n">
        <v>2</v>
      </c>
      <c r="R128" s="2" t="inlineStr">
        <is>
          <t>Tibast
Trådticka</t>
        </is>
      </c>
      <c r="S128">
        <f>HYPERLINK("https://klasma.github.io/Logging_2380/artfynd/A 35977-2024 artfynd.xlsx", "A 35977-2024")</f>
        <v/>
      </c>
      <c r="T128">
        <f>HYPERLINK("https://klasma.github.io/Logging_2380/kartor/A 35977-2024 karta.png", "A 35977-2024")</f>
        <v/>
      </c>
      <c r="V128">
        <f>HYPERLINK("https://klasma.github.io/Logging_2380/klagomål/A 35977-2024 FSC-klagomål.docx", "A 35977-2024")</f>
        <v/>
      </c>
      <c r="W128">
        <f>HYPERLINK("https://klasma.github.io/Logging_2380/klagomålsmail/A 35977-2024 FSC-klagomål mail.docx", "A 35977-2024")</f>
        <v/>
      </c>
      <c r="X128">
        <f>HYPERLINK("https://klasma.github.io/Logging_2380/tillsyn/A 35977-2024 tillsynsbegäran.docx", "A 35977-2024")</f>
        <v/>
      </c>
      <c r="Y128">
        <f>HYPERLINK("https://klasma.github.io/Logging_2380/tillsynsmail/A 35977-2024 tillsynsbegäran mail.docx", "A 35977-2024")</f>
        <v/>
      </c>
    </row>
    <row r="129" ht="15" customHeight="1">
      <c r="A129" t="inlineStr">
        <is>
          <t>A 39968-2024</t>
        </is>
      </c>
      <c r="B129" s="1" t="n">
        <v>45553</v>
      </c>
      <c r="C129" s="1" t="n">
        <v>45730</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45884-2024</t>
        </is>
      </c>
      <c r="B130" s="1" t="n">
        <v>45580</v>
      </c>
      <c r="C130" s="1" t="n">
        <v>45730</v>
      </c>
      <c r="D130" t="inlineStr">
        <is>
          <t>JÄMTLANDS LÄN</t>
        </is>
      </c>
      <c r="E130" t="inlineStr">
        <is>
          <t>ÖSTERSUND</t>
        </is>
      </c>
      <c r="F130" t="inlineStr">
        <is>
          <t>SCA</t>
        </is>
      </c>
      <c r="G130" t="n">
        <v>6</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45884-2024 artfynd.xlsx", "A 45884-2024")</f>
        <v/>
      </c>
      <c r="T130">
        <f>HYPERLINK("https://klasma.github.io/Logging_2380/kartor/A 45884-2024 karta.png", "A 45884-2024")</f>
        <v/>
      </c>
      <c r="V130">
        <f>HYPERLINK("https://klasma.github.io/Logging_2380/klagomål/A 45884-2024 FSC-klagomål.docx", "A 45884-2024")</f>
        <v/>
      </c>
      <c r="W130">
        <f>HYPERLINK("https://klasma.github.io/Logging_2380/klagomålsmail/A 45884-2024 FSC-klagomål mail.docx", "A 45884-2024")</f>
        <v/>
      </c>
      <c r="X130">
        <f>HYPERLINK("https://klasma.github.io/Logging_2380/tillsyn/A 45884-2024 tillsynsbegäran.docx", "A 45884-2024")</f>
        <v/>
      </c>
      <c r="Y130">
        <f>HYPERLINK("https://klasma.github.io/Logging_2380/tillsynsmail/A 45884-2024 tillsynsbegäran mail.docx", "A 45884-2024")</f>
        <v/>
      </c>
    </row>
    <row r="131" ht="15" customHeight="1">
      <c r="A131" t="inlineStr">
        <is>
          <t>A 48407-2024</t>
        </is>
      </c>
      <c r="B131" s="1" t="n">
        <v>45590</v>
      </c>
      <c r="C131" s="1" t="n">
        <v>45730</v>
      </c>
      <c r="D131" t="inlineStr">
        <is>
          <t>JÄMTLANDS LÄN</t>
        </is>
      </c>
      <c r="E131" t="inlineStr">
        <is>
          <t>ÖSTERSUND</t>
        </is>
      </c>
      <c r="G131" t="n">
        <v>1.8</v>
      </c>
      <c r="H131" t="n">
        <v>0</v>
      </c>
      <c r="I131" t="n">
        <v>1</v>
      </c>
      <c r="J131" t="n">
        <v>0</v>
      </c>
      <c r="K131" t="n">
        <v>1</v>
      </c>
      <c r="L131" t="n">
        <v>0</v>
      </c>
      <c r="M131" t="n">
        <v>0</v>
      </c>
      <c r="N131" t="n">
        <v>0</v>
      </c>
      <c r="O131" t="n">
        <v>1</v>
      </c>
      <c r="P131" t="n">
        <v>1</v>
      </c>
      <c r="Q131" t="n">
        <v>2</v>
      </c>
      <c r="R131" s="2" t="inlineStr">
        <is>
          <t>Frösöstarr
Svart trolldruva</t>
        </is>
      </c>
      <c r="S131">
        <f>HYPERLINK("https://klasma.github.io/Logging_2380/artfynd/A 48407-2024 artfynd.xlsx", "A 48407-2024")</f>
        <v/>
      </c>
      <c r="T131">
        <f>HYPERLINK("https://klasma.github.io/Logging_2380/kartor/A 48407-2024 karta.png", "A 48407-2024")</f>
        <v/>
      </c>
      <c r="V131">
        <f>HYPERLINK("https://klasma.github.io/Logging_2380/klagomål/A 48407-2024 FSC-klagomål.docx", "A 48407-2024")</f>
        <v/>
      </c>
      <c r="W131">
        <f>HYPERLINK("https://klasma.github.io/Logging_2380/klagomålsmail/A 48407-2024 FSC-klagomål mail.docx", "A 48407-2024")</f>
        <v/>
      </c>
      <c r="X131">
        <f>HYPERLINK("https://klasma.github.io/Logging_2380/tillsyn/A 48407-2024 tillsynsbegäran.docx", "A 48407-2024")</f>
        <v/>
      </c>
      <c r="Y131">
        <f>HYPERLINK("https://klasma.github.io/Logging_2380/tillsynsmail/A 48407-2024 tillsynsbegäran mail.docx", "A 48407-2024")</f>
        <v/>
      </c>
    </row>
    <row r="132" ht="15" customHeight="1">
      <c r="A132" t="inlineStr">
        <is>
          <t>A 50125-2024</t>
        </is>
      </c>
      <c r="B132" s="1" t="n">
        <v>45600</v>
      </c>
      <c r="C132" s="1" t="n">
        <v>45730</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50895-2024</t>
        </is>
      </c>
      <c r="B133" s="1" t="n">
        <v>45602</v>
      </c>
      <c r="C133" s="1" t="n">
        <v>45730</v>
      </c>
      <c r="D133" t="inlineStr">
        <is>
          <t>JÄMTLANDS LÄN</t>
        </is>
      </c>
      <c r="E133" t="inlineStr">
        <is>
          <t>ÖSTERSUND</t>
        </is>
      </c>
      <c r="F133" t="inlineStr">
        <is>
          <t>Kommuner</t>
        </is>
      </c>
      <c r="G133" t="n">
        <v>6</v>
      </c>
      <c r="H133" t="n">
        <v>1</v>
      </c>
      <c r="I133" t="n">
        <v>0</v>
      </c>
      <c r="J133" t="n">
        <v>1</v>
      </c>
      <c r="K133" t="n">
        <v>1</v>
      </c>
      <c r="L133" t="n">
        <v>0</v>
      </c>
      <c r="M133" t="n">
        <v>0</v>
      </c>
      <c r="N133" t="n">
        <v>0</v>
      </c>
      <c r="O133" t="n">
        <v>2</v>
      </c>
      <c r="P133" t="n">
        <v>1</v>
      </c>
      <c r="Q133" t="n">
        <v>2</v>
      </c>
      <c r="R133" s="2" t="inlineStr">
        <is>
          <t>Knärot
Garnlav</t>
        </is>
      </c>
      <c r="S133">
        <f>HYPERLINK("https://klasma.github.io/Logging_2380/artfynd/A 50895-2024 artfynd.xlsx", "A 50895-2024")</f>
        <v/>
      </c>
      <c r="T133">
        <f>HYPERLINK("https://klasma.github.io/Logging_2380/kartor/A 50895-2024 karta.png", "A 50895-2024")</f>
        <v/>
      </c>
      <c r="U133">
        <f>HYPERLINK("https://klasma.github.io/Logging_2380/knärot/A 50895-2024 karta knärot.png", "A 50895-2024")</f>
        <v/>
      </c>
      <c r="V133">
        <f>HYPERLINK("https://klasma.github.io/Logging_2380/klagomål/A 50895-2024 FSC-klagomål.docx", "A 50895-2024")</f>
        <v/>
      </c>
      <c r="W133">
        <f>HYPERLINK("https://klasma.github.io/Logging_2380/klagomålsmail/A 50895-2024 FSC-klagomål mail.docx", "A 50895-2024")</f>
        <v/>
      </c>
      <c r="X133">
        <f>HYPERLINK("https://klasma.github.io/Logging_2380/tillsyn/A 50895-2024 tillsynsbegäran.docx", "A 50895-2024")</f>
        <v/>
      </c>
      <c r="Y133">
        <f>HYPERLINK("https://klasma.github.io/Logging_2380/tillsynsmail/A 50895-2024 tillsynsbegäran mail.docx", "A 50895-2024")</f>
        <v/>
      </c>
    </row>
    <row r="134" ht="15" customHeight="1">
      <c r="A134" t="inlineStr">
        <is>
          <t>A 57693-2024</t>
        </is>
      </c>
      <c r="B134" s="1" t="n">
        <v>45628</v>
      </c>
      <c r="C134" s="1" t="n">
        <v>45730</v>
      </c>
      <c r="D134" t="inlineStr">
        <is>
          <t>JÄMTLANDS LÄN</t>
        </is>
      </c>
      <c r="E134" t="inlineStr">
        <is>
          <t>ÖSTERSUND</t>
        </is>
      </c>
      <c r="G134" t="n">
        <v>27.6</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HYPERLINK("https://klasma.github.io/Logging_2380/artfynd/A 57693-2024 artfynd.xlsx", "A 57693-2024")</f>
        <v/>
      </c>
      <c r="T134">
        <f>HYPERLINK("https://klasma.github.io/Logging_2380/kartor/A 57693-2024 karta.png", "A 57693-2024")</f>
        <v/>
      </c>
      <c r="V134">
        <f>HYPERLINK("https://klasma.github.io/Logging_2380/klagomål/A 57693-2024 FSC-klagomål.docx", "A 57693-2024")</f>
        <v/>
      </c>
      <c r="W134">
        <f>HYPERLINK("https://klasma.github.io/Logging_2380/klagomålsmail/A 57693-2024 FSC-klagomål mail.docx", "A 57693-2024")</f>
        <v/>
      </c>
      <c r="X134">
        <f>HYPERLINK("https://klasma.github.io/Logging_2380/tillsyn/A 57693-2024 tillsynsbegäran.docx", "A 57693-2024")</f>
        <v/>
      </c>
      <c r="Y134">
        <f>HYPERLINK("https://klasma.github.io/Logging_2380/tillsynsmail/A 57693-2024 tillsynsbegäran mail.docx", "A 57693-2024")</f>
        <v/>
      </c>
    </row>
    <row r="135" ht="15" customHeight="1">
      <c r="A135" t="inlineStr">
        <is>
          <t>A 60446-2024</t>
        </is>
      </c>
      <c r="B135" s="1" t="n">
        <v>45643</v>
      </c>
      <c r="C135" s="1" t="n">
        <v>45730</v>
      </c>
      <c r="D135" t="inlineStr">
        <is>
          <t>JÄMTLANDS LÄN</t>
        </is>
      </c>
      <c r="E135" t="inlineStr">
        <is>
          <t>ÖSTERSUND</t>
        </is>
      </c>
      <c r="F135" t="inlineStr">
        <is>
          <t>SCA</t>
        </is>
      </c>
      <c r="G135" t="n">
        <v>3.6</v>
      </c>
      <c r="H135" t="n">
        <v>0</v>
      </c>
      <c r="I135" t="n">
        <v>1</v>
      </c>
      <c r="J135" t="n">
        <v>1</v>
      </c>
      <c r="K135" t="n">
        <v>0</v>
      </c>
      <c r="L135" t="n">
        <v>0</v>
      </c>
      <c r="M135" t="n">
        <v>0</v>
      </c>
      <c r="N135" t="n">
        <v>0</v>
      </c>
      <c r="O135" t="n">
        <v>1</v>
      </c>
      <c r="P135" t="n">
        <v>0</v>
      </c>
      <c r="Q135" t="n">
        <v>2</v>
      </c>
      <c r="R135" s="2" t="inlineStr">
        <is>
          <t>Ullticka
Vedticka</t>
        </is>
      </c>
      <c r="S135">
        <f>HYPERLINK("https://klasma.github.io/Logging_2380/artfynd/A 60446-2024 artfynd.xlsx", "A 60446-2024")</f>
        <v/>
      </c>
      <c r="T135">
        <f>HYPERLINK("https://klasma.github.io/Logging_2380/kartor/A 60446-2024 karta.png", "A 60446-2024")</f>
        <v/>
      </c>
      <c r="V135">
        <f>HYPERLINK("https://klasma.github.io/Logging_2380/klagomål/A 60446-2024 FSC-klagomål.docx", "A 60446-2024")</f>
        <v/>
      </c>
      <c r="W135">
        <f>HYPERLINK("https://klasma.github.io/Logging_2380/klagomålsmail/A 60446-2024 FSC-klagomål mail.docx", "A 60446-2024")</f>
        <v/>
      </c>
      <c r="X135">
        <f>HYPERLINK("https://klasma.github.io/Logging_2380/tillsyn/A 60446-2024 tillsynsbegäran.docx", "A 60446-2024")</f>
        <v/>
      </c>
      <c r="Y135">
        <f>HYPERLINK("https://klasma.github.io/Logging_2380/tillsynsmail/A 60446-2024 tillsynsbegäran mail.docx", "A 60446-2024")</f>
        <v/>
      </c>
    </row>
    <row r="136" ht="15" customHeight="1">
      <c r="A136" t="inlineStr">
        <is>
          <t>A 61322-2024</t>
        </is>
      </c>
      <c r="B136" s="1" t="n">
        <v>45646</v>
      </c>
      <c r="C136" s="1" t="n">
        <v>45730</v>
      </c>
      <c r="D136" t="inlineStr">
        <is>
          <t>JÄMTLANDS LÄN</t>
        </is>
      </c>
      <c r="E136" t="inlineStr">
        <is>
          <t>ÖSTERSUND</t>
        </is>
      </c>
      <c r="G136" t="n">
        <v>1.3</v>
      </c>
      <c r="H136" t="n">
        <v>1</v>
      </c>
      <c r="I136" t="n">
        <v>1</v>
      </c>
      <c r="J136" t="n">
        <v>0</v>
      </c>
      <c r="K136" t="n">
        <v>0</v>
      </c>
      <c r="L136" t="n">
        <v>0</v>
      </c>
      <c r="M136" t="n">
        <v>0</v>
      </c>
      <c r="N136" t="n">
        <v>0</v>
      </c>
      <c r="O136" t="n">
        <v>0</v>
      </c>
      <c r="P136" t="n">
        <v>0</v>
      </c>
      <c r="Q136" t="n">
        <v>2</v>
      </c>
      <c r="R136" s="2" t="inlineStr">
        <is>
          <t>Vårärt
Blåsippa</t>
        </is>
      </c>
      <c r="S136">
        <f>HYPERLINK("https://klasma.github.io/Logging_2380/artfynd/A 61322-2024 artfynd.xlsx", "A 61322-2024")</f>
        <v/>
      </c>
      <c r="T136">
        <f>HYPERLINK("https://klasma.github.io/Logging_2380/kartor/A 61322-2024 karta.png", "A 61322-2024")</f>
        <v/>
      </c>
      <c r="V136">
        <f>HYPERLINK("https://klasma.github.io/Logging_2380/klagomål/A 61322-2024 FSC-klagomål.docx", "A 61322-2024")</f>
        <v/>
      </c>
      <c r="W136">
        <f>HYPERLINK("https://klasma.github.io/Logging_2380/klagomålsmail/A 61322-2024 FSC-klagomål mail.docx", "A 61322-2024")</f>
        <v/>
      </c>
      <c r="X136">
        <f>HYPERLINK("https://klasma.github.io/Logging_2380/tillsyn/A 61322-2024 tillsynsbegäran.docx", "A 61322-2024")</f>
        <v/>
      </c>
      <c r="Y136">
        <f>HYPERLINK("https://klasma.github.io/Logging_2380/tillsynsmail/A 61322-2024 tillsynsbegäran mail.docx", "A 61322-2024")</f>
        <v/>
      </c>
    </row>
    <row r="137" ht="15" customHeight="1">
      <c r="A137" t="inlineStr">
        <is>
          <t>A 211-2025</t>
        </is>
      </c>
      <c r="B137" s="1" t="n">
        <v>45660</v>
      </c>
      <c r="C137" s="1" t="n">
        <v>45730</v>
      </c>
      <c r="D137" t="inlineStr">
        <is>
          <t>JÄMTLANDS LÄN</t>
        </is>
      </c>
      <c r="E137" t="inlineStr">
        <is>
          <t>ÖSTERSUND</t>
        </is>
      </c>
      <c r="G137" t="n">
        <v>2.3</v>
      </c>
      <c r="H137" t="n">
        <v>2</v>
      </c>
      <c r="I137" t="n">
        <v>0</v>
      </c>
      <c r="J137" t="n">
        <v>0</v>
      </c>
      <c r="K137" t="n">
        <v>0</v>
      </c>
      <c r="L137" t="n">
        <v>0</v>
      </c>
      <c r="M137" t="n">
        <v>0</v>
      </c>
      <c r="N137" t="n">
        <v>0</v>
      </c>
      <c r="O137" t="n">
        <v>0</v>
      </c>
      <c r="P137" t="n">
        <v>0</v>
      </c>
      <c r="Q137" t="n">
        <v>2</v>
      </c>
      <c r="R137" s="2" t="inlineStr">
        <is>
          <t>Fläcknycklar
Revlummer</t>
        </is>
      </c>
      <c r="S137">
        <f>HYPERLINK("https://klasma.github.io/Logging_2380/artfynd/A 211-2025 artfynd.xlsx", "A 211-2025")</f>
        <v/>
      </c>
      <c r="T137">
        <f>HYPERLINK("https://klasma.github.io/Logging_2380/kartor/A 211-2025 karta.png", "A 211-2025")</f>
        <v/>
      </c>
      <c r="V137">
        <f>HYPERLINK("https://klasma.github.io/Logging_2380/klagomål/A 211-2025 FSC-klagomål.docx", "A 211-2025")</f>
        <v/>
      </c>
      <c r="W137">
        <f>HYPERLINK("https://klasma.github.io/Logging_2380/klagomålsmail/A 211-2025 FSC-klagomål mail.docx", "A 211-2025")</f>
        <v/>
      </c>
      <c r="X137">
        <f>HYPERLINK("https://klasma.github.io/Logging_2380/tillsyn/A 211-2025 tillsynsbegäran.docx", "A 211-2025")</f>
        <v/>
      </c>
      <c r="Y137">
        <f>HYPERLINK("https://klasma.github.io/Logging_2380/tillsynsmail/A 211-2025 tillsynsbegäran mail.docx", "A 211-2025")</f>
        <v/>
      </c>
    </row>
    <row r="138" ht="15" customHeight="1">
      <c r="A138" t="inlineStr">
        <is>
          <t>A 4967-2025</t>
        </is>
      </c>
      <c r="B138" s="1" t="n">
        <v>45690</v>
      </c>
      <c r="C138" s="1" t="n">
        <v>45730</v>
      </c>
      <c r="D138" t="inlineStr">
        <is>
          <t>JÄMTLANDS LÄN</t>
        </is>
      </c>
      <c r="E138" t="inlineStr">
        <is>
          <t>ÖSTERSUND</t>
        </is>
      </c>
      <c r="G138" t="n">
        <v>26.9</v>
      </c>
      <c r="H138" t="n">
        <v>0</v>
      </c>
      <c r="I138" t="n">
        <v>0</v>
      </c>
      <c r="J138" t="n">
        <v>2</v>
      </c>
      <c r="K138" t="n">
        <v>0</v>
      </c>
      <c r="L138" t="n">
        <v>0</v>
      </c>
      <c r="M138" t="n">
        <v>0</v>
      </c>
      <c r="N138" t="n">
        <v>0</v>
      </c>
      <c r="O138" t="n">
        <v>2</v>
      </c>
      <c r="P138" t="n">
        <v>0</v>
      </c>
      <c r="Q138" t="n">
        <v>2</v>
      </c>
      <c r="R138" s="2" t="inlineStr">
        <is>
          <t>Garnlav
Granticka</t>
        </is>
      </c>
      <c r="S138">
        <f>HYPERLINK("https://klasma.github.io/Logging_2380/artfynd/A 4967-2025 artfynd.xlsx", "A 4967-2025")</f>
        <v/>
      </c>
      <c r="T138">
        <f>HYPERLINK("https://klasma.github.io/Logging_2380/kartor/A 4967-2025 karta.png", "A 4967-2025")</f>
        <v/>
      </c>
      <c r="V138">
        <f>HYPERLINK("https://klasma.github.io/Logging_2380/klagomål/A 4967-2025 FSC-klagomål.docx", "A 4967-2025")</f>
        <v/>
      </c>
      <c r="W138">
        <f>HYPERLINK("https://klasma.github.io/Logging_2380/klagomålsmail/A 4967-2025 FSC-klagomål mail.docx", "A 4967-2025")</f>
        <v/>
      </c>
      <c r="X138">
        <f>HYPERLINK("https://klasma.github.io/Logging_2380/tillsyn/A 4967-2025 tillsynsbegäran.docx", "A 4967-2025")</f>
        <v/>
      </c>
      <c r="Y138">
        <f>HYPERLINK("https://klasma.github.io/Logging_2380/tillsynsmail/A 4967-2025 tillsynsbegäran mail.docx", "A 4967-2025")</f>
        <v/>
      </c>
    </row>
    <row r="139" ht="15" customHeight="1">
      <c r="A139" t="inlineStr">
        <is>
          <t>A 10529-2025</t>
        </is>
      </c>
      <c r="B139" s="1" t="n">
        <v>45721</v>
      </c>
      <c r="C139" s="1" t="n">
        <v>45730</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45730</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45730</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45730</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45730</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45730</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45730</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45730</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45730</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45730</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45730</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45730</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45730</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45730</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45730</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45730</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45730</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45730</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45730</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45730</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45730</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45730</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45730</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45730</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45730</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45730</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45730</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45730</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45730</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45730</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45730</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45730</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45730</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45730</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45730</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45730</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45730</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45730</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45730</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45730</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45730</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45730</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45730</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45730</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45730</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45730</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45730</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45730</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45730</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45730</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45730</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45730</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45730</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45730</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45730</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45730</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45730</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56201-2024</t>
        </is>
      </c>
      <c r="B196" s="1" t="n">
        <v>45624</v>
      </c>
      <c r="C196" s="1" t="n">
        <v>45730</v>
      </c>
      <c r="D196" t="inlineStr">
        <is>
          <t>JÄMTLANDS LÄN</t>
        </is>
      </c>
      <c r="E196" t="inlineStr">
        <is>
          <t>ÖSTERSUND</t>
        </is>
      </c>
      <c r="F196" t="inlineStr">
        <is>
          <t>SCA</t>
        </is>
      </c>
      <c r="G196" t="n">
        <v>5.9</v>
      </c>
      <c r="H196" t="n">
        <v>1</v>
      </c>
      <c r="I196" t="n">
        <v>0</v>
      </c>
      <c r="J196" t="n">
        <v>0</v>
      </c>
      <c r="K196" t="n">
        <v>1</v>
      </c>
      <c r="L196" t="n">
        <v>0</v>
      </c>
      <c r="M196" t="n">
        <v>0</v>
      </c>
      <c r="N196" t="n">
        <v>0</v>
      </c>
      <c r="O196" t="n">
        <v>1</v>
      </c>
      <c r="P196" t="n">
        <v>1</v>
      </c>
      <c r="Q196" t="n">
        <v>1</v>
      </c>
      <c r="R196" s="2" t="inlineStr">
        <is>
          <t>Doftticka</t>
        </is>
      </c>
      <c r="S196">
        <f>HYPERLINK("https://klasma.github.io/Logging_2380/artfynd/A 56201-2024 artfynd.xlsx", "A 56201-2024")</f>
        <v/>
      </c>
      <c r="T196">
        <f>HYPERLINK("https://klasma.github.io/Logging_2380/kartor/A 56201-2024 karta.png", "A 56201-2024")</f>
        <v/>
      </c>
      <c r="V196">
        <f>HYPERLINK("https://klasma.github.io/Logging_2380/klagomål/A 56201-2024 FSC-klagomål.docx", "A 56201-2024")</f>
        <v/>
      </c>
      <c r="W196">
        <f>HYPERLINK("https://klasma.github.io/Logging_2380/klagomålsmail/A 56201-2024 FSC-klagomål mail.docx", "A 56201-2024")</f>
        <v/>
      </c>
      <c r="X196">
        <f>HYPERLINK("https://klasma.github.io/Logging_2380/tillsyn/A 56201-2024 tillsynsbegäran.docx", "A 56201-2024")</f>
        <v/>
      </c>
      <c r="Y196">
        <f>HYPERLINK("https://klasma.github.io/Logging_2380/tillsynsmail/A 56201-2024 tillsynsbegäran mail.docx", "A 56201-2024")</f>
        <v/>
      </c>
    </row>
    <row r="197" ht="15" customHeight="1">
      <c r="A197" t="inlineStr">
        <is>
          <t>A 57065-2024</t>
        </is>
      </c>
      <c r="B197" s="1" t="n">
        <v>45629</v>
      </c>
      <c r="C197" s="1" t="n">
        <v>45730</v>
      </c>
      <c r="D197" t="inlineStr">
        <is>
          <t>JÄMTLANDS LÄN</t>
        </is>
      </c>
      <c r="E197" t="inlineStr">
        <is>
          <t>ÖSTERSUND</t>
        </is>
      </c>
      <c r="F197" t="inlineStr">
        <is>
          <t>SCA</t>
        </is>
      </c>
      <c r="G197" t="n">
        <v>6.3</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57065-2024 artfynd.xlsx", "A 57065-2024")</f>
        <v/>
      </c>
      <c r="T197">
        <f>HYPERLINK("https://klasma.github.io/Logging_2380/kartor/A 57065-2024 karta.png", "A 57065-2024")</f>
        <v/>
      </c>
      <c r="V197">
        <f>HYPERLINK("https://klasma.github.io/Logging_2380/klagomål/A 57065-2024 FSC-klagomål.docx", "A 57065-2024")</f>
        <v/>
      </c>
      <c r="W197">
        <f>HYPERLINK("https://klasma.github.io/Logging_2380/klagomålsmail/A 57065-2024 FSC-klagomål mail.docx", "A 57065-2024")</f>
        <v/>
      </c>
      <c r="X197">
        <f>HYPERLINK("https://klasma.github.io/Logging_2380/tillsyn/A 57065-2024 tillsynsbegäran.docx", "A 57065-2024")</f>
        <v/>
      </c>
      <c r="Y197">
        <f>HYPERLINK("https://klasma.github.io/Logging_2380/tillsynsmail/A 57065-2024 tillsynsbegäran mail.docx", "A 57065-2024")</f>
        <v/>
      </c>
      <c r="Z197">
        <f>HYPERLINK("https://klasma.github.io/Logging_2380/fåglar/A 57065-2024 prioriterade fågelarter.docx", "A 57065-2024")</f>
        <v/>
      </c>
    </row>
    <row r="198" ht="15" customHeight="1">
      <c r="A198" t="inlineStr">
        <is>
          <t>A 59108-2024</t>
        </is>
      </c>
      <c r="B198" s="1" t="n">
        <v>45637</v>
      </c>
      <c r="C198" s="1" t="n">
        <v>45730</v>
      </c>
      <c r="D198" t="inlineStr">
        <is>
          <t>JÄMTLANDS LÄN</t>
        </is>
      </c>
      <c r="E198" t="inlineStr">
        <is>
          <t>ÖSTERSUND</t>
        </is>
      </c>
      <c r="F198" t="inlineStr">
        <is>
          <t>SCA</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59108-2024 artfynd.xlsx", "A 59108-2024")</f>
        <v/>
      </c>
      <c r="T198">
        <f>HYPERLINK("https://klasma.github.io/Logging_2380/kartor/A 59108-2024 karta.png", "A 59108-2024")</f>
        <v/>
      </c>
      <c r="V198">
        <f>HYPERLINK("https://klasma.github.io/Logging_2380/klagomål/A 59108-2024 FSC-klagomål.docx", "A 59108-2024")</f>
        <v/>
      </c>
      <c r="W198">
        <f>HYPERLINK("https://klasma.github.io/Logging_2380/klagomålsmail/A 59108-2024 FSC-klagomål mail.docx", "A 59108-2024")</f>
        <v/>
      </c>
      <c r="X198">
        <f>HYPERLINK("https://klasma.github.io/Logging_2380/tillsyn/A 59108-2024 tillsynsbegäran.docx", "A 59108-2024")</f>
        <v/>
      </c>
      <c r="Y198">
        <f>HYPERLINK("https://klasma.github.io/Logging_2380/tillsynsmail/A 59108-2024 tillsynsbegäran mail.docx", "A 59108-2024")</f>
        <v/>
      </c>
      <c r="Z198">
        <f>HYPERLINK("https://klasma.github.io/Logging_2380/fåglar/A 59108-2024 prioriterade fågelarter.docx", "A 59108-2024")</f>
        <v/>
      </c>
    </row>
    <row r="199" ht="15" customHeight="1">
      <c r="A199" t="inlineStr">
        <is>
          <t>A 61179-2024</t>
        </is>
      </c>
      <c r="B199" s="1" t="n">
        <v>45645</v>
      </c>
      <c r="C199" s="1" t="n">
        <v>45730</v>
      </c>
      <c r="D199" t="inlineStr">
        <is>
          <t>JÄMTLANDS LÄN</t>
        </is>
      </c>
      <c r="E199" t="inlineStr">
        <is>
          <t>ÖSTERSUND</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HYPERLINK("https://klasma.github.io/Logging_2380/artfynd/A 61179-2024 artfynd.xlsx", "A 61179-2024")</f>
        <v/>
      </c>
      <c r="T199">
        <f>HYPERLINK("https://klasma.github.io/Logging_2380/kartor/A 61179-2024 karta.png", "A 61179-2024")</f>
        <v/>
      </c>
      <c r="U199">
        <f>HYPERLINK("https://klasma.github.io/Logging_2380/knärot/A 61179-2024 karta knärot.png", "A 61179-2024")</f>
        <v/>
      </c>
      <c r="V199">
        <f>HYPERLINK("https://klasma.github.io/Logging_2380/klagomål/A 61179-2024 FSC-klagomål.docx", "A 61179-2024")</f>
        <v/>
      </c>
      <c r="W199">
        <f>HYPERLINK("https://klasma.github.io/Logging_2380/klagomålsmail/A 61179-2024 FSC-klagomål mail.docx", "A 61179-2024")</f>
        <v/>
      </c>
      <c r="X199">
        <f>HYPERLINK("https://klasma.github.io/Logging_2380/tillsyn/A 61179-2024 tillsynsbegäran.docx", "A 61179-2024")</f>
        <v/>
      </c>
      <c r="Y199">
        <f>HYPERLINK("https://klasma.github.io/Logging_2380/tillsynsmail/A 61179-2024 tillsynsbegäran mail.docx", "A 61179-2024")</f>
        <v/>
      </c>
    </row>
    <row r="200" ht="15" customHeight="1">
      <c r="A200" t="inlineStr">
        <is>
          <t>A 3995-2025</t>
        </is>
      </c>
      <c r="B200" s="1" t="n">
        <v>45684</v>
      </c>
      <c r="C200" s="1" t="n">
        <v>45730</v>
      </c>
      <c r="D200" t="inlineStr">
        <is>
          <t>JÄMTLANDS LÄN</t>
        </is>
      </c>
      <c r="E200" t="inlineStr">
        <is>
          <t>ÖSTERSUND</t>
        </is>
      </c>
      <c r="G200" t="n">
        <v>6.5</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3995-2025 artfynd.xlsx", "A 3995-2025")</f>
        <v/>
      </c>
      <c r="T200">
        <f>HYPERLINK("https://klasma.github.io/Logging_2380/kartor/A 3995-2025 karta.png", "A 3995-2025")</f>
        <v/>
      </c>
      <c r="V200">
        <f>HYPERLINK("https://klasma.github.io/Logging_2380/klagomål/A 3995-2025 FSC-klagomål.docx", "A 3995-2025")</f>
        <v/>
      </c>
      <c r="W200">
        <f>HYPERLINK("https://klasma.github.io/Logging_2380/klagomålsmail/A 3995-2025 FSC-klagomål mail.docx", "A 3995-2025")</f>
        <v/>
      </c>
      <c r="X200">
        <f>HYPERLINK("https://klasma.github.io/Logging_2380/tillsyn/A 3995-2025 tillsynsbegäran.docx", "A 3995-2025")</f>
        <v/>
      </c>
      <c r="Y200">
        <f>HYPERLINK("https://klasma.github.io/Logging_2380/tillsynsmail/A 3995-2025 tillsynsbegäran mail.docx", "A 3995-2025")</f>
        <v/>
      </c>
      <c r="Z200">
        <f>HYPERLINK("https://klasma.github.io/Logging_2380/fåglar/A 3995-2025 prioriterade fågelarter.docx", "A 3995-2025")</f>
        <v/>
      </c>
    </row>
    <row r="201" ht="15" customHeight="1">
      <c r="A201" t="inlineStr">
        <is>
          <t>A 4372-2025</t>
        </is>
      </c>
      <c r="B201" s="1" t="n">
        <v>45686</v>
      </c>
      <c r="C201" s="1" t="n">
        <v>45730</v>
      </c>
      <c r="D201" t="inlineStr">
        <is>
          <t>JÄMTLANDS LÄN</t>
        </is>
      </c>
      <c r="E201" t="inlineStr">
        <is>
          <t>ÖSTERSUND</t>
        </is>
      </c>
      <c r="G201" t="n">
        <v>4.5</v>
      </c>
      <c r="H201" t="n">
        <v>0</v>
      </c>
      <c r="I201" t="n">
        <v>0</v>
      </c>
      <c r="J201" t="n">
        <v>1</v>
      </c>
      <c r="K201" t="n">
        <v>0</v>
      </c>
      <c r="L201" t="n">
        <v>0</v>
      </c>
      <c r="M201" t="n">
        <v>0</v>
      </c>
      <c r="N201" t="n">
        <v>0</v>
      </c>
      <c r="O201" t="n">
        <v>1</v>
      </c>
      <c r="P201" t="n">
        <v>0</v>
      </c>
      <c r="Q201" t="n">
        <v>1</v>
      </c>
      <c r="R201" s="2" t="inlineStr">
        <is>
          <t>Lunglav</t>
        </is>
      </c>
      <c r="S201">
        <f>HYPERLINK("https://klasma.github.io/Logging_2380/artfynd/A 4372-2025 artfynd.xlsx", "A 4372-2025")</f>
        <v/>
      </c>
      <c r="T201">
        <f>HYPERLINK("https://klasma.github.io/Logging_2380/kartor/A 4372-2025 karta.png", "A 4372-2025")</f>
        <v/>
      </c>
      <c r="V201">
        <f>HYPERLINK("https://klasma.github.io/Logging_2380/klagomål/A 4372-2025 FSC-klagomål.docx", "A 4372-2025")</f>
        <v/>
      </c>
      <c r="W201">
        <f>HYPERLINK("https://klasma.github.io/Logging_2380/klagomålsmail/A 4372-2025 FSC-klagomål mail.docx", "A 4372-2025")</f>
        <v/>
      </c>
      <c r="X201">
        <f>HYPERLINK("https://klasma.github.io/Logging_2380/tillsyn/A 4372-2025 tillsynsbegäran.docx", "A 4372-2025")</f>
        <v/>
      </c>
      <c r="Y201">
        <f>HYPERLINK("https://klasma.github.io/Logging_2380/tillsynsmail/A 4372-2025 tillsynsbegäran mail.docx", "A 4372-2025")</f>
        <v/>
      </c>
    </row>
    <row r="202" ht="15" customHeight="1">
      <c r="A202" t="inlineStr">
        <is>
          <t>A 5978-2025</t>
        </is>
      </c>
      <c r="B202" s="1" t="n">
        <v>45695</v>
      </c>
      <c r="C202" s="1" t="n">
        <v>45730</v>
      </c>
      <c r="D202" t="inlineStr">
        <is>
          <t>JÄMTLANDS LÄN</t>
        </is>
      </c>
      <c r="E202" t="inlineStr">
        <is>
          <t>ÖSTERSUND</t>
        </is>
      </c>
      <c r="G202" t="n">
        <v>3.2</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HYPERLINK("https://klasma.github.io/Logging_2380/artfynd/A 5978-2025 artfynd.xlsx", "A 5978-2025")</f>
        <v/>
      </c>
      <c r="T202">
        <f>HYPERLINK("https://klasma.github.io/Logging_2380/kartor/A 5978-2025 karta.png", "A 5978-2025")</f>
        <v/>
      </c>
      <c r="V202">
        <f>HYPERLINK("https://klasma.github.io/Logging_2380/klagomål/A 5978-2025 FSC-klagomål.docx", "A 5978-2025")</f>
        <v/>
      </c>
      <c r="W202">
        <f>HYPERLINK("https://klasma.github.io/Logging_2380/klagomålsmail/A 5978-2025 FSC-klagomål mail.docx", "A 5978-2025")</f>
        <v/>
      </c>
      <c r="X202">
        <f>HYPERLINK("https://klasma.github.io/Logging_2380/tillsyn/A 5978-2025 tillsynsbegäran.docx", "A 5978-2025")</f>
        <v/>
      </c>
      <c r="Y202">
        <f>HYPERLINK("https://klasma.github.io/Logging_2380/tillsynsmail/A 5978-2025 tillsynsbegäran mail.docx", "A 5978-2025")</f>
        <v/>
      </c>
    </row>
    <row r="203" ht="15" customHeight="1">
      <c r="A203" t="inlineStr">
        <is>
          <t>A 10724-2025</t>
        </is>
      </c>
      <c r="B203" s="1" t="n">
        <v>45722</v>
      </c>
      <c r="C203" s="1" t="n">
        <v>45730</v>
      </c>
      <c r="D203" t="inlineStr">
        <is>
          <t>JÄMTLANDS LÄN</t>
        </is>
      </c>
      <c r="E203" t="inlineStr">
        <is>
          <t>ÖSTERSUND</t>
        </is>
      </c>
      <c r="F203" t="inlineStr">
        <is>
          <t>SCA</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HYPERLINK("https://klasma.github.io/Logging_2380/artfynd/A 10724-2025 artfynd.xlsx", "A 10724-2025")</f>
        <v/>
      </c>
      <c r="T203">
        <f>HYPERLINK("https://klasma.github.io/Logging_2380/kartor/A 10724-2025 karta.png", "A 10724-2025")</f>
        <v/>
      </c>
      <c r="V203">
        <f>HYPERLINK("https://klasma.github.io/Logging_2380/klagomål/A 10724-2025 FSC-klagomål.docx", "A 10724-2025")</f>
        <v/>
      </c>
      <c r="W203">
        <f>HYPERLINK("https://klasma.github.io/Logging_2380/klagomålsmail/A 10724-2025 FSC-klagomål mail.docx", "A 10724-2025")</f>
        <v/>
      </c>
      <c r="X203">
        <f>HYPERLINK("https://klasma.github.io/Logging_2380/tillsyn/A 10724-2025 tillsynsbegäran.docx", "A 10724-2025")</f>
        <v/>
      </c>
      <c r="Y203">
        <f>HYPERLINK("https://klasma.github.io/Logging_2380/tillsynsmail/A 10724-2025 tillsynsbegäran mail.docx", "A 10724-2025")</f>
        <v/>
      </c>
    </row>
    <row r="204" ht="15" customHeight="1">
      <c r="A204" t="inlineStr">
        <is>
          <t>A 20319-2019</t>
        </is>
      </c>
      <c r="B204" s="1" t="n">
        <v>43571</v>
      </c>
      <c r="C204" s="1" t="n">
        <v>45730</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21727-2019</t>
        </is>
      </c>
      <c r="B205" s="1" t="n">
        <v>43581</v>
      </c>
      <c r="C205" s="1" t="n">
        <v>45730</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21793-2019</t>
        </is>
      </c>
      <c r="B206" s="1" t="n">
        <v>43581</v>
      </c>
      <c r="C206" s="1" t="n">
        <v>45730</v>
      </c>
      <c r="D206" t="inlineStr">
        <is>
          <t>JÄMTLANDS LÄN</t>
        </is>
      </c>
      <c r="E206" t="inlineStr">
        <is>
          <t>ÖSTERSUND</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22119-2019</t>
        </is>
      </c>
      <c r="B207" s="1" t="n">
        <v>43584</v>
      </c>
      <c r="C207" s="1" t="n">
        <v>45730</v>
      </c>
      <c r="D207" t="inlineStr">
        <is>
          <t>JÄMTLANDS LÄN</t>
        </is>
      </c>
      <c r="E207" t="inlineStr">
        <is>
          <t>ÖSTERSUND</t>
        </is>
      </c>
      <c r="G207" t="n">
        <v>7</v>
      </c>
      <c r="H207" t="n">
        <v>0</v>
      </c>
      <c r="I207" t="n">
        <v>0</v>
      </c>
      <c r="J207" t="n">
        <v>0</v>
      </c>
      <c r="K207" t="n">
        <v>0</v>
      </c>
      <c r="L207" t="n">
        <v>0</v>
      </c>
      <c r="M207" t="n">
        <v>0</v>
      </c>
      <c r="N207" t="n">
        <v>0</v>
      </c>
      <c r="O207" t="n">
        <v>0</v>
      </c>
      <c r="P207" t="n">
        <v>0</v>
      </c>
      <c r="Q207" t="n">
        <v>0</v>
      </c>
      <c r="R207" s="2" t="inlineStr"/>
    </row>
    <row r="208" ht="15" customHeight="1">
      <c r="A208" t="inlineStr">
        <is>
          <t>A 22115-2019</t>
        </is>
      </c>
      <c r="B208" s="1" t="n">
        <v>43584</v>
      </c>
      <c r="C208" s="1" t="n">
        <v>45730</v>
      </c>
      <c r="D208" t="inlineStr">
        <is>
          <t>JÄMTLANDS LÄN</t>
        </is>
      </c>
      <c r="E208" t="inlineStr">
        <is>
          <t>ÖSTERSUND</t>
        </is>
      </c>
      <c r="G208" t="n">
        <v>15.1</v>
      </c>
      <c r="H208" t="n">
        <v>0</v>
      </c>
      <c r="I208" t="n">
        <v>0</v>
      </c>
      <c r="J208" t="n">
        <v>0</v>
      </c>
      <c r="K208" t="n">
        <v>0</v>
      </c>
      <c r="L208" t="n">
        <v>0</v>
      </c>
      <c r="M208" t="n">
        <v>0</v>
      </c>
      <c r="N208" t="n">
        <v>0</v>
      </c>
      <c r="O208" t="n">
        <v>0</v>
      </c>
      <c r="P208" t="n">
        <v>0</v>
      </c>
      <c r="Q208" t="n">
        <v>0</v>
      </c>
      <c r="R208" s="2" t="inlineStr"/>
      <c r="U208">
        <f>HYPERLINK("https://klasma.github.io/Logging_2380/knärot/A 22115-2019 karta knärot.png", "A 22115-2019")</f>
        <v/>
      </c>
      <c r="V208">
        <f>HYPERLINK("https://klasma.github.io/Logging_2380/klagomål/A 22115-2019 FSC-klagomål.docx", "A 22115-2019")</f>
        <v/>
      </c>
      <c r="W208">
        <f>HYPERLINK("https://klasma.github.io/Logging_2380/klagomålsmail/A 22115-2019 FSC-klagomål mail.docx", "A 22115-2019")</f>
        <v/>
      </c>
      <c r="X208">
        <f>HYPERLINK("https://klasma.github.io/Logging_2380/tillsyn/A 22115-2019 tillsynsbegäran.docx", "A 22115-2019")</f>
        <v/>
      </c>
      <c r="Y208">
        <f>HYPERLINK("https://klasma.github.io/Logging_2380/tillsynsmail/A 22115-2019 tillsynsbegäran mail.docx", "A 22115-2019")</f>
        <v/>
      </c>
    </row>
    <row r="209" ht="15" customHeight="1">
      <c r="A209" t="inlineStr">
        <is>
          <t>A 23609-2019</t>
        </is>
      </c>
      <c r="B209" s="1" t="n">
        <v>43594</v>
      </c>
      <c r="C209" s="1" t="n">
        <v>45730</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23940-2019</t>
        </is>
      </c>
      <c r="B210" s="1" t="n">
        <v>43595</v>
      </c>
      <c r="C210" s="1" t="n">
        <v>45730</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25205-2019</t>
        </is>
      </c>
      <c r="B211" s="1" t="n">
        <v>43600</v>
      </c>
      <c r="C211" s="1" t="n">
        <v>45730</v>
      </c>
      <c r="D211" t="inlineStr">
        <is>
          <t>JÄMTLANDS LÄN</t>
        </is>
      </c>
      <c r="E211" t="inlineStr">
        <is>
          <t>ÖSTERSUND</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28892-2019</t>
        </is>
      </c>
      <c r="B212" s="1" t="n">
        <v>43619</v>
      </c>
      <c r="C212" s="1" t="n">
        <v>45730</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28899-2019</t>
        </is>
      </c>
      <c r="B213" s="1" t="n">
        <v>43619</v>
      </c>
      <c r="C213" s="1" t="n">
        <v>45730</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28884-2019</t>
        </is>
      </c>
      <c r="B214" s="1" t="n">
        <v>43619</v>
      </c>
      <c r="C214" s="1" t="n">
        <v>45730</v>
      </c>
      <c r="D214" t="inlineStr">
        <is>
          <t>JÄMTLANDS LÄN</t>
        </is>
      </c>
      <c r="E214" t="inlineStr">
        <is>
          <t>ÖSTERSUND</t>
        </is>
      </c>
      <c r="G214" t="n">
        <v>0.3</v>
      </c>
      <c r="H214" t="n">
        <v>0</v>
      </c>
      <c r="I214" t="n">
        <v>0</v>
      </c>
      <c r="J214" t="n">
        <v>0</v>
      </c>
      <c r="K214" t="n">
        <v>0</v>
      </c>
      <c r="L214" t="n">
        <v>0</v>
      </c>
      <c r="M214" t="n">
        <v>0</v>
      </c>
      <c r="N214" t="n">
        <v>0</v>
      </c>
      <c r="O214" t="n">
        <v>0</v>
      </c>
      <c r="P214" t="n">
        <v>0</v>
      </c>
      <c r="Q214" t="n">
        <v>0</v>
      </c>
      <c r="R214" s="2" t="inlineStr"/>
    </row>
    <row r="215" ht="15" customHeight="1">
      <c r="A215" t="inlineStr">
        <is>
          <t>A 27977-2019</t>
        </is>
      </c>
      <c r="B215" s="1" t="n">
        <v>43620</v>
      </c>
      <c r="C215" s="1" t="n">
        <v>45730</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29058-2019</t>
        </is>
      </c>
      <c r="B216" s="1" t="n">
        <v>43621</v>
      </c>
      <c r="C216" s="1" t="n">
        <v>45730</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31189-2019</t>
        </is>
      </c>
      <c r="B217" s="1" t="n">
        <v>43635</v>
      </c>
      <c r="C217" s="1" t="n">
        <v>45730</v>
      </c>
      <c r="D217" t="inlineStr">
        <is>
          <t>JÄMTLANDS LÄN</t>
        </is>
      </c>
      <c r="E217" t="inlineStr">
        <is>
          <t>ÖSTERSUND</t>
        </is>
      </c>
      <c r="G217" t="n">
        <v>5.5</v>
      </c>
      <c r="H217" t="n">
        <v>0</v>
      </c>
      <c r="I217" t="n">
        <v>0</v>
      </c>
      <c r="J217" t="n">
        <v>0</v>
      </c>
      <c r="K217" t="n">
        <v>0</v>
      </c>
      <c r="L217" t="n">
        <v>0</v>
      </c>
      <c r="M217" t="n">
        <v>0</v>
      </c>
      <c r="N217" t="n">
        <v>0</v>
      </c>
      <c r="O217" t="n">
        <v>0</v>
      </c>
      <c r="P217" t="n">
        <v>0</v>
      </c>
      <c r="Q217" t="n">
        <v>0</v>
      </c>
      <c r="R217" s="2" t="inlineStr"/>
    </row>
    <row r="218" ht="15" customHeight="1">
      <c r="A218" t="inlineStr">
        <is>
          <t>A 30940-2019</t>
        </is>
      </c>
      <c r="B218" s="1" t="n">
        <v>43637</v>
      </c>
      <c r="C218" s="1" t="n">
        <v>45730</v>
      </c>
      <c r="D218" t="inlineStr">
        <is>
          <t>JÄMTLANDS LÄN</t>
        </is>
      </c>
      <c r="E218" t="inlineStr">
        <is>
          <t>ÖSTERSUND</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30946-2019</t>
        </is>
      </c>
      <c r="B219" s="1" t="n">
        <v>43636</v>
      </c>
      <c r="C219" s="1" t="n">
        <v>45730</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31617-2019</t>
        </is>
      </c>
      <c r="B220" s="1" t="n">
        <v>43640</v>
      </c>
      <c r="C220" s="1" t="n">
        <v>45730</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31621-2019</t>
        </is>
      </c>
      <c r="B221" s="1" t="n">
        <v>43640</v>
      </c>
      <c r="C221" s="1" t="n">
        <v>45730</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34903-2019</t>
        </is>
      </c>
      <c r="B222" s="1" t="n">
        <v>43650</v>
      </c>
      <c r="C222" s="1" t="n">
        <v>45730</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35500-2019</t>
        </is>
      </c>
      <c r="B223" s="1" t="n">
        <v>43651</v>
      </c>
      <c r="C223" s="1" t="n">
        <v>45730</v>
      </c>
      <c r="D223" t="inlineStr">
        <is>
          <t>JÄMTLANDS LÄN</t>
        </is>
      </c>
      <c r="E223" t="inlineStr">
        <is>
          <t>ÖSTERSUND</t>
        </is>
      </c>
      <c r="F223" t="inlineStr">
        <is>
          <t>SCA</t>
        </is>
      </c>
      <c r="G223" t="n">
        <v>7</v>
      </c>
      <c r="H223" t="n">
        <v>0</v>
      </c>
      <c r="I223" t="n">
        <v>0</v>
      </c>
      <c r="J223" t="n">
        <v>0</v>
      </c>
      <c r="K223" t="n">
        <v>0</v>
      </c>
      <c r="L223" t="n">
        <v>0</v>
      </c>
      <c r="M223" t="n">
        <v>0</v>
      </c>
      <c r="N223" t="n">
        <v>0</v>
      </c>
      <c r="O223" t="n">
        <v>0</v>
      </c>
      <c r="P223" t="n">
        <v>0</v>
      </c>
      <c r="Q223" t="n">
        <v>0</v>
      </c>
      <c r="R223" s="2" t="inlineStr"/>
    </row>
    <row r="224" ht="15" customHeight="1">
      <c r="A224" t="inlineStr">
        <is>
          <t>A 35535-2019</t>
        </is>
      </c>
      <c r="B224" s="1" t="n">
        <v>43654</v>
      </c>
      <c r="C224" s="1" t="n">
        <v>45730</v>
      </c>
      <c r="D224" t="inlineStr">
        <is>
          <t>JÄMTLANDS LÄN</t>
        </is>
      </c>
      <c r="E224" t="inlineStr">
        <is>
          <t>ÖSTERSUND</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34109-2019</t>
        </is>
      </c>
      <c r="B225" s="1" t="n">
        <v>43654</v>
      </c>
      <c r="C225" s="1" t="n">
        <v>45730</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34246-2019</t>
        </is>
      </c>
      <c r="B226" s="1" t="n">
        <v>43655</v>
      </c>
      <c r="C226" s="1" t="n">
        <v>45730</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35678-2019</t>
        </is>
      </c>
      <c r="B227" s="1" t="n">
        <v>43656</v>
      </c>
      <c r="C227" s="1" t="n">
        <v>45730</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35688-2019</t>
        </is>
      </c>
      <c r="B228" s="1" t="n">
        <v>43656</v>
      </c>
      <c r="C228" s="1" t="n">
        <v>45730</v>
      </c>
      <c r="D228" t="inlineStr">
        <is>
          <t>JÄMTLANDS LÄN</t>
        </is>
      </c>
      <c r="E228" t="inlineStr">
        <is>
          <t>ÖSTERSUND</t>
        </is>
      </c>
      <c r="G228" t="n">
        <v>12.6</v>
      </c>
      <c r="H228" t="n">
        <v>0</v>
      </c>
      <c r="I228" t="n">
        <v>0</v>
      </c>
      <c r="J228" t="n">
        <v>0</v>
      </c>
      <c r="K228" t="n">
        <v>0</v>
      </c>
      <c r="L228" t="n">
        <v>0</v>
      </c>
      <c r="M228" t="n">
        <v>0</v>
      </c>
      <c r="N228" t="n">
        <v>0</v>
      </c>
      <c r="O228" t="n">
        <v>0</v>
      </c>
      <c r="P228" t="n">
        <v>0</v>
      </c>
      <c r="Q228" t="n">
        <v>0</v>
      </c>
      <c r="R228" s="2" t="inlineStr"/>
    </row>
    <row r="229" ht="15" customHeight="1">
      <c r="A229" t="inlineStr">
        <is>
          <t>A 36003-2019</t>
        </is>
      </c>
      <c r="B229" s="1" t="n">
        <v>43657</v>
      </c>
      <c r="C229" s="1" t="n">
        <v>45730</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36652-2019</t>
        </is>
      </c>
      <c r="B230" s="1" t="n">
        <v>43670</v>
      </c>
      <c r="C230" s="1" t="n">
        <v>45730</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37222-2019</t>
        </is>
      </c>
      <c r="B231" s="1" t="n">
        <v>43676</v>
      </c>
      <c r="C231" s="1" t="n">
        <v>45730</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38662-2019</t>
        </is>
      </c>
      <c r="B232" s="1" t="n">
        <v>43684</v>
      </c>
      <c r="C232" s="1" t="n">
        <v>45730</v>
      </c>
      <c r="D232" t="inlineStr">
        <is>
          <t>JÄMTLANDS LÄN</t>
        </is>
      </c>
      <c r="E232" t="inlineStr">
        <is>
          <t>ÖSTERSUND</t>
        </is>
      </c>
      <c r="G232" t="n">
        <v>2.2</v>
      </c>
      <c r="H232" t="n">
        <v>0</v>
      </c>
      <c r="I232" t="n">
        <v>0</v>
      </c>
      <c r="J232" t="n">
        <v>0</v>
      </c>
      <c r="K232" t="n">
        <v>0</v>
      </c>
      <c r="L232" t="n">
        <v>0</v>
      </c>
      <c r="M232" t="n">
        <v>0</v>
      </c>
      <c r="N232" t="n">
        <v>0</v>
      </c>
      <c r="O232" t="n">
        <v>0</v>
      </c>
      <c r="P232" t="n">
        <v>0</v>
      </c>
      <c r="Q232" t="n">
        <v>0</v>
      </c>
      <c r="R232" s="2" t="inlineStr"/>
    </row>
    <row r="233" ht="15" customHeight="1">
      <c r="A233" t="inlineStr">
        <is>
          <t>A 39459-2019</t>
        </is>
      </c>
      <c r="B233" s="1" t="n">
        <v>43686</v>
      </c>
      <c r="C233" s="1" t="n">
        <v>45730</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40530-2019</t>
        </is>
      </c>
      <c r="B234" s="1" t="n">
        <v>43696</v>
      </c>
      <c r="C234" s="1" t="n">
        <v>45730</v>
      </c>
      <c r="D234" t="inlineStr">
        <is>
          <t>JÄMTLANDS LÄN</t>
        </is>
      </c>
      <c r="E234" t="inlineStr">
        <is>
          <t>ÖSTERSUND</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41364-2019</t>
        </is>
      </c>
      <c r="B235" s="1" t="n">
        <v>43696</v>
      </c>
      <c r="C235" s="1" t="n">
        <v>45730</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40531-2019</t>
        </is>
      </c>
      <c r="B236" s="1" t="n">
        <v>43696</v>
      </c>
      <c r="C236" s="1" t="n">
        <v>45730</v>
      </c>
      <c r="D236" t="inlineStr">
        <is>
          <t>JÄMTLANDS LÄN</t>
        </is>
      </c>
      <c r="E236" t="inlineStr">
        <is>
          <t>ÖSTERSUND</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41556-2019</t>
        </is>
      </c>
      <c r="B237" s="1" t="n">
        <v>43696</v>
      </c>
      <c r="C237" s="1" t="n">
        <v>45730</v>
      </c>
      <c r="D237" t="inlineStr">
        <is>
          <t>JÄMTLANDS LÄN</t>
        </is>
      </c>
      <c r="E237" t="inlineStr">
        <is>
          <t>ÖSTERSUND</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41588-2019</t>
        </is>
      </c>
      <c r="B238" s="1" t="n">
        <v>43699</v>
      </c>
      <c r="C238" s="1" t="n">
        <v>45730</v>
      </c>
      <c r="D238" t="inlineStr">
        <is>
          <t>JÄMTLANDS LÄN</t>
        </is>
      </c>
      <c r="E238" t="inlineStr">
        <is>
          <t>ÖSTERSUND</t>
        </is>
      </c>
      <c r="G238" t="n">
        <v>26.7</v>
      </c>
      <c r="H238" t="n">
        <v>0</v>
      </c>
      <c r="I238" t="n">
        <v>0</v>
      </c>
      <c r="J238" t="n">
        <v>0</v>
      </c>
      <c r="K238" t="n">
        <v>0</v>
      </c>
      <c r="L238" t="n">
        <v>0</v>
      </c>
      <c r="M238" t="n">
        <v>0</v>
      </c>
      <c r="N238" t="n">
        <v>0</v>
      </c>
      <c r="O238" t="n">
        <v>0</v>
      </c>
      <c r="P238" t="n">
        <v>0</v>
      </c>
      <c r="Q238" t="n">
        <v>0</v>
      </c>
      <c r="R238" s="2" t="inlineStr"/>
    </row>
    <row r="239" ht="15" customHeight="1">
      <c r="A239" t="inlineStr">
        <is>
          <t>A 43249-2019</t>
        </is>
      </c>
      <c r="B239" s="1" t="n">
        <v>43703</v>
      </c>
      <c r="C239" s="1" t="n">
        <v>45730</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43425-2019</t>
        </is>
      </c>
      <c r="B240" s="1" t="n">
        <v>43703</v>
      </c>
      <c r="C240" s="1" t="n">
        <v>45730</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46346-2019</t>
        </is>
      </c>
      <c r="B241" s="1" t="n">
        <v>43718</v>
      </c>
      <c r="C241" s="1" t="n">
        <v>45730</v>
      </c>
      <c r="D241" t="inlineStr">
        <is>
          <t>JÄMTLANDS LÄN</t>
        </is>
      </c>
      <c r="E241" t="inlineStr">
        <is>
          <t>ÖSTERSUND</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47810-2019</t>
        </is>
      </c>
      <c r="B242" s="1" t="n">
        <v>43724</v>
      </c>
      <c r="C242" s="1" t="n">
        <v>45730</v>
      </c>
      <c r="D242" t="inlineStr">
        <is>
          <t>JÄMTLANDS LÄN</t>
        </is>
      </c>
      <c r="E242" t="inlineStr">
        <is>
          <t>ÖSTERSUND</t>
        </is>
      </c>
      <c r="F242" t="inlineStr">
        <is>
          <t>SCA</t>
        </is>
      </c>
      <c r="G242" t="n">
        <v>0.5</v>
      </c>
      <c r="H242" t="n">
        <v>0</v>
      </c>
      <c r="I242" t="n">
        <v>0</v>
      </c>
      <c r="J242" t="n">
        <v>0</v>
      </c>
      <c r="K242" t="n">
        <v>0</v>
      </c>
      <c r="L242" t="n">
        <v>0</v>
      </c>
      <c r="M242" t="n">
        <v>0</v>
      </c>
      <c r="N242" t="n">
        <v>0</v>
      </c>
      <c r="O242" t="n">
        <v>0</v>
      </c>
      <c r="P242" t="n">
        <v>0</v>
      </c>
      <c r="Q242" t="n">
        <v>0</v>
      </c>
      <c r="R242" s="2" t="inlineStr"/>
    </row>
    <row r="243" ht="15" customHeight="1">
      <c r="A243" t="inlineStr">
        <is>
          <t>A 48115-2019</t>
        </is>
      </c>
      <c r="B243" s="1" t="n">
        <v>43725</v>
      </c>
      <c r="C243" s="1" t="n">
        <v>45730</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48680-2019</t>
        </is>
      </c>
      <c r="B244" s="1" t="n">
        <v>43727</v>
      </c>
      <c r="C244" s="1" t="n">
        <v>45730</v>
      </c>
      <c r="D244" t="inlineStr">
        <is>
          <t>JÄMTLANDS LÄN</t>
        </is>
      </c>
      <c r="E244" t="inlineStr">
        <is>
          <t>ÖSTERSUND</t>
        </is>
      </c>
      <c r="G244" t="n">
        <v>3</v>
      </c>
      <c r="H244" t="n">
        <v>0</v>
      </c>
      <c r="I244" t="n">
        <v>0</v>
      </c>
      <c r="J244" t="n">
        <v>0</v>
      </c>
      <c r="K244" t="n">
        <v>0</v>
      </c>
      <c r="L244" t="n">
        <v>0</v>
      </c>
      <c r="M244" t="n">
        <v>0</v>
      </c>
      <c r="N244" t="n">
        <v>0</v>
      </c>
      <c r="O244" t="n">
        <v>0</v>
      </c>
      <c r="P244" t="n">
        <v>0</v>
      </c>
      <c r="Q244" t="n">
        <v>0</v>
      </c>
      <c r="R244" s="2" t="inlineStr"/>
    </row>
    <row r="245" ht="15" customHeight="1">
      <c r="A245" t="inlineStr">
        <is>
          <t>A 49629-2019</t>
        </is>
      </c>
      <c r="B245" s="1" t="n">
        <v>43732</v>
      </c>
      <c r="C245" s="1" t="n">
        <v>45730</v>
      </c>
      <c r="D245" t="inlineStr">
        <is>
          <t>JÄMTLANDS LÄN</t>
        </is>
      </c>
      <c r="E245" t="inlineStr">
        <is>
          <t>ÖSTERSUND</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51347-2019</t>
        </is>
      </c>
      <c r="B246" s="1" t="n">
        <v>43732</v>
      </c>
      <c r="C246" s="1" t="n">
        <v>45730</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49997-2019</t>
        </is>
      </c>
      <c r="B247" s="1" t="n">
        <v>43733</v>
      </c>
      <c r="C247" s="1" t="n">
        <v>45730</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50316-2019</t>
        </is>
      </c>
      <c r="B248" s="1" t="n">
        <v>43735</v>
      </c>
      <c r="C248" s="1" t="n">
        <v>45730</v>
      </c>
      <c r="D248" t="inlineStr">
        <is>
          <t>JÄMTLANDS LÄN</t>
        </is>
      </c>
      <c r="E248" t="inlineStr">
        <is>
          <t>ÖSTERSUND</t>
        </is>
      </c>
      <c r="G248" t="n">
        <v>9.5</v>
      </c>
      <c r="H248" t="n">
        <v>0</v>
      </c>
      <c r="I248" t="n">
        <v>0</v>
      </c>
      <c r="J248" t="n">
        <v>0</v>
      </c>
      <c r="K248" t="n">
        <v>0</v>
      </c>
      <c r="L248" t="n">
        <v>0</v>
      </c>
      <c r="M248" t="n">
        <v>0</v>
      </c>
      <c r="N248" t="n">
        <v>0</v>
      </c>
      <c r="O248" t="n">
        <v>0</v>
      </c>
      <c r="P248" t="n">
        <v>0</v>
      </c>
      <c r="Q248" t="n">
        <v>0</v>
      </c>
      <c r="R248" s="2" t="inlineStr"/>
    </row>
    <row r="249" ht="15" customHeight="1">
      <c r="A249" t="inlineStr">
        <is>
          <t>A 50779-2019</t>
        </is>
      </c>
      <c r="B249" s="1" t="n">
        <v>43738</v>
      </c>
      <c r="C249" s="1" t="n">
        <v>45730</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50968-2019</t>
        </is>
      </c>
      <c r="B250" s="1" t="n">
        <v>43738</v>
      </c>
      <c r="C250" s="1" t="n">
        <v>45730</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54498-2019</t>
        </is>
      </c>
      <c r="B251" s="1" t="n">
        <v>43747</v>
      </c>
      <c r="C251" s="1" t="n">
        <v>45730</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53297-2019</t>
        </is>
      </c>
      <c r="B252" s="1" t="n">
        <v>43748</v>
      </c>
      <c r="C252" s="1" t="n">
        <v>45730</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53533-2019</t>
        </is>
      </c>
      <c r="B253" s="1" t="n">
        <v>43749</v>
      </c>
      <c r="C253" s="1" t="n">
        <v>45730</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53859-2019</t>
        </is>
      </c>
      <c r="B254" s="1" t="n">
        <v>43752</v>
      </c>
      <c r="C254" s="1" t="n">
        <v>45730</v>
      </c>
      <c r="D254" t="inlineStr">
        <is>
          <t>JÄMTLANDS LÄN</t>
        </is>
      </c>
      <c r="E254" t="inlineStr">
        <is>
          <t>ÖSTERSUND</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57466-2019</t>
        </is>
      </c>
      <c r="B255" s="1" t="n">
        <v>43761</v>
      </c>
      <c r="C255" s="1" t="n">
        <v>45730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56512-2019</t>
        </is>
      </c>
      <c r="B256" s="1" t="n">
        <v>43762</v>
      </c>
      <c r="C256" s="1" t="n">
        <v>45730</v>
      </c>
      <c r="D256" t="inlineStr">
        <is>
          <t>JÄMTLANDS LÄN</t>
        </is>
      </c>
      <c r="E256" t="inlineStr">
        <is>
          <t>ÖSTERSUND</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57845-2019</t>
        </is>
      </c>
      <c r="B257" s="1" t="n">
        <v>43768</v>
      </c>
      <c r="C257" s="1" t="n">
        <v>45730</v>
      </c>
      <c r="D257" t="inlineStr">
        <is>
          <t>JÄMTLANDS LÄN</t>
        </is>
      </c>
      <c r="E257" t="inlineStr">
        <is>
          <t>ÖSTERSUND</t>
        </is>
      </c>
      <c r="G257" t="n">
        <v>3.7</v>
      </c>
      <c r="H257" t="n">
        <v>0</v>
      </c>
      <c r="I257" t="n">
        <v>0</v>
      </c>
      <c r="J257" t="n">
        <v>0</v>
      </c>
      <c r="K257" t="n">
        <v>0</v>
      </c>
      <c r="L257" t="n">
        <v>0</v>
      </c>
      <c r="M257" t="n">
        <v>0</v>
      </c>
      <c r="N257" t="n">
        <v>0</v>
      </c>
      <c r="O257" t="n">
        <v>0</v>
      </c>
      <c r="P257" t="n">
        <v>0</v>
      </c>
      <c r="Q257" t="n">
        <v>0</v>
      </c>
      <c r="R257" s="2" t="inlineStr"/>
    </row>
    <row r="258" ht="15" customHeight="1">
      <c r="A258" t="inlineStr">
        <is>
          <t>A 58216-2019</t>
        </is>
      </c>
      <c r="B258" s="1" t="n">
        <v>43770</v>
      </c>
      <c r="C258" s="1" t="n">
        <v>45730</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58210-2019</t>
        </is>
      </c>
      <c r="B259" s="1" t="n">
        <v>43770</v>
      </c>
      <c r="C259" s="1" t="n">
        <v>45730</v>
      </c>
      <c r="D259" t="inlineStr">
        <is>
          <t>JÄMTLANDS LÄN</t>
        </is>
      </c>
      <c r="E259" t="inlineStr">
        <is>
          <t>ÖSTERSUND</t>
        </is>
      </c>
      <c r="G259" t="n">
        <v>2.6</v>
      </c>
      <c r="H259" t="n">
        <v>0</v>
      </c>
      <c r="I259" t="n">
        <v>0</v>
      </c>
      <c r="J259" t="n">
        <v>0</v>
      </c>
      <c r="K259" t="n">
        <v>0</v>
      </c>
      <c r="L259" t="n">
        <v>0</v>
      </c>
      <c r="M259" t="n">
        <v>0</v>
      </c>
      <c r="N259" t="n">
        <v>0</v>
      </c>
      <c r="O259" t="n">
        <v>0</v>
      </c>
      <c r="P259" t="n">
        <v>0</v>
      </c>
      <c r="Q259" t="n">
        <v>0</v>
      </c>
      <c r="R259" s="2" t="inlineStr"/>
    </row>
    <row r="260" ht="15" customHeight="1">
      <c r="A260" t="inlineStr">
        <is>
          <t>A 59437-2019</t>
        </is>
      </c>
      <c r="B260" s="1" t="n">
        <v>43773</v>
      </c>
      <c r="C260" s="1" t="n">
        <v>45730</v>
      </c>
      <c r="D260" t="inlineStr">
        <is>
          <t>JÄMTLANDS LÄN</t>
        </is>
      </c>
      <c r="E260" t="inlineStr">
        <is>
          <t>ÖSTERSUND</t>
        </is>
      </c>
      <c r="G260" t="n">
        <v>6.2</v>
      </c>
      <c r="H260" t="n">
        <v>0</v>
      </c>
      <c r="I260" t="n">
        <v>0</v>
      </c>
      <c r="J260" t="n">
        <v>0</v>
      </c>
      <c r="K260" t="n">
        <v>0</v>
      </c>
      <c r="L260" t="n">
        <v>0</v>
      </c>
      <c r="M260" t="n">
        <v>0</v>
      </c>
      <c r="N260" t="n">
        <v>0</v>
      </c>
      <c r="O260" t="n">
        <v>0</v>
      </c>
      <c r="P260" t="n">
        <v>0</v>
      </c>
      <c r="Q260" t="n">
        <v>0</v>
      </c>
      <c r="R260" s="2" t="inlineStr"/>
    </row>
    <row r="261" ht="15" customHeight="1">
      <c r="A261" t="inlineStr">
        <is>
          <t>A 60240-2019</t>
        </is>
      </c>
      <c r="B261" s="1" t="n">
        <v>43776</v>
      </c>
      <c r="C261" s="1" t="n">
        <v>45730</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60001-2019</t>
        </is>
      </c>
      <c r="B262" s="1" t="n">
        <v>43777</v>
      </c>
      <c r="C262" s="1" t="n">
        <v>45730</v>
      </c>
      <c r="D262" t="inlineStr">
        <is>
          <t>JÄMTLANDS LÄN</t>
        </is>
      </c>
      <c r="E262" t="inlineStr">
        <is>
          <t>ÖSTERSUND</t>
        </is>
      </c>
      <c r="G262" t="n">
        <v>3.2</v>
      </c>
      <c r="H262" t="n">
        <v>0</v>
      </c>
      <c r="I262" t="n">
        <v>0</v>
      </c>
      <c r="J262" t="n">
        <v>0</v>
      </c>
      <c r="K262" t="n">
        <v>0</v>
      </c>
      <c r="L262" t="n">
        <v>0</v>
      </c>
      <c r="M262" t="n">
        <v>0</v>
      </c>
      <c r="N262" t="n">
        <v>0</v>
      </c>
      <c r="O262" t="n">
        <v>0</v>
      </c>
      <c r="P262" t="n">
        <v>0</v>
      </c>
      <c r="Q262" t="n">
        <v>0</v>
      </c>
      <c r="R262" s="2" t="inlineStr"/>
    </row>
    <row r="263" ht="15" customHeight="1">
      <c r="A263" t="inlineStr">
        <is>
          <t>A 60669-2019</t>
        </is>
      </c>
      <c r="B263" s="1" t="n">
        <v>43781</v>
      </c>
      <c r="C263" s="1" t="n">
        <v>45730</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60604-2019</t>
        </is>
      </c>
      <c r="B264" s="1" t="n">
        <v>43781</v>
      </c>
      <c r="C264" s="1" t="n">
        <v>45730</v>
      </c>
      <c r="D264" t="inlineStr">
        <is>
          <t>JÄMTLANDS LÄN</t>
        </is>
      </c>
      <c r="E264" t="inlineStr">
        <is>
          <t>ÖSTERSUND</t>
        </is>
      </c>
      <c r="G264" t="n">
        <v>8.9</v>
      </c>
      <c r="H264" t="n">
        <v>0</v>
      </c>
      <c r="I264" t="n">
        <v>0</v>
      </c>
      <c r="J264" t="n">
        <v>0</v>
      </c>
      <c r="K264" t="n">
        <v>0</v>
      </c>
      <c r="L264" t="n">
        <v>0</v>
      </c>
      <c r="M264" t="n">
        <v>0</v>
      </c>
      <c r="N264" t="n">
        <v>0</v>
      </c>
      <c r="O264" t="n">
        <v>0</v>
      </c>
      <c r="P264" t="n">
        <v>0</v>
      </c>
      <c r="Q264" t="n">
        <v>0</v>
      </c>
      <c r="R264" s="2" t="inlineStr"/>
    </row>
    <row r="265" ht="15" customHeight="1">
      <c r="A265" t="inlineStr">
        <is>
          <t>A 62234-2019</t>
        </is>
      </c>
      <c r="B265" s="1" t="n">
        <v>43784</v>
      </c>
      <c r="C265" s="1" t="n">
        <v>45730</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62136-2019</t>
        </is>
      </c>
      <c r="B266" s="1" t="n">
        <v>43787</v>
      </c>
      <c r="C266" s="1" t="n">
        <v>45730</v>
      </c>
      <c r="D266" t="inlineStr">
        <is>
          <t>JÄMTLANDS LÄN</t>
        </is>
      </c>
      <c r="E266" t="inlineStr">
        <is>
          <t>ÖSTERSUND</t>
        </is>
      </c>
      <c r="F266" t="inlineStr">
        <is>
          <t>Övriga Aktiebolag</t>
        </is>
      </c>
      <c r="G266" t="n">
        <v>35.2</v>
      </c>
      <c r="H266" t="n">
        <v>0</v>
      </c>
      <c r="I266" t="n">
        <v>0</v>
      </c>
      <c r="J266" t="n">
        <v>0</v>
      </c>
      <c r="K266" t="n">
        <v>0</v>
      </c>
      <c r="L266" t="n">
        <v>0</v>
      </c>
      <c r="M266" t="n">
        <v>0</v>
      </c>
      <c r="N266" t="n">
        <v>0</v>
      </c>
      <c r="O266" t="n">
        <v>0</v>
      </c>
      <c r="P266" t="n">
        <v>0</v>
      </c>
      <c r="Q266" t="n">
        <v>0</v>
      </c>
      <c r="R266" s="2" t="inlineStr"/>
    </row>
    <row r="267" ht="15" customHeight="1">
      <c r="A267" t="inlineStr">
        <is>
          <t>A 64622-2019</t>
        </is>
      </c>
      <c r="B267" s="1" t="n">
        <v>43794</v>
      </c>
      <c r="C267" s="1" t="n">
        <v>45730</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65335-2019</t>
        </is>
      </c>
      <c r="B268" s="1" t="n">
        <v>43802</v>
      </c>
      <c r="C268" s="1" t="n">
        <v>45730</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67010-2019</t>
        </is>
      </c>
      <c r="B269" s="1" t="n">
        <v>43805</v>
      </c>
      <c r="C269" s="1" t="n">
        <v>45730</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66592-2019</t>
        </is>
      </c>
      <c r="B270" s="1" t="n">
        <v>43809</v>
      </c>
      <c r="C270" s="1" t="n">
        <v>45730</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67863-2019</t>
        </is>
      </c>
      <c r="B271" s="1" t="n">
        <v>43809</v>
      </c>
      <c r="C271" s="1" t="n">
        <v>45730</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68238-2019</t>
        </is>
      </c>
      <c r="B272" s="1" t="n">
        <v>43817</v>
      </c>
      <c r="C272" s="1" t="n">
        <v>45730</v>
      </c>
      <c r="D272" t="inlineStr">
        <is>
          <t>JÄMTLANDS LÄN</t>
        </is>
      </c>
      <c r="E272" t="inlineStr">
        <is>
          <t>ÖSTERSUND</t>
        </is>
      </c>
      <c r="G272" t="n">
        <v>2.7</v>
      </c>
      <c r="H272" t="n">
        <v>0</v>
      </c>
      <c r="I272" t="n">
        <v>0</v>
      </c>
      <c r="J272" t="n">
        <v>0</v>
      </c>
      <c r="K272" t="n">
        <v>0</v>
      </c>
      <c r="L272" t="n">
        <v>0</v>
      </c>
      <c r="M272" t="n">
        <v>0</v>
      </c>
      <c r="N272" t="n">
        <v>0</v>
      </c>
      <c r="O272" t="n">
        <v>0</v>
      </c>
      <c r="P272" t="n">
        <v>0</v>
      </c>
      <c r="Q272" t="n">
        <v>0</v>
      </c>
      <c r="R272" s="2" t="inlineStr"/>
    </row>
    <row r="273" ht="15" customHeight="1">
      <c r="A273" t="inlineStr">
        <is>
          <t>A 745-2020</t>
        </is>
      </c>
      <c r="B273" s="1" t="n">
        <v>43838</v>
      </c>
      <c r="C273" s="1" t="n">
        <v>45730</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1088-2020</t>
        </is>
      </c>
      <c r="B274" s="1" t="n">
        <v>43840</v>
      </c>
      <c r="C274" s="1" t="n">
        <v>45730</v>
      </c>
      <c r="D274" t="inlineStr">
        <is>
          <t>JÄMTLANDS LÄN</t>
        </is>
      </c>
      <c r="E274" t="inlineStr">
        <is>
          <t>ÖSTERSUND</t>
        </is>
      </c>
      <c r="G274" t="n">
        <v>4.4</v>
      </c>
      <c r="H274" t="n">
        <v>0</v>
      </c>
      <c r="I274" t="n">
        <v>0</v>
      </c>
      <c r="J274" t="n">
        <v>0</v>
      </c>
      <c r="K274" t="n">
        <v>0</v>
      </c>
      <c r="L274" t="n">
        <v>0</v>
      </c>
      <c r="M274" t="n">
        <v>0</v>
      </c>
      <c r="N274" t="n">
        <v>0</v>
      </c>
      <c r="O274" t="n">
        <v>0</v>
      </c>
      <c r="P274" t="n">
        <v>0</v>
      </c>
      <c r="Q274" t="n">
        <v>0</v>
      </c>
      <c r="R274" s="2" t="inlineStr"/>
    </row>
    <row r="275" ht="15" customHeight="1">
      <c r="A275" t="inlineStr">
        <is>
          <t>A 1268-2020</t>
        </is>
      </c>
      <c r="B275" s="1" t="n">
        <v>43840</v>
      </c>
      <c r="C275" s="1" t="n">
        <v>45730</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1077-2020</t>
        </is>
      </c>
      <c r="B276" s="1" t="n">
        <v>43840</v>
      </c>
      <c r="C276" s="1" t="n">
        <v>45730</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5905-2020</t>
        </is>
      </c>
      <c r="B277" s="1" t="n">
        <v>43861</v>
      </c>
      <c r="C277" s="1" t="n">
        <v>45730</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6028-2020</t>
        </is>
      </c>
      <c r="B278" s="1" t="n">
        <v>43864</v>
      </c>
      <c r="C278" s="1" t="n">
        <v>45730</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6522-2020</t>
        </is>
      </c>
      <c r="B279" s="1" t="n">
        <v>43864</v>
      </c>
      <c r="C279" s="1" t="n">
        <v>45730</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6566-2020</t>
        </is>
      </c>
      <c r="B280" s="1" t="n">
        <v>43865</v>
      </c>
      <c r="C280" s="1" t="n">
        <v>45730</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7255-2020</t>
        </is>
      </c>
      <c r="B281" s="1" t="n">
        <v>43871</v>
      </c>
      <c r="C281" s="1" t="n">
        <v>45730</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7570-2020</t>
        </is>
      </c>
      <c r="B282" s="1" t="n">
        <v>43871</v>
      </c>
      <c r="C282" s="1" t="n">
        <v>45730</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8401-2020</t>
        </is>
      </c>
      <c r="B283" s="1" t="n">
        <v>43875</v>
      </c>
      <c r="C283" s="1" t="n">
        <v>45730</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11566-2020</t>
        </is>
      </c>
      <c r="B284" s="1" t="n">
        <v>43893</v>
      </c>
      <c r="C284" s="1" t="n">
        <v>45730</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12202-2020</t>
        </is>
      </c>
      <c r="B285" s="1" t="n">
        <v>43895</v>
      </c>
      <c r="C285" s="1" t="n">
        <v>45730</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13264-2020</t>
        </is>
      </c>
      <c r="B286" s="1" t="n">
        <v>43901</v>
      </c>
      <c r="C286" s="1" t="n">
        <v>45730</v>
      </c>
      <c r="D286" t="inlineStr">
        <is>
          <t>JÄMTLANDS LÄN</t>
        </is>
      </c>
      <c r="E286" t="inlineStr">
        <is>
          <t>ÖSTERSUND</t>
        </is>
      </c>
      <c r="G286" t="n">
        <v>4.4</v>
      </c>
      <c r="H286" t="n">
        <v>0</v>
      </c>
      <c r="I286" t="n">
        <v>0</v>
      </c>
      <c r="J286" t="n">
        <v>0</v>
      </c>
      <c r="K286" t="n">
        <v>0</v>
      </c>
      <c r="L286" t="n">
        <v>0</v>
      </c>
      <c r="M286" t="n">
        <v>0</v>
      </c>
      <c r="N286" t="n">
        <v>0</v>
      </c>
      <c r="O286" t="n">
        <v>0</v>
      </c>
      <c r="P286" t="n">
        <v>0</v>
      </c>
      <c r="Q286" t="n">
        <v>0</v>
      </c>
      <c r="R286" s="2" t="inlineStr"/>
    </row>
    <row r="287" ht="15" customHeight="1">
      <c r="A287" t="inlineStr">
        <is>
          <t>A 14917-2020</t>
        </is>
      </c>
      <c r="B287" s="1" t="n">
        <v>43906</v>
      </c>
      <c r="C287" s="1" t="n">
        <v>45730</v>
      </c>
      <c r="D287" t="inlineStr">
        <is>
          <t>JÄMTLANDS LÄN</t>
        </is>
      </c>
      <c r="E287" t="inlineStr">
        <is>
          <t>ÖSTERSUND</t>
        </is>
      </c>
      <c r="G287" t="n">
        <v>12.9</v>
      </c>
      <c r="H287" t="n">
        <v>0</v>
      </c>
      <c r="I287" t="n">
        <v>0</v>
      </c>
      <c r="J287" t="n">
        <v>0</v>
      </c>
      <c r="K287" t="n">
        <v>0</v>
      </c>
      <c r="L287" t="n">
        <v>0</v>
      </c>
      <c r="M287" t="n">
        <v>0</v>
      </c>
      <c r="N287" t="n">
        <v>0</v>
      </c>
      <c r="O287" t="n">
        <v>0</v>
      </c>
      <c r="P287" t="n">
        <v>0</v>
      </c>
      <c r="Q287" t="n">
        <v>0</v>
      </c>
      <c r="R287" s="2" t="inlineStr"/>
    </row>
    <row r="288" ht="15" customHeight="1">
      <c r="A288" t="inlineStr">
        <is>
          <t>A 15797-2020</t>
        </is>
      </c>
      <c r="B288" s="1" t="n">
        <v>43909</v>
      </c>
      <c r="C288" s="1" t="n">
        <v>45730</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14903-2020</t>
        </is>
      </c>
      <c r="B289" s="1" t="n">
        <v>43910</v>
      </c>
      <c r="C289" s="1" t="n">
        <v>45730</v>
      </c>
      <c r="D289" t="inlineStr">
        <is>
          <t>JÄMTLANDS LÄN</t>
        </is>
      </c>
      <c r="E289" t="inlineStr">
        <is>
          <t>ÖSTERSUND</t>
        </is>
      </c>
      <c r="F289" t="inlineStr">
        <is>
          <t>Kyrkan</t>
        </is>
      </c>
      <c r="G289" t="n">
        <v>2.3</v>
      </c>
      <c r="H289" t="n">
        <v>0</v>
      </c>
      <c r="I289" t="n">
        <v>0</v>
      </c>
      <c r="J289" t="n">
        <v>0</v>
      </c>
      <c r="K289" t="n">
        <v>0</v>
      </c>
      <c r="L289" t="n">
        <v>0</v>
      </c>
      <c r="M289" t="n">
        <v>0</v>
      </c>
      <c r="N289" t="n">
        <v>0</v>
      </c>
      <c r="O289" t="n">
        <v>0</v>
      </c>
      <c r="P289" t="n">
        <v>0</v>
      </c>
      <c r="Q289" t="n">
        <v>0</v>
      </c>
      <c r="R289" s="2" t="inlineStr"/>
    </row>
    <row r="290" ht="15" customHeight="1">
      <c r="A290" t="inlineStr">
        <is>
          <t>A 17464-2020</t>
        </is>
      </c>
      <c r="B290" s="1" t="n">
        <v>43917</v>
      </c>
      <c r="C290" s="1" t="n">
        <v>45730</v>
      </c>
      <c r="D290" t="inlineStr">
        <is>
          <t>JÄMTLANDS LÄN</t>
        </is>
      </c>
      <c r="E290" t="inlineStr">
        <is>
          <t>ÖSTERSUND</t>
        </is>
      </c>
      <c r="G290" t="n">
        <v>3.8</v>
      </c>
      <c r="H290" t="n">
        <v>0</v>
      </c>
      <c r="I290" t="n">
        <v>0</v>
      </c>
      <c r="J290" t="n">
        <v>0</v>
      </c>
      <c r="K290" t="n">
        <v>0</v>
      </c>
      <c r="L290" t="n">
        <v>0</v>
      </c>
      <c r="M290" t="n">
        <v>0</v>
      </c>
      <c r="N290" t="n">
        <v>0</v>
      </c>
      <c r="O290" t="n">
        <v>0</v>
      </c>
      <c r="P290" t="n">
        <v>0</v>
      </c>
      <c r="Q290" t="n">
        <v>0</v>
      </c>
      <c r="R290" s="2" t="inlineStr"/>
    </row>
    <row r="291" ht="15" customHeight="1">
      <c r="A291" t="inlineStr">
        <is>
          <t>A 18339-2020</t>
        </is>
      </c>
      <c r="B291" s="1" t="n">
        <v>43928</v>
      </c>
      <c r="C291" s="1" t="n">
        <v>45730</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18683-2020</t>
        </is>
      </c>
      <c r="B292" s="1" t="n">
        <v>43930</v>
      </c>
      <c r="C292" s="1" t="n">
        <v>45730</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19631-2020</t>
        </is>
      </c>
      <c r="B293" s="1" t="n">
        <v>43936</v>
      </c>
      <c r="C293" s="1" t="n">
        <v>45730</v>
      </c>
      <c r="D293" t="inlineStr">
        <is>
          <t>JÄMTLANDS LÄN</t>
        </is>
      </c>
      <c r="E293" t="inlineStr">
        <is>
          <t>ÖSTERSUND</t>
        </is>
      </c>
      <c r="G293" t="n">
        <v>5.5</v>
      </c>
      <c r="H293" t="n">
        <v>0</v>
      </c>
      <c r="I293" t="n">
        <v>0</v>
      </c>
      <c r="J293" t="n">
        <v>0</v>
      </c>
      <c r="K293" t="n">
        <v>0</v>
      </c>
      <c r="L293" t="n">
        <v>0</v>
      </c>
      <c r="M293" t="n">
        <v>0</v>
      </c>
      <c r="N293" t="n">
        <v>0</v>
      </c>
      <c r="O293" t="n">
        <v>0</v>
      </c>
      <c r="P293" t="n">
        <v>0</v>
      </c>
      <c r="Q293" t="n">
        <v>0</v>
      </c>
      <c r="R293" s="2" t="inlineStr"/>
    </row>
    <row r="294" ht="15" customHeight="1">
      <c r="A294" t="inlineStr">
        <is>
          <t>A 19923-2020</t>
        </is>
      </c>
      <c r="B294" s="1" t="n">
        <v>43943</v>
      </c>
      <c r="C294" s="1" t="n">
        <v>45730</v>
      </c>
      <c r="D294" t="inlineStr">
        <is>
          <t>JÄMTLANDS LÄN</t>
        </is>
      </c>
      <c r="E294" t="inlineStr">
        <is>
          <t>ÖSTERSUND</t>
        </is>
      </c>
      <c r="G294" t="n">
        <v>0.5</v>
      </c>
      <c r="H294" t="n">
        <v>0</v>
      </c>
      <c r="I294" t="n">
        <v>0</v>
      </c>
      <c r="J294" t="n">
        <v>0</v>
      </c>
      <c r="K294" t="n">
        <v>0</v>
      </c>
      <c r="L294" t="n">
        <v>0</v>
      </c>
      <c r="M294" t="n">
        <v>0</v>
      </c>
      <c r="N294" t="n">
        <v>0</v>
      </c>
      <c r="O294" t="n">
        <v>0</v>
      </c>
      <c r="P294" t="n">
        <v>0</v>
      </c>
      <c r="Q294" t="n">
        <v>0</v>
      </c>
      <c r="R294" s="2" t="inlineStr"/>
    </row>
    <row r="295" ht="15" customHeight="1">
      <c r="A295" t="inlineStr">
        <is>
          <t>A 20198-2020</t>
        </is>
      </c>
      <c r="B295" s="1" t="n">
        <v>43944</v>
      </c>
      <c r="C295" s="1" t="n">
        <v>45730</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23507-2020</t>
        </is>
      </c>
      <c r="B296" s="1" t="n">
        <v>43969</v>
      </c>
      <c r="C296" s="1" t="n">
        <v>45730</v>
      </c>
      <c r="D296" t="inlineStr">
        <is>
          <t>JÄMTLANDS LÄN</t>
        </is>
      </c>
      <c r="E296" t="inlineStr">
        <is>
          <t>ÖSTERSUND</t>
        </is>
      </c>
      <c r="G296" t="n">
        <v>5.8</v>
      </c>
      <c r="H296" t="n">
        <v>0</v>
      </c>
      <c r="I296" t="n">
        <v>0</v>
      </c>
      <c r="J296" t="n">
        <v>0</v>
      </c>
      <c r="K296" t="n">
        <v>0</v>
      </c>
      <c r="L296" t="n">
        <v>0</v>
      </c>
      <c r="M296" t="n">
        <v>0</v>
      </c>
      <c r="N296" t="n">
        <v>0</v>
      </c>
      <c r="O296" t="n">
        <v>0</v>
      </c>
      <c r="P296" t="n">
        <v>0</v>
      </c>
      <c r="Q296" t="n">
        <v>0</v>
      </c>
      <c r="R296" s="2" t="inlineStr"/>
    </row>
    <row r="297" ht="15" customHeight="1">
      <c r="A297" t="inlineStr">
        <is>
          <t>A 23445-2020</t>
        </is>
      </c>
      <c r="B297" s="1" t="n">
        <v>43969</v>
      </c>
      <c r="C297" s="1" t="n">
        <v>45730</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24259-2020</t>
        </is>
      </c>
      <c r="B298" s="1" t="n">
        <v>43970</v>
      </c>
      <c r="C298" s="1" t="n">
        <v>45730</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24253-2020</t>
        </is>
      </c>
      <c r="B299" s="1" t="n">
        <v>43970</v>
      </c>
      <c r="C299" s="1" t="n">
        <v>45730</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25148-2020</t>
        </is>
      </c>
      <c r="B300" s="1" t="n">
        <v>43978</v>
      </c>
      <c r="C300" s="1" t="n">
        <v>45730</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26410-2020</t>
        </is>
      </c>
      <c r="B301" s="1" t="n">
        <v>43986</v>
      </c>
      <c r="C301" s="1" t="n">
        <v>45730</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27576-2020</t>
        </is>
      </c>
      <c r="B302" s="1" t="n">
        <v>43992</v>
      </c>
      <c r="C302" s="1" t="n">
        <v>45730</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29635-2020</t>
        </is>
      </c>
      <c r="B303" s="1" t="n">
        <v>44000</v>
      </c>
      <c r="C303" s="1" t="n">
        <v>45730</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29435-2020</t>
        </is>
      </c>
      <c r="B304" s="1" t="n">
        <v>44004</v>
      </c>
      <c r="C304" s="1" t="n">
        <v>45730</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29479-2020</t>
        </is>
      </c>
      <c r="B305" s="1" t="n">
        <v>44005</v>
      </c>
      <c r="C305" s="1" t="n">
        <v>45730</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29581-2020</t>
        </is>
      </c>
      <c r="B306" s="1" t="n">
        <v>44004</v>
      </c>
      <c r="C306" s="1" t="n">
        <v>45730</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30676-2020</t>
        </is>
      </c>
      <c r="B307" s="1" t="n">
        <v>44008</v>
      </c>
      <c r="C307" s="1" t="n">
        <v>45730</v>
      </c>
      <c r="D307" t="inlineStr">
        <is>
          <t>JÄMTLANDS LÄN</t>
        </is>
      </c>
      <c r="E307" t="inlineStr">
        <is>
          <t>ÖSTERSUND</t>
        </is>
      </c>
      <c r="G307" t="n">
        <v>2.4</v>
      </c>
      <c r="H307" t="n">
        <v>0</v>
      </c>
      <c r="I307" t="n">
        <v>0</v>
      </c>
      <c r="J307" t="n">
        <v>0</v>
      </c>
      <c r="K307" t="n">
        <v>0</v>
      </c>
      <c r="L307" t="n">
        <v>0</v>
      </c>
      <c r="M307" t="n">
        <v>0</v>
      </c>
      <c r="N307" t="n">
        <v>0</v>
      </c>
      <c r="O307" t="n">
        <v>0</v>
      </c>
      <c r="P307" t="n">
        <v>0</v>
      </c>
      <c r="Q307" t="n">
        <v>0</v>
      </c>
      <c r="R307" s="2" t="inlineStr"/>
    </row>
    <row r="308" ht="15" customHeight="1">
      <c r="A308" t="inlineStr">
        <is>
          <t>A 33945-2020</t>
        </is>
      </c>
      <c r="B308" s="1" t="n">
        <v>44027</v>
      </c>
      <c r="C308" s="1" t="n">
        <v>45730</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34703-2020</t>
        </is>
      </c>
      <c r="B309" s="1" t="n">
        <v>44035</v>
      </c>
      <c r="C309" s="1" t="n">
        <v>45730</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37500-2020</t>
        </is>
      </c>
      <c r="B310" s="1" t="n">
        <v>44055</v>
      </c>
      <c r="C310" s="1" t="n">
        <v>45730</v>
      </c>
      <c r="D310" t="inlineStr">
        <is>
          <t>JÄMTLANDS LÄN</t>
        </is>
      </c>
      <c r="E310" t="inlineStr">
        <is>
          <t>ÖSTERSUND</t>
        </is>
      </c>
      <c r="G310" t="n">
        <v>4.8</v>
      </c>
      <c r="H310" t="n">
        <v>0</v>
      </c>
      <c r="I310" t="n">
        <v>0</v>
      </c>
      <c r="J310" t="n">
        <v>0</v>
      </c>
      <c r="K310" t="n">
        <v>0</v>
      </c>
      <c r="L310" t="n">
        <v>0</v>
      </c>
      <c r="M310" t="n">
        <v>0</v>
      </c>
      <c r="N310" t="n">
        <v>0</v>
      </c>
      <c r="O310" t="n">
        <v>0</v>
      </c>
      <c r="P310" t="n">
        <v>0</v>
      </c>
      <c r="Q310" t="n">
        <v>0</v>
      </c>
      <c r="R310" s="2" t="inlineStr"/>
    </row>
    <row r="311" ht="15" customHeight="1">
      <c r="A311" t="inlineStr">
        <is>
          <t>A 38099-2020</t>
        </is>
      </c>
      <c r="B311" s="1" t="n">
        <v>44057</v>
      </c>
      <c r="C311" s="1" t="n">
        <v>45730</v>
      </c>
      <c r="D311" t="inlineStr">
        <is>
          <t>JÄMTLANDS LÄN</t>
        </is>
      </c>
      <c r="E311" t="inlineStr">
        <is>
          <t>ÖSTERSUND</t>
        </is>
      </c>
      <c r="F311" t="inlineStr">
        <is>
          <t>SCA</t>
        </is>
      </c>
      <c r="G311" t="n">
        <v>5.5</v>
      </c>
      <c r="H311" t="n">
        <v>0</v>
      </c>
      <c r="I311" t="n">
        <v>0</v>
      </c>
      <c r="J311" t="n">
        <v>0</v>
      </c>
      <c r="K311" t="n">
        <v>0</v>
      </c>
      <c r="L311" t="n">
        <v>0</v>
      </c>
      <c r="M311" t="n">
        <v>0</v>
      </c>
      <c r="N311" t="n">
        <v>0</v>
      </c>
      <c r="O311" t="n">
        <v>0</v>
      </c>
      <c r="P311" t="n">
        <v>0</v>
      </c>
      <c r="Q311" t="n">
        <v>0</v>
      </c>
      <c r="R311" s="2" t="inlineStr"/>
    </row>
    <row r="312" ht="15" customHeight="1">
      <c r="A312" t="inlineStr">
        <is>
          <t>A 41354-2020</t>
        </is>
      </c>
      <c r="B312" s="1" t="n">
        <v>44072</v>
      </c>
      <c r="C312" s="1" t="n">
        <v>45730</v>
      </c>
      <c r="D312" t="inlineStr">
        <is>
          <t>JÄMTLANDS LÄN</t>
        </is>
      </c>
      <c r="E312" t="inlineStr">
        <is>
          <t>ÖSTERSUND</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42712-2020</t>
        </is>
      </c>
      <c r="B313" s="1" t="n">
        <v>44076</v>
      </c>
      <c r="C313" s="1" t="n">
        <v>45730</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42749-2020</t>
        </is>
      </c>
      <c r="B314" s="1" t="n">
        <v>44078</v>
      </c>
      <c r="C314" s="1" t="n">
        <v>45730</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42765-2020</t>
        </is>
      </c>
      <c r="B315" s="1" t="n">
        <v>44077</v>
      </c>
      <c r="C315" s="1" t="n">
        <v>45730</v>
      </c>
      <c r="D315" t="inlineStr">
        <is>
          <t>JÄMTLANDS LÄN</t>
        </is>
      </c>
      <c r="E315" t="inlineStr">
        <is>
          <t>ÖSTERSUND</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42766-2020</t>
        </is>
      </c>
      <c r="B316" s="1" t="n">
        <v>44077</v>
      </c>
      <c r="C316" s="1" t="n">
        <v>45730</v>
      </c>
      <c r="D316" t="inlineStr">
        <is>
          <t>JÄMTLANDS LÄN</t>
        </is>
      </c>
      <c r="E316" t="inlineStr">
        <is>
          <t>ÖSTERSUND</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43796-2020</t>
        </is>
      </c>
      <c r="B317" s="1" t="n">
        <v>44082</v>
      </c>
      <c r="C317" s="1" t="n">
        <v>45730</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45820-2020</t>
        </is>
      </c>
      <c r="B318" s="1" t="n">
        <v>44090</v>
      </c>
      <c r="C318" s="1" t="n">
        <v>45730</v>
      </c>
      <c r="D318" t="inlineStr">
        <is>
          <t>JÄMTLANDS LÄN</t>
        </is>
      </c>
      <c r="E318" t="inlineStr">
        <is>
          <t>ÖSTERSUND</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50121-2020</t>
        </is>
      </c>
      <c r="B319" s="1" t="n">
        <v>44106</v>
      </c>
      <c r="C319" s="1" t="n">
        <v>45730</v>
      </c>
      <c r="D319" t="inlineStr">
        <is>
          <t>JÄMTLANDS LÄN</t>
        </is>
      </c>
      <c r="E319" t="inlineStr">
        <is>
          <t>ÖSTERSUND</t>
        </is>
      </c>
      <c r="F319" t="inlineStr">
        <is>
          <t>Övriga statliga verk och myndigheter</t>
        </is>
      </c>
      <c r="G319" t="n">
        <v>5.2</v>
      </c>
      <c r="H319" t="n">
        <v>0</v>
      </c>
      <c r="I319" t="n">
        <v>0</v>
      </c>
      <c r="J319" t="n">
        <v>0</v>
      </c>
      <c r="K319" t="n">
        <v>0</v>
      </c>
      <c r="L319" t="n">
        <v>0</v>
      </c>
      <c r="M319" t="n">
        <v>0</v>
      </c>
      <c r="N319" t="n">
        <v>0</v>
      </c>
      <c r="O319" t="n">
        <v>0</v>
      </c>
      <c r="P319" t="n">
        <v>0</v>
      </c>
      <c r="Q319" t="n">
        <v>0</v>
      </c>
      <c r="R319" s="2" t="inlineStr"/>
    </row>
    <row r="320" ht="15" customHeight="1">
      <c r="A320" t="inlineStr">
        <is>
          <t>A 50153-2020</t>
        </is>
      </c>
      <c r="B320" s="1" t="n">
        <v>44106</v>
      </c>
      <c r="C320" s="1" t="n">
        <v>45730</v>
      </c>
      <c r="D320" t="inlineStr">
        <is>
          <t>JÄMTLANDS LÄN</t>
        </is>
      </c>
      <c r="E320" t="inlineStr">
        <is>
          <t>ÖSTERSUND</t>
        </is>
      </c>
      <c r="F320" t="inlineStr">
        <is>
          <t>Övriga statliga verk och myndigheter</t>
        </is>
      </c>
      <c r="G320" t="n">
        <v>4.6</v>
      </c>
      <c r="H320" t="n">
        <v>0</v>
      </c>
      <c r="I320" t="n">
        <v>0</v>
      </c>
      <c r="J320" t="n">
        <v>0</v>
      </c>
      <c r="K320" t="n">
        <v>0</v>
      </c>
      <c r="L320" t="n">
        <v>0</v>
      </c>
      <c r="M320" t="n">
        <v>0</v>
      </c>
      <c r="N320" t="n">
        <v>0</v>
      </c>
      <c r="O320" t="n">
        <v>0</v>
      </c>
      <c r="P320" t="n">
        <v>0</v>
      </c>
      <c r="Q320" t="n">
        <v>0</v>
      </c>
      <c r="R320" s="2" t="inlineStr"/>
    </row>
    <row r="321" ht="15" customHeight="1">
      <c r="A321" t="inlineStr">
        <is>
          <t>A 50144-2020</t>
        </is>
      </c>
      <c r="B321" s="1" t="n">
        <v>44106</v>
      </c>
      <c r="C321" s="1" t="n">
        <v>45730</v>
      </c>
      <c r="D321" t="inlineStr">
        <is>
          <t>JÄMTLANDS LÄN</t>
        </is>
      </c>
      <c r="E321" t="inlineStr">
        <is>
          <t>ÖSTERSUND</t>
        </is>
      </c>
      <c r="F321" t="inlineStr">
        <is>
          <t>Övriga statliga verk och myndigheter</t>
        </is>
      </c>
      <c r="G321" t="n">
        <v>2.2</v>
      </c>
      <c r="H321" t="n">
        <v>0</v>
      </c>
      <c r="I321" t="n">
        <v>0</v>
      </c>
      <c r="J321" t="n">
        <v>0</v>
      </c>
      <c r="K321" t="n">
        <v>0</v>
      </c>
      <c r="L321" t="n">
        <v>0</v>
      </c>
      <c r="M321" t="n">
        <v>0</v>
      </c>
      <c r="N321" t="n">
        <v>0</v>
      </c>
      <c r="O321" t="n">
        <v>0</v>
      </c>
      <c r="P321" t="n">
        <v>0</v>
      </c>
      <c r="Q321" t="n">
        <v>0</v>
      </c>
      <c r="R321" s="2" t="inlineStr"/>
    </row>
    <row r="322" ht="15" customHeight="1">
      <c r="A322" t="inlineStr">
        <is>
          <t>A 50632-2020</t>
        </is>
      </c>
      <c r="B322" s="1" t="n">
        <v>44110</v>
      </c>
      <c r="C322" s="1" t="n">
        <v>45730</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52478-2020</t>
        </is>
      </c>
      <c r="B323" s="1" t="n">
        <v>44113</v>
      </c>
      <c r="C323" s="1" t="n">
        <v>45730</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52535-2020</t>
        </is>
      </c>
      <c r="B324" s="1" t="n">
        <v>44118</v>
      </c>
      <c r="C324" s="1" t="n">
        <v>45730</v>
      </c>
      <c r="D324" t="inlineStr">
        <is>
          <t>JÄMTLANDS LÄN</t>
        </is>
      </c>
      <c r="E324" t="inlineStr">
        <is>
          <t>ÖSTERSUND</t>
        </is>
      </c>
      <c r="G324" t="n">
        <v>2</v>
      </c>
      <c r="H324" t="n">
        <v>0</v>
      </c>
      <c r="I324" t="n">
        <v>0</v>
      </c>
      <c r="J324" t="n">
        <v>0</v>
      </c>
      <c r="K324" t="n">
        <v>0</v>
      </c>
      <c r="L324" t="n">
        <v>0</v>
      </c>
      <c r="M324" t="n">
        <v>0</v>
      </c>
      <c r="N324" t="n">
        <v>0</v>
      </c>
      <c r="O324" t="n">
        <v>0</v>
      </c>
      <c r="P324" t="n">
        <v>0</v>
      </c>
      <c r="Q324" t="n">
        <v>0</v>
      </c>
      <c r="R324" s="2" t="inlineStr"/>
    </row>
    <row r="325" ht="15" customHeight="1">
      <c r="A325" t="inlineStr">
        <is>
          <t>A 52777-2020</t>
        </is>
      </c>
      <c r="B325" s="1" t="n">
        <v>44118</v>
      </c>
      <c r="C325" s="1" t="n">
        <v>45730</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52791-2020</t>
        </is>
      </c>
      <c r="B326" s="1" t="n">
        <v>44118</v>
      </c>
      <c r="C326" s="1" t="n">
        <v>45730</v>
      </c>
      <c r="D326" t="inlineStr">
        <is>
          <t>JÄMTLANDS LÄN</t>
        </is>
      </c>
      <c r="E326" t="inlineStr">
        <is>
          <t>ÖSTERSUND</t>
        </is>
      </c>
      <c r="G326" t="n">
        <v>0.4</v>
      </c>
      <c r="H326" t="n">
        <v>0</v>
      </c>
      <c r="I326" t="n">
        <v>0</v>
      </c>
      <c r="J326" t="n">
        <v>0</v>
      </c>
      <c r="K326" t="n">
        <v>0</v>
      </c>
      <c r="L326" t="n">
        <v>0</v>
      </c>
      <c r="M326" t="n">
        <v>0</v>
      </c>
      <c r="N326" t="n">
        <v>0</v>
      </c>
      <c r="O326" t="n">
        <v>0</v>
      </c>
      <c r="P326" t="n">
        <v>0</v>
      </c>
      <c r="Q326" t="n">
        <v>0</v>
      </c>
      <c r="R326" s="2" t="inlineStr"/>
    </row>
    <row r="327" ht="15" customHeight="1">
      <c r="A327" t="inlineStr">
        <is>
          <t>A 53323-2020</t>
        </is>
      </c>
      <c r="B327" s="1" t="n">
        <v>44123</v>
      </c>
      <c r="C327" s="1" t="n">
        <v>45730</v>
      </c>
      <c r="D327" t="inlineStr">
        <is>
          <t>JÄMTLANDS LÄN</t>
        </is>
      </c>
      <c r="E327" t="inlineStr">
        <is>
          <t>ÖSTERSUND</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53967-2020</t>
        </is>
      </c>
      <c r="B328" s="1" t="n">
        <v>44125</v>
      </c>
      <c r="C328" s="1" t="n">
        <v>45730</v>
      </c>
      <c r="D328" t="inlineStr">
        <is>
          <t>JÄMTLANDS LÄN</t>
        </is>
      </c>
      <c r="E328" t="inlineStr">
        <is>
          <t>ÖSTERSUND</t>
        </is>
      </c>
      <c r="G328" t="n">
        <v>25.8</v>
      </c>
      <c r="H328" t="n">
        <v>0</v>
      </c>
      <c r="I328" t="n">
        <v>0</v>
      </c>
      <c r="J328" t="n">
        <v>0</v>
      </c>
      <c r="K328" t="n">
        <v>0</v>
      </c>
      <c r="L328" t="n">
        <v>0</v>
      </c>
      <c r="M328" t="n">
        <v>0</v>
      </c>
      <c r="N328" t="n">
        <v>0</v>
      </c>
      <c r="O328" t="n">
        <v>0</v>
      </c>
      <c r="P328" t="n">
        <v>0</v>
      </c>
      <c r="Q328" t="n">
        <v>0</v>
      </c>
      <c r="R328" s="2" t="inlineStr"/>
    </row>
    <row r="329" ht="15" customHeight="1">
      <c r="A329" t="inlineStr">
        <is>
          <t>A 54539-2020</t>
        </is>
      </c>
      <c r="B329" s="1" t="n">
        <v>44126</v>
      </c>
      <c r="C329" s="1" t="n">
        <v>45730</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54844-2020</t>
        </is>
      </c>
      <c r="B330" s="1" t="n">
        <v>44126</v>
      </c>
      <c r="C330" s="1" t="n">
        <v>45730</v>
      </c>
      <c r="D330" t="inlineStr">
        <is>
          <t>JÄMTLANDS LÄN</t>
        </is>
      </c>
      <c r="E330" t="inlineStr">
        <is>
          <t>ÖSTERSUND</t>
        </is>
      </c>
      <c r="G330" t="n">
        <v>6.9</v>
      </c>
      <c r="H330" t="n">
        <v>0</v>
      </c>
      <c r="I330" t="n">
        <v>0</v>
      </c>
      <c r="J330" t="n">
        <v>0</v>
      </c>
      <c r="K330" t="n">
        <v>0</v>
      </c>
      <c r="L330" t="n">
        <v>0</v>
      </c>
      <c r="M330" t="n">
        <v>0</v>
      </c>
      <c r="N330" t="n">
        <v>0</v>
      </c>
      <c r="O330" t="n">
        <v>0</v>
      </c>
      <c r="P330" t="n">
        <v>0</v>
      </c>
      <c r="Q330" t="n">
        <v>0</v>
      </c>
      <c r="R330" s="2" t="inlineStr"/>
    </row>
    <row r="331" ht="15" customHeight="1">
      <c r="A331" t="inlineStr">
        <is>
          <t>A 56220-2020</t>
        </is>
      </c>
      <c r="B331" s="1" t="n">
        <v>44133</v>
      </c>
      <c r="C331" s="1" t="n">
        <v>45730</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56486-2020</t>
        </is>
      </c>
      <c r="B332" s="1" t="n">
        <v>44137</v>
      </c>
      <c r="C332" s="1" t="n">
        <v>45730</v>
      </c>
      <c r="D332" t="inlineStr">
        <is>
          <t>JÄMTLANDS LÄN</t>
        </is>
      </c>
      <c r="E332" t="inlineStr">
        <is>
          <t>ÖSTERSUND</t>
        </is>
      </c>
      <c r="G332" t="n">
        <v>5.8</v>
      </c>
      <c r="H332" t="n">
        <v>0</v>
      </c>
      <c r="I332" t="n">
        <v>0</v>
      </c>
      <c r="J332" t="n">
        <v>0</v>
      </c>
      <c r="K332" t="n">
        <v>0</v>
      </c>
      <c r="L332" t="n">
        <v>0</v>
      </c>
      <c r="M332" t="n">
        <v>0</v>
      </c>
      <c r="N332" t="n">
        <v>0</v>
      </c>
      <c r="O332" t="n">
        <v>0</v>
      </c>
      <c r="P332" t="n">
        <v>0</v>
      </c>
      <c r="Q332" t="n">
        <v>0</v>
      </c>
      <c r="R332" s="2" t="inlineStr"/>
    </row>
    <row r="333" ht="15" customHeight="1">
      <c r="A333" t="inlineStr">
        <is>
          <t>A 56636-2020</t>
        </is>
      </c>
      <c r="B333" s="1" t="n">
        <v>44137</v>
      </c>
      <c r="C333" s="1" t="n">
        <v>45730</v>
      </c>
      <c r="D333" t="inlineStr">
        <is>
          <t>JÄMTLANDS LÄN</t>
        </is>
      </c>
      <c r="E333" t="inlineStr">
        <is>
          <t>ÖSTERSUND</t>
        </is>
      </c>
      <c r="F333" t="inlineStr">
        <is>
          <t>Övriga Aktiebolag</t>
        </is>
      </c>
      <c r="G333" t="n">
        <v>16.2</v>
      </c>
      <c r="H333" t="n">
        <v>0</v>
      </c>
      <c r="I333" t="n">
        <v>0</v>
      </c>
      <c r="J333" t="n">
        <v>0</v>
      </c>
      <c r="K333" t="n">
        <v>0</v>
      </c>
      <c r="L333" t="n">
        <v>0</v>
      </c>
      <c r="M333" t="n">
        <v>0</v>
      </c>
      <c r="N333" t="n">
        <v>0</v>
      </c>
      <c r="O333" t="n">
        <v>0</v>
      </c>
      <c r="P333" t="n">
        <v>0</v>
      </c>
      <c r="Q333" t="n">
        <v>0</v>
      </c>
      <c r="R333" s="2" t="inlineStr"/>
    </row>
    <row r="334" ht="15" customHeight="1">
      <c r="A334" t="inlineStr">
        <is>
          <t>A 56642-2020</t>
        </is>
      </c>
      <c r="B334" s="1" t="n">
        <v>44137</v>
      </c>
      <c r="C334" s="1" t="n">
        <v>45730</v>
      </c>
      <c r="D334" t="inlineStr">
        <is>
          <t>JÄMTLANDS LÄN</t>
        </is>
      </c>
      <c r="E334" t="inlineStr">
        <is>
          <t>ÖSTERSUND</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57616-2020</t>
        </is>
      </c>
      <c r="B335" s="1" t="n">
        <v>44140</v>
      </c>
      <c r="C335" s="1" t="n">
        <v>45730</v>
      </c>
      <c r="D335" t="inlineStr">
        <is>
          <t>JÄMTLANDS LÄN</t>
        </is>
      </c>
      <c r="E335" t="inlineStr">
        <is>
          <t>ÖSTERSUND</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57624-2020</t>
        </is>
      </c>
      <c r="B336" s="1" t="n">
        <v>44140</v>
      </c>
      <c r="C336" s="1" t="n">
        <v>45730</v>
      </c>
      <c r="D336" t="inlineStr">
        <is>
          <t>JÄMTLANDS LÄN</t>
        </is>
      </c>
      <c r="E336" t="inlineStr">
        <is>
          <t>ÖSTERSUND</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57791-2020</t>
        </is>
      </c>
      <c r="B337" s="1" t="n">
        <v>44141</v>
      </c>
      <c r="C337" s="1" t="n">
        <v>45730</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57771-2020</t>
        </is>
      </c>
      <c r="B338" s="1" t="n">
        <v>44141</v>
      </c>
      <c r="C338" s="1" t="n">
        <v>45730</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60050-2020</t>
        </is>
      </c>
      <c r="B339" s="1" t="n">
        <v>44151</v>
      </c>
      <c r="C339" s="1" t="n">
        <v>45730</v>
      </c>
      <c r="D339" t="inlineStr">
        <is>
          <t>JÄMTLANDS LÄN</t>
        </is>
      </c>
      <c r="E339" t="inlineStr">
        <is>
          <t>ÖSTERSUND</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60126-2020</t>
        </is>
      </c>
      <c r="B340" s="1" t="n">
        <v>44152</v>
      </c>
      <c r="C340" s="1" t="n">
        <v>45730</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63171-2020</t>
        </is>
      </c>
      <c r="B341" s="1" t="n">
        <v>44162</v>
      </c>
      <c r="C341" s="1" t="n">
        <v>45730</v>
      </c>
      <c r="D341" t="inlineStr">
        <is>
          <t>JÄMTLANDS LÄN</t>
        </is>
      </c>
      <c r="E341" t="inlineStr">
        <is>
          <t>ÖSTERSUND</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65410-2020</t>
        </is>
      </c>
      <c r="B342" s="1" t="n">
        <v>44173</v>
      </c>
      <c r="C342" s="1" t="n">
        <v>45730</v>
      </c>
      <c r="D342" t="inlineStr">
        <is>
          <t>JÄMTLANDS LÄN</t>
        </is>
      </c>
      <c r="E342" t="inlineStr">
        <is>
          <t>ÖSTERSUND</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66269-2020</t>
        </is>
      </c>
      <c r="B343" s="1" t="n">
        <v>44174</v>
      </c>
      <c r="C343" s="1" t="n">
        <v>45730</v>
      </c>
      <c r="D343" t="inlineStr">
        <is>
          <t>JÄMTLANDS LÄN</t>
        </is>
      </c>
      <c r="E343" t="inlineStr">
        <is>
          <t>ÖSTERSUND</t>
        </is>
      </c>
      <c r="F343" t="inlineStr">
        <is>
          <t>Övriga statliga verk och myndigheter</t>
        </is>
      </c>
      <c r="G343" t="n">
        <v>10</v>
      </c>
      <c r="H343" t="n">
        <v>0</v>
      </c>
      <c r="I343" t="n">
        <v>0</v>
      </c>
      <c r="J343" t="n">
        <v>0</v>
      </c>
      <c r="K343" t="n">
        <v>0</v>
      </c>
      <c r="L343" t="n">
        <v>0</v>
      </c>
      <c r="M343" t="n">
        <v>0</v>
      </c>
      <c r="N343" t="n">
        <v>0</v>
      </c>
      <c r="O343" t="n">
        <v>0</v>
      </c>
      <c r="P343" t="n">
        <v>0</v>
      </c>
      <c r="Q343" t="n">
        <v>0</v>
      </c>
      <c r="R343" s="2" t="inlineStr"/>
    </row>
    <row r="344" ht="15" customHeight="1">
      <c r="A344" t="inlineStr">
        <is>
          <t>A 66288-2020</t>
        </is>
      </c>
      <c r="B344" s="1" t="n">
        <v>44174</v>
      </c>
      <c r="C344" s="1" t="n">
        <v>45730</v>
      </c>
      <c r="D344" t="inlineStr">
        <is>
          <t>JÄMTLANDS LÄN</t>
        </is>
      </c>
      <c r="E344" t="inlineStr">
        <is>
          <t>ÖSTERSUND</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66286-2020</t>
        </is>
      </c>
      <c r="B345" s="1" t="n">
        <v>44174</v>
      </c>
      <c r="C345" s="1" t="n">
        <v>45730</v>
      </c>
      <c r="D345" t="inlineStr">
        <is>
          <t>JÄMTLANDS LÄN</t>
        </is>
      </c>
      <c r="E345" t="inlineStr">
        <is>
          <t>ÖSTERSUND</t>
        </is>
      </c>
      <c r="F345" t="inlineStr">
        <is>
          <t>Övriga statliga verk och myndigheter</t>
        </is>
      </c>
      <c r="G345" t="n">
        <v>1.1</v>
      </c>
      <c r="H345" t="n">
        <v>0</v>
      </c>
      <c r="I345" t="n">
        <v>0</v>
      </c>
      <c r="J345" t="n">
        <v>0</v>
      </c>
      <c r="K345" t="n">
        <v>0</v>
      </c>
      <c r="L345" t="n">
        <v>0</v>
      </c>
      <c r="M345" t="n">
        <v>0</v>
      </c>
      <c r="N345" t="n">
        <v>0</v>
      </c>
      <c r="O345" t="n">
        <v>0</v>
      </c>
      <c r="P345" t="n">
        <v>0</v>
      </c>
      <c r="Q345" t="n">
        <v>0</v>
      </c>
      <c r="R345" s="2" t="inlineStr"/>
    </row>
    <row r="346" ht="15" customHeight="1">
      <c r="A346" t="inlineStr">
        <is>
          <t>A 67646-2020</t>
        </is>
      </c>
      <c r="B346" s="1" t="n">
        <v>44180</v>
      </c>
      <c r="C346" s="1" t="n">
        <v>45730</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67643-2020</t>
        </is>
      </c>
      <c r="B347" s="1" t="n">
        <v>44180</v>
      </c>
      <c r="C347" s="1" t="n">
        <v>45730</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68408-2020</t>
        </is>
      </c>
      <c r="B348" s="1" t="n">
        <v>44186</v>
      </c>
      <c r="C348" s="1" t="n">
        <v>45730</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68937-2020</t>
        </is>
      </c>
      <c r="B349" s="1" t="n">
        <v>44187</v>
      </c>
      <c r="C349" s="1" t="n">
        <v>45730</v>
      </c>
      <c r="D349" t="inlineStr">
        <is>
          <t>JÄMTLANDS LÄN</t>
        </is>
      </c>
      <c r="E349" t="inlineStr">
        <is>
          <t>ÖSTERSUND</t>
        </is>
      </c>
      <c r="G349" t="n">
        <v>4.7</v>
      </c>
      <c r="H349" t="n">
        <v>0</v>
      </c>
      <c r="I349" t="n">
        <v>0</v>
      </c>
      <c r="J349" t="n">
        <v>0</v>
      </c>
      <c r="K349" t="n">
        <v>0</v>
      </c>
      <c r="L349" t="n">
        <v>0</v>
      </c>
      <c r="M349" t="n">
        <v>0</v>
      </c>
      <c r="N349" t="n">
        <v>0</v>
      </c>
      <c r="O349" t="n">
        <v>0</v>
      </c>
      <c r="P349" t="n">
        <v>0</v>
      </c>
      <c r="Q349" t="n">
        <v>0</v>
      </c>
      <c r="R349" s="2" t="inlineStr"/>
    </row>
    <row r="350" ht="15" customHeight="1">
      <c r="A350" t="inlineStr">
        <is>
          <t>A 126-2021</t>
        </is>
      </c>
      <c r="B350" s="1" t="n">
        <v>44200</v>
      </c>
      <c r="C350" s="1" t="n">
        <v>45730</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501-2021</t>
        </is>
      </c>
      <c r="B351" s="1" t="n">
        <v>44200</v>
      </c>
      <c r="C351" s="1" t="n">
        <v>45730</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1322-2021</t>
        </is>
      </c>
      <c r="B352" s="1" t="n">
        <v>44208</v>
      </c>
      <c r="C352" s="1" t="n">
        <v>45730</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2686-2021</t>
        </is>
      </c>
      <c r="B353" s="1" t="n">
        <v>44214</v>
      </c>
      <c r="C353" s="1" t="n">
        <v>45730</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5460-2021</t>
        </is>
      </c>
      <c r="B354" s="1" t="n">
        <v>44229</v>
      </c>
      <c r="C354" s="1" t="n">
        <v>45730</v>
      </c>
      <c r="D354" t="inlineStr">
        <is>
          <t>JÄMTLANDS LÄN</t>
        </is>
      </c>
      <c r="E354" t="inlineStr">
        <is>
          <t>ÖSTERSUND</t>
        </is>
      </c>
      <c r="G354" t="n">
        <v>14.2</v>
      </c>
      <c r="H354" t="n">
        <v>0</v>
      </c>
      <c r="I354" t="n">
        <v>0</v>
      </c>
      <c r="J354" t="n">
        <v>0</v>
      </c>
      <c r="K354" t="n">
        <v>0</v>
      </c>
      <c r="L354" t="n">
        <v>0</v>
      </c>
      <c r="M354" t="n">
        <v>0</v>
      </c>
      <c r="N354" t="n">
        <v>0</v>
      </c>
      <c r="O354" t="n">
        <v>0</v>
      </c>
      <c r="P354" t="n">
        <v>0</v>
      </c>
      <c r="Q354" t="n">
        <v>0</v>
      </c>
      <c r="R354" s="2" t="inlineStr"/>
    </row>
    <row r="355" ht="15" customHeight="1">
      <c r="A355" t="inlineStr">
        <is>
          <t>A 6578-2021</t>
        </is>
      </c>
      <c r="B355" s="1" t="n">
        <v>44236</v>
      </c>
      <c r="C355" s="1" t="n">
        <v>45730</v>
      </c>
      <c r="D355" t="inlineStr">
        <is>
          <t>JÄMTLANDS LÄN</t>
        </is>
      </c>
      <c r="E355" t="inlineStr">
        <is>
          <t>ÖSTERSUND</t>
        </is>
      </c>
      <c r="G355" t="n">
        <v>1.4</v>
      </c>
      <c r="H355" t="n">
        <v>0</v>
      </c>
      <c r="I355" t="n">
        <v>0</v>
      </c>
      <c r="J355" t="n">
        <v>0</v>
      </c>
      <c r="K355" t="n">
        <v>0</v>
      </c>
      <c r="L355" t="n">
        <v>0</v>
      </c>
      <c r="M355" t="n">
        <v>0</v>
      </c>
      <c r="N355" t="n">
        <v>0</v>
      </c>
      <c r="O355" t="n">
        <v>0</v>
      </c>
      <c r="P355" t="n">
        <v>0</v>
      </c>
      <c r="Q355" t="n">
        <v>0</v>
      </c>
      <c r="R355" s="2" t="inlineStr"/>
    </row>
    <row r="356" ht="15" customHeight="1">
      <c r="A356" t="inlineStr">
        <is>
          <t>A 8396-2021</t>
        </is>
      </c>
      <c r="B356" s="1" t="n">
        <v>44238</v>
      </c>
      <c r="C356" s="1" t="n">
        <v>45730</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10590-2021</t>
        </is>
      </c>
      <c r="B357" s="1" t="n">
        <v>44258</v>
      </c>
      <c r="C357" s="1" t="n">
        <v>45730</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10911-2021</t>
        </is>
      </c>
      <c r="B358" s="1" t="n">
        <v>44259</v>
      </c>
      <c r="C358" s="1" t="n">
        <v>45730</v>
      </c>
      <c r="D358" t="inlineStr">
        <is>
          <t>JÄMTLANDS LÄN</t>
        </is>
      </c>
      <c r="E358" t="inlineStr">
        <is>
          <t>ÖSTERSUND</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10834-2021</t>
        </is>
      </c>
      <c r="B359" s="1" t="n">
        <v>44259</v>
      </c>
      <c r="C359" s="1" t="n">
        <v>45730</v>
      </c>
      <c r="D359" t="inlineStr">
        <is>
          <t>JÄMTLANDS LÄN</t>
        </is>
      </c>
      <c r="E359" t="inlineStr">
        <is>
          <t>ÖSTERSUND</t>
        </is>
      </c>
      <c r="G359" t="n">
        <v>12.2</v>
      </c>
      <c r="H359" t="n">
        <v>0</v>
      </c>
      <c r="I359" t="n">
        <v>0</v>
      </c>
      <c r="J359" t="n">
        <v>0</v>
      </c>
      <c r="K359" t="n">
        <v>0</v>
      </c>
      <c r="L359" t="n">
        <v>0</v>
      </c>
      <c r="M359" t="n">
        <v>0</v>
      </c>
      <c r="N359" t="n">
        <v>0</v>
      </c>
      <c r="O359" t="n">
        <v>0</v>
      </c>
      <c r="P359" t="n">
        <v>0</v>
      </c>
      <c r="Q359" t="n">
        <v>0</v>
      </c>
      <c r="R359" s="2" t="inlineStr"/>
    </row>
    <row r="360" ht="15" customHeight="1">
      <c r="A360" t="inlineStr">
        <is>
          <t>A 12710-2021</t>
        </is>
      </c>
      <c r="B360" s="1" t="n">
        <v>44270</v>
      </c>
      <c r="C360" s="1" t="n">
        <v>45730</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12705-2021</t>
        </is>
      </c>
      <c r="B361" s="1" t="n">
        <v>44270</v>
      </c>
      <c r="C361" s="1" t="n">
        <v>45730</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14155-2021</t>
        </is>
      </c>
      <c r="B362" s="1" t="n">
        <v>44278</v>
      </c>
      <c r="C362" s="1" t="n">
        <v>45730</v>
      </c>
      <c r="D362" t="inlineStr">
        <is>
          <t>JÄMTLANDS LÄN</t>
        </is>
      </c>
      <c r="E362" t="inlineStr">
        <is>
          <t>ÖSTERSUND</t>
        </is>
      </c>
      <c r="G362" t="n">
        <v>2.6</v>
      </c>
      <c r="H362" t="n">
        <v>0</v>
      </c>
      <c r="I362" t="n">
        <v>0</v>
      </c>
      <c r="J362" t="n">
        <v>0</v>
      </c>
      <c r="K362" t="n">
        <v>0</v>
      </c>
      <c r="L362" t="n">
        <v>0</v>
      </c>
      <c r="M362" t="n">
        <v>0</v>
      </c>
      <c r="N362" t="n">
        <v>0</v>
      </c>
      <c r="O362" t="n">
        <v>0</v>
      </c>
      <c r="P362" t="n">
        <v>0</v>
      </c>
      <c r="Q362" t="n">
        <v>0</v>
      </c>
      <c r="R362" s="2" t="inlineStr"/>
    </row>
    <row r="363" ht="15" customHeight="1">
      <c r="A363" t="inlineStr">
        <is>
          <t>A 15659-2021</t>
        </is>
      </c>
      <c r="B363" s="1" t="n">
        <v>44298</v>
      </c>
      <c r="C363" s="1" t="n">
        <v>45730</v>
      </c>
      <c r="D363" t="inlineStr">
        <is>
          <t>JÄMTLANDS LÄN</t>
        </is>
      </c>
      <c r="E363" t="inlineStr">
        <is>
          <t>ÖSTERSUND</t>
        </is>
      </c>
      <c r="G363" t="n">
        <v>13.3</v>
      </c>
      <c r="H363" t="n">
        <v>0</v>
      </c>
      <c r="I363" t="n">
        <v>0</v>
      </c>
      <c r="J363" t="n">
        <v>0</v>
      </c>
      <c r="K363" t="n">
        <v>0</v>
      </c>
      <c r="L363" t="n">
        <v>0</v>
      </c>
      <c r="M363" t="n">
        <v>0</v>
      </c>
      <c r="N363" t="n">
        <v>0</v>
      </c>
      <c r="O363" t="n">
        <v>0</v>
      </c>
      <c r="P363" t="n">
        <v>0</v>
      </c>
      <c r="Q363" t="n">
        <v>0</v>
      </c>
      <c r="R363" s="2" t="inlineStr"/>
    </row>
    <row r="364" ht="15" customHeight="1">
      <c r="A364" t="inlineStr">
        <is>
          <t>A 17362-2021</t>
        </is>
      </c>
      <c r="B364" s="1" t="n">
        <v>44298</v>
      </c>
      <c r="C364" s="1" t="n">
        <v>45730</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17596-2021</t>
        </is>
      </c>
      <c r="B365" s="1" t="n">
        <v>44299</v>
      </c>
      <c r="C365" s="1" t="n">
        <v>45730</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19541-2021</t>
        </is>
      </c>
      <c r="B366" s="1" t="n">
        <v>44312</v>
      </c>
      <c r="C366" s="1" t="n">
        <v>45730</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20290-2021</t>
        </is>
      </c>
      <c r="B367" s="1" t="n">
        <v>44314</v>
      </c>
      <c r="C367" s="1" t="n">
        <v>45730</v>
      </c>
      <c r="D367" t="inlineStr">
        <is>
          <t>JÄMTLANDS LÄN</t>
        </is>
      </c>
      <c r="E367" t="inlineStr">
        <is>
          <t>ÖSTERSUND</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20620-2021</t>
        </is>
      </c>
      <c r="B368" s="1" t="n">
        <v>44316</v>
      </c>
      <c r="C368" s="1" t="n">
        <v>45730</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21306-2021</t>
        </is>
      </c>
      <c r="B369" s="1" t="n">
        <v>44320</v>
      </c>
      <c r="C369" s="1" t="n">
        <v>45730</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21849-2021</t>
        </is>
      </c>
      <c r="B370" s="1" t="n">
        <v>44322</v>
      </c>
      <c r="C370" s="1" t="n">
        <v>45730</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22126-2021</t>
        </is>
      </c>
      <c r="B371" s="1" t="n">
        <v>44323</v>
      </c>
      <c r="C371" s="1" t="n">
        <v>45730</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23187-2021</t>
        </is>
      </c>
      <c r="B372" s="1" t="n">
        <v>44328</v>
      </c>
      <c r="C372" s="1" t="n">
        <v>45730</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23895-2021</t>
        </is>
      </c>
      <c r="B373" s="1" t="n">
        <v>44335</v>
      </c>
      <c r="C373" s="1" t="n">
        <v>45730</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24312-2021</t>
        </is>
      </c>
      <c r="B374" s="1" t="n">
        <v>44336</v>
      </c>
      <c r="C374" s="1" t="n">
        <v>45730</v>
      </c>
      <c r="D374" t="inlineStr">
        <is>
          <t>JÄMTLANDS LÄN</t>
        </is>
      </c>
      <c r="E374" t="inlineStr">
        <is>
          <t>ÖSTERSUND</t>
        </is>
      </c>
      <c r="G374" t="n">
        <v>10.6</v>
      </c>
      <c r="H374" t="n">
        <v>0</v>
      </c>
      <c r="I374" t="n">
        <v>0</v>
      </c>
      <c r="J374" t="n">
        <v>0</v>
      </c>
      <c r="K374" t="n">
        <v>0</v>
      </c>
      <c r="L374" t="n">
        <v>0</v>
      </c>
      <c r="M374" t="n">
        <v>0</v>
      </c>
      <c r="N374" t="n">
        <v>0</v>
      </c>
      <c r="O374" t="n">
        <v>0</v>
      </c>
      <c r="P374" t="n">
        <v>0</v>
      </c>
      <c r="Q374" t="n">
        <v>0</v>
      </c>
      <c r="R374" s="2" t="inlineStr"/>
    </row>
    <row r="375" ht="15" customHeight="1">
      <c r="A375" t="inlineStr">
        <is>
          <t>A 24706-2021</t>
        </is>
      </c>
      <c r="B375" s="1" t="n">
        <v>44340</v>
      </c>
      <c r="C375" s="1" t="n">
        <v>45730</v>
      </c>
      <c r="D375" t="inlineStr">
        <is>
          <t>JÄMTLANDS LÄN</t>
        </is>
      </c>
      <c r="E375" t="inlineStr">
        <is>
          <t>ÖSTERSUND</t>
        </is>
      </c>
      <c r="G375" t="n">
        <v>5.6</v>
      </c>
      <c r="H375" t="n">
        <v>0</v>
      </c>
      <c r="I375" t="n">
        <v>0</v>
      </c>
      <c r="J375" t="n">
        <v>0</v>
      </c>
      <c r="K375" t="n">
        <v>0</v>
      </c>
      <c r="L375" t="n">
        <v>0</v>
      </c>
      <c r="M375" t="n">
        <v>0</v>
      </c>
      <c r="N375" t="n">
        <v>0</v>
      </c>
      <c r="O375" t="n">
        <v>0</v>
      </c>
      <c r="P375" t="n">
        <v>0</v>
      </c>
      <c r="Q375" t="n">
        <v>0</v>
      </c>
      <c r="R375" s="2" t="inlineStr"/>
    </row>
    <row r="376" ht="15" customHeight="1">
      <c r="A376" t="inlineStr">
        <is>
          <t>A 24721-2021</t>
        </is>
      </c>
      <c r="B376" s="1" t="n">
        <v>44340</v>
      </c>
      <c r="C376" s="1" t="n">
        <v>45730</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26254-2021</t>
        </is>
      </c>
      <c r="B377" s="1" t="n">
        <v>44347</v>
      </c>
      <c r="C377" s="1" t="n">
        <v>45730</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26259-2021</t>
        </is>
      </c>
      <c r="B378" s="1" t="n">
        <v>44347</v>
      </c>
      <c r="C378" s="1" t="n">
        <v>45730</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27061-2021</t>
        </is>
      </c>
      <c r="B379" s="1" t="n">
        <v>44349</v>
      </c>
      <c r="C379" s="1" t="n">
        <v>45730</v>
      </c>
      <c r="D379" t="inlineStr">
        <is>
          <t>JÄMTLANDS LÄN</t>
        </is>
      </c>
      <c r="E379" t="inlineStr">
        <is>
          <t>ÖSTERSUND</t>
        </is>
      </c>
      <c r="G379" t="n">
        <v>3.2</v>
      </c>
      <c r="H379" t="n">
        <v>0</v>
      </c>
      <c r="I379" t="n">
        <v>0</v>
      </c>
      <c r="J379" t="n">
        <v>0</v>
      </c>
      <c r="K379" t="n">
        <v>0</v>
      </c>
      <c r="L379" t="n">
        <v>0</v>
      </c>
      <c r="M379" t="n">
        <v>0</v>
      </c>
      <c r="N379" t="n">
        <v>0</v>
      </c>
      <c r="O379" t="n">
        <v>0</v>
      </c>
      <c r="P379" t="n">
        <v>0</v>
      </c>
      <c r="Q379" t="n">
        <v>0</v>
      </c>
      <c r="R379" s="2" t="inlineStr"/>
    </row>
    <row r="380" ht="15" customHeight="1">
      <c r="A380" t="inlineStr">
        <is>
          <t>A 27004-2021</t>
        </is>
      </c>
      <c r="B380" s="1" t="n">
        <v>44349</v>
      </c>
      <c r="C380" s="1" t="n">
        <v>45730</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29582-2021</t>
        </is>
      </c>
      <c r="B381" s="1" t="n">
        <v>44362</v>
      </c>
      <c r="C381" s="1" t="n">
        <v>45730</v>
      </c>
      <c r="D381" t="inlineStr">
        <is>
          <t>JÄMTLANDS LÄN</t>
        </is>
      </c>
      <c r="E381" t="inlineStr">
        <is>
          <t>ÖSTERSUND</t>
        </is>
      </c>
      <c r="G381" t="n">
        <v>31.5</v>
      </c>
      <c r="H381" t="n">
        <v>0</v>
      </c>
      <c r="I381" t="n">
        <v>0</v>
      </c>
      <c r="J381" t="n">
        <v>0</v>
      </c>
      <c r="K381" t="n">
        <v>0</v>
      </c>
      <c r="L381" t="n">
        <v>0</v>
      </c>
      <c r="M381" t="n">
        <v>0</v>
      </c>
      <c r="N381" t="n">
        <v>0</v>
      </c>
      <c r="O381" t="n">
        <v>0</v>
      </c>
      <c r="P381" t="n">
        <v>0</v>
      </c>
      <c r="Q381" t="n">
        <v>0</v>
      </c>
      <c r="R381" s="2" t="inlineStr"/>
    </row>
    <row r="382" ht="15" customHeight="1">
      <c r="A382" t="inlineStr">
        <is>
          <t>A 29707-2021</t>
        </is>
      </c>
      <c r="B382" s="1" t="n">
        <v>44362</v>
      </c>
      <c r="C382" s="1" t="n">
        <v>45730</v>
      </c>
      <c r="D382" t="inlineStr">
        <is>
          <t>JÄMTLANDS LÄN</t>
        </is>
      </c>
      <c r="E382" t="inlineStr">
        <is>
          <t>ÖSTERSUND</t>
        </is>
      </c>
      <c r="G382" t="n">
        <v>4</v>
      </c>
      <c r="H382" t="n">
        <v>0</v>
      </c>
      <c r="I382" t="n">
        <v>0</v>
      </c>
      <c r="J382" t="n">
        <v>0</v>
      </c>
      <c r="K382" t="n">
        <v>0</v>
      </c>
      <c r="L382" t="n">
        <v>0</v>
      </c>
      <c r="M382" t="n">
        <v>0</v>
      </c>
      <c r="N382" t="n">
        <v>0</v>
      </c>
      <c r="O382" t="n">
        <v>0</v>
      </c>
      <c r="P382" t="n">
        <v>0</v>
      </c>
      <c r="Q382" t="n">
        <v>0</v>
      </c>
      <c r="R382" s="2" t="inlineStr"/>
    </row>
    <row r="383" ht="15" customHeight="1">
      <c r="A383" t="inlineStr">
        <is>
          <t>A 31040-2021</t>
        </is>
      </c>
      <c r="B383" s="1" t="n">
        <v>44368</v>
      </c>
      <c r="C383" s="1" t="n">
        <v>45730</v>
      </c>
      <c r="D383" t="inlineStr">
        <is>
          <t>JÄMTLANDS LÄN</t>
        </is>
      </c>
      <c r="E383" t="inlineStr">
        <is>
          <t>ÖSTERSUND</t>
        </is>
      </c>
      <c r="G383" t="n">
        <v>4.3</v>
      </c>
      <c r="H383" t="n">
        <v>0</v>
      </c>
      <c r="I383" t="n">
        <v>0</v>
      </c>
      <c r="J383" t="n">
        <v>0</v>
      </c>
      <c r="K383" t="n">
        <v>0</v>
      </c>
      <c r="L383" t="n">
        <v>0</v>
      </c>
      <c r="M383" t="n">
        <v>0</v>
      </c>
      <c r="N383" t="n">
        <v>0</v>
      </c>
      <c r="O383" t="n">
        <v>0</v>
      </c>
      <c r="P383" t="n">
        <v>0</v>
      </c>
      <c r="Q383" t="n">
        <v>0</v>
      </c>
      <c r="R383" s="2" t="inlineStr"/>
    </row>
    <row r="384" ht="15" customHeight="1">
      <c r="A384" t="inlineStr">
        <is>
          <t>A 32994-2021</t>
        </is>
      </c>
      <c r="B384" s="1" t="n">
        <v>44375</v>
      </c>
      <c r="C384" s="1" t="n">
        <v>45730</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33004-2021</t>
        </is>
      </c>
      <c r="B385" s="1" t="n">
        <v>44375</v>
      </c>
      <c r="C385" s="1" t="n">
        <v>45730</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32998-2021</t>
        </is>
      </c>
      <c r="B386" s="1" t="n">
        <v>44375</v>
      </c>
      <c r="C386" s="1" t="n">
        <v>45730</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32986-2021</t>
        </is>
      </c>
      <c r="B387" s="1" t="n">
        <v>44375</v>
      </c>
      <c r="C387" s="1" t="n">
        <v>45730</v>
      </c>
      <c r="D387" t="inlineStr">
        <is>
          <t>JÄMTLANDS LÄN</t>
        </is>
      </c>
      <c r="E387" t="inlineStr">
        <is>
          <t>ÖSTERSUND</t>
        </is>
      </c>
      <c r="G387" t="n">
        <v>0.5</v>
      </c>
      <c r="H387" t="n">
        <v>0</v>
      </c>
      <c r="I387" t="n">
        <v>0</v>
      </c>
      <c r="J387" t="n">
        <v>0</v>
      </c>
      <c r="K387" t="n">
        <v>0</v>
      </c>
      <c r="L387" t="n">
        <v>0</v>
      </c>
      <c r="M387" t="n">
        <v>0</v>
      </c>
      <c r="N387" t="n">
        <v>0</v>
      </c>
      <c r="O387" t="n">
        <v>0</v>
      </c>
      <c r="P387" t="n">
        <v>0</v>
      </c>
      <c r="Q387" t="n">
        <v>0</v>
      </c>
      <c r="R387" s="2" t="inlineStr"/>
    </row>
    <row r="388" ht="15" customHeight="1">
      <c r="A388" t="inlineStr">
        <is>
          <t>A 33002-2021</t>
        </is>
      </c>
      <c r="B388" s="1" t="n">
        <v>44375</v>
      </c>
      <c r="C388" s="1" t="n">
        <v>45730</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32990-2021</t>
        </is>
      </c>
      <c r="B389" s="1" t="n">
        <v>44375</v>
      </c>
      <c r="C389" s="1" t="n">
        <v>45730</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33831-2021</t>
        </is>
      </c>
      <c r="B390" s="1" t="n">
        <v>44378</v>
      </c>
      <c r="C390" s="1" t="n">
        <v>45730</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35032-2021</t>
        </is>
      </c>
      <c r="B391" s="1" t="n">
        <v>44383</v>
      </c>
      <c r="C391" s="1" t="n">
        <v>45730</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35755-2021</t>
        </is>
      </c>
      <c r="B392" s="1" t="n">
        <v>44385</v>
      </c>
      <c r="C392" s="1" t="n">
        <v>45730</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38142-2021</t>
        </is>
      </c>
      <c r="B393" s="1" t="n">
        <v>44405</v>
      </c>
      <c r="C393" s="1" t="n">
        <v>45730</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38647-2021</t>
        </is>
      </c>
      <c r="B394" s="1" t="n">
        <v>44410</v>
      </c>
      <c r="C394" s="1" t="n">
        <v>45730</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38644-2021</t>
        </is>
      </c>
      <c r="B395" s="1" t="n">
        <v>44410</v>
      </c>
      <c r="C395" s="1" t="n">
        <v>45730</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39735-2021</t>
        </is>
      </c>
      <c r="B396" s="1" t="n">
        <v>44414</v>
      </c>
      <c r="C396" s="1" t="n">
        <v>45730</v>
      </c>
      <c r="D396" t="inlineStr">
        <is>
          <t>JÄMTLANDS LÄN</t>
        </is>
      </c>
      <c r="E396" t="inlineStr">
        <is>
          <t>ÖSTERSUND</t>
        </is>
      </c>
      <c r="G396" t="n">
        <v>4.5</v>
      </c>
      <c r="H396" t="n">
        <v>0</v>
      </c>
      <c r="I396" t="n">
        <v>0</v>
      </c>
      <c r="J396" t="n">
        <v>0</v>
      </c>
      <c r="K396" t="n">
        <v>0</v>
      </c>
      <c r="L396" t="n">
        <v>0</v>
      </c>
      <c r="M396" t="n">
        <v>0</v>
      </c>
      <c r="N396" t="n">
        <v>0</v>
      </c>
      <c r="O396" t="n">
        <v>0</v>
      </c>
      <c r="P396" t="n">
        <v>0</v>
      </c>
      <c r="Q396" t="n">
        <v>0</v>
      </c>
      <c r="R396" s="2" t="inlineStr"/>
    </row>
    <row r="397" ht="15" customHeight="1">
      <c r="A397" t="inlineStr">
        <is>
          <t>A 40038-2021</t>
        </is>
      </c>
      <c r="B397" s="1" t="n">
        <v>44418</v>
      </c>
      <c r="C397" s="1" t="n">
        <v>45730</v>
      </c>
      <c r="D397" t="inlineStr">
        <is>
          <t>JÄMTLANDS LÄN</t>
        </is>
      </c>
      <c r="E397" t="inlineStr">
        <is>
          <t>ÖSTERSUND</t>
        </is>
      </c>
      <c r="G397" t="n">
        <v>7</v>
      </c>
      <c r="H397" t="n">
        <v>0</v>
      </c>
      <c r="I397" t="n">
        <v>0</v>
      </c>
      <c r="J397" t="n">
        <v>0</v>
      </c>
      <c r="K397" t="n">
        <v>0</v>
      </c>
      <c r="L397" t="n">
        <v>0</v>
      </c>
      <c r="M397" t="n">
        <v>0</v>
      </c>
      <c r="N397" t="n">
        <v>0</v>
      </c>
      <c r="O397" t="n">
        <v>0</v>
      </c>
      <c r="P397" t="n">
        <v>0</v>
      </c>
      <c r="Q397" t="n">
        <v>0</v>
      </c>
      <c r="R397" s="2" t="inlineStr"/>
    </row>
    <row r="398" ht="15" customHeight="1">
      <c r="A398" t="inlineStr">
        <is>
          <t>A 41802-2021</t>
        </is>
      </c>
      <c r="B398" s="1" t="n">
        <v>44425</v>
      </c>
      <c r="C398" s="1" t="n">
        <v>45730</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42469-2021</t>
        </is>
      </c>
      <c r="B399" s="1" t="n">
        <v>44427</v>
      </c>
      <c r="C399" s="1" t="n">
        <v>45730</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42793-2021</t>
        </is>
      </c>
      <c r="B400" s="1" t="n">
        <v>44428</v>
      </c>
      <c r="C400" s="1" t="n">
        <v>45730</v>
      </c>
      <c r="D400" t="inlineStr">
        <is>
          <t>JÄMTLANDS LÄN</t>
        </is>
      </c>
      <c r="E400" t="inlineStr">
        <is>
          <t>ÖSTERSUND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42832-2021</t>
        </is>
      </c>
      <c r="B401" s="1" t="n">
        <v>44430</v>
      </c>
      <c r="C401" s="1" t="n">
        <v>45730</v>
      </c>
      <c r="D401" t="inlineStr">
        <is>
          <t>JÄMTLANDS LÄN</t>
        </is>
      </c>
      <c r="E401" t="inlineStr">
        <is>
          <t>ÖSTERSUND</t>
        </is>
      </c>
      <c r="G401" t="n">
        <v>9</v>
      </c>
      <c r="H401" t="n">
        <v>0</v>
      </c>
      <c r="I401" t="n">
        <v>0</v>
      </c>
      <c r="J401" t="n">
        <v>0</v>
      </c>
      <c r="K401" t="n">
        <v>0</v>
      </c>
      <c r="L401" t="n">
        <v>0</v>
      </c>
      <c r="M401" t="n">
        <v>0</v>
      </c>
      <c r="N401" t="n">
        <v>0</v>
      </c>
      <c r="O401" t="n">
        <v>0</v>
      </c>
      <c r="P401" t="n">
        <v>0</v>
      </c>
      <c r="Q401" t="n">
        <v>0</v>
      </c>
      <c r="R401" s="2" t="inlineStr"/>
    </row>
    <row r="402" ht="15" customHeight="1">
      <c r="A402" t="inlineStr">
        <is>
          <t>A 43310-2021</t>
        </is>
      </c>
      <c r="B402" s="1" t="n">
        <v>44432</v>
      </c>
      <c r="C402" s="1" t="n">
        <v>45730</v>
      </c>
      <c r="D402" t="inlineStr">
        <is>
          <t>JÄMTLANDS LÄN</t>
        </is>
      </c>
      <c r="E402" t="inlineStr">
        <is>
          <t>ÖSTERSUND</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44013-2021</t>
        </is>
      </c>
      <c r="B403" s="1" t="n">
        <v>44434</v>
      </c>
      <c r="C403" s="1" t="n">
        <v>45730</v>
      </c>
      <c r="D403" t="inlineStr">
        <is>
          <t>JÄMTLANDS LÄN</t>
        </is>
      </c>
      <c r="E403" t="inlineStr">
        <is>
          <t>ÖSTERSUND</t>
        </is>
      </c>
      <c r="G403" t="n">
        <v>1.9</v>
      </c>
      <c r="H403" t="n">
        <v>0</v>
      </c>
      <c r="I403" t="n">
        <v>0</v>
      </c>
      <c r="J403" t="n">
        <v>0</v>
      </c>
      <c r="K403" t="n">
        <v>0</v>
      </c>
      <c r="L403" t="n">
        <v>0</v>
      </c>
      <c r="M403" t="n">
        <v>0</v>
      </c>
      <c r="N403" t="n">
        <v>0</v>
      </c>
      <c r="O403" t="n">
        <v>0</v>
      </c>
      <c r="P403" t="n">
        <v>0</v>
      </c>
      <c r="Q403" t="n">
        <v>0</v>
      </c>
      <c r="R403" s="2" t="inlineStr"/>
    </row>
    <row r="404" ht="15" customHeight="1">
      <c r="A404" t="inlineStr">
        <is>
          <t>A 44051-2021</t>
        </is>
      </c>
      <c r="B404" s="1" t="n">
        <v>44434</v>
      </c>
      <c r="C404" s="1" t="n">
        <v>45730</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44267-2021</t>
        </is>
      </c>
      <c r="B405" s="1" t="n">
        <v>44434</v>
      </c>
      <c r="C405" s="1" t="n">
        <v>45730</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46002-2021</t>
        </is>
      </c>
      <c r="B406" s="1" t="n">
        <v>44441</v>
      </c>
      <c r="C406" s="1" t="n">
        <v>45730</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46004-2021</t>
        </is>
      </c>
      <c r="B407" s="1" t="n">
        <v>44441</v>
      </c>
      <c r="C407" s="1" t="n">
        <v>45730</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46111-2021</t>
        </is>
      </c>
      <c r="B408" s="1" t="n">
        <v>44441</v>
      </c>
      <c r="C408" s="1" t="n">
        <v>45730</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46139-2021</t>
        </is>
      </c>
      <c r="B409" s="1" t="n">
        <v>44441</v>
      </c>
      <c r="C409" s="1" t="n">
        <v>45730</v>
      </c>
      <c r="D409" t="inlineStr">
        <is>
          <t>JÄMTLANDS LÄN</t>
        </is>
      </c>
      <c r="E409" t="inlineStr">
        <is>
          <t>ÖSTERSUND</t>
        </is>
      </c>
      <c r="G409" t="n">
        <v>12.8</v>
      </c>
      <c r="H409" t="n">
        <v>0</v>
      </c>
      <c r="I409" t="n">
        <v>0</v>
      </c>
      <c r="J409" t="n">
        <v>0</v>
      </c>
      <c r="K409" t="n">
        <v>0</v>
      </c>
      <c r="L409" t="n">
        <v>0</v>
      </c>
      <c r="M409" t="n">
        <v>0</v>
      </c>
      <c r="N409" t="n">
        <v>0</v>
      </c>
      <c r="O409" t="n">
        <v>0</v>
      </c>
      <c r="P409" t="n">
        <v>0</v>
      </c>
      <c r="Q409" t="n">
        <v>0</v>
      </c>
      <c r="R409" s="2" t="inlineStr"/>
    </row>
    <row r="410" ht="15" customHeight="1">
      <c r="A410" t="inlineStr">
        <is>
          <t>A 48947-2021</t>
        </is>
      </c>
      <c r="B410" s="1" t="n">
        <v>44453</v>
      </c>
      <c r="C410" s="1" t="n">
        <v>45730</v>
      </c>
      <c r="D410" t="inlineStr">
        <is>
          <t>JÄMTLANDS LÄN</t>
        </is>
      </c>
      <c r="E410" t="inlineStr">
        <is>
          <t>ÖSTERSUND</t>
        </is>
      </c>
      <c r="G410" t="n">
        <v>22.3</v>
      </c>
      <c r="H410" t="n">
        <v>0</v>
      </c>
      <c r="I410" t="n">
        <v>0</v>
      </c>
      <c r="J410" t="n">
        <v>0</v>
      </c>
      <c r="K410" t="n">
        <v>0</v>
      </c>
      <c r="L410" t="n">
        <v>0</v>
      </c>
      <c r="M410" t="n">
        <v>0</v>
      </c>
      <c r="N410" t="n">
        <v>0</v>
      </c>
      <c r="O410" t="n">
        <v>0</v>
      </c>
      <c r="P410" t="n">
        <v>0</v>
      </c>
      <c r="Q410" t="n">
        <v>0</v>
      </c>
      <c r="R410" s="2" t="inlineStr"/>
    </row>
    <row r="411" ht="15" customHeight="1">
      <c r="A411" t="inlineStr">
        <is>
          <t>A 52913-2021</t>
        </is>
      </c>
      <c r="B411" s="1" t="n">
        <v>44466</v>
      </c>
      <c r="C411" s="1" t="n">
        <v>45730</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55302-2021</t>
        </is>
      </c>
      <c r="B412" s="1" t="n">
        <v>44475</v>
      </c>
      <c r="C412" s="1" t="n">
        <v>45730</v>
      </c>
      <c r="D412" t="inlineStr">
        <is>
          <t>JÄMTLANDS LÄN</t>
        </is>
      </c>
      <c r="E412" t="inlineStr">
        <is>
          <t>ÖSTERSUND</t>
        </is>
      </c>
      <c r="G412" t="n">
        <v>0.3</v>
      </c>
      <c r="H412" t="n">
        <v>0</v>
      </c>
      <c r="I412" t="n">
        <v>0</v>
      </c>
      <c r="J412" t="n">
        <v>0</v>
      </c>
      <c r="K412" t="n">
        <v>0</v>
      </c>
      <c r="L412" t="n">
        <v>0</v>
      </c>
      <c r="M412" t="n">
        <v>0</v>
      </c>
      <c r="N412" t="n">
        <v>0</v>
      </c>
      <c r="O412" t="n">
        <v>0</v>
      </c>
      <c r="P412" t="n">
        <v>0</v>
      </c>
      <c r="Q412" t="n">
        <v>0</v>
      </c>
      <c r="R412" s="2" t="inlineStr"/>
    </row>
    <row r="413" ht="15" customHeight="1">
      <c r="A413" t="inlineStr">
        <is>
          <t>A 61631-2021</t>
        </is>
      </c>
      <c r="B413" s="1" t="n">
        <v>44501</v>
      </c>
      <c r="C413" s="1" t="n">
        <v>45730</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64092-2021</t>
        </is>
      </c>
      <c r="B414" s="1" t="n">
        <v>44510</v>
      </c>
      <c r="C414" s="1" t="n">
        <v>45730</v>
      </c>
      <c r="D414" t="inlineStr">
        <is>
          <t>JÄMTLANDS LÄN</t>
        </is>
      </c>
      <c r="E414" t="inlineStr">
        <is>
          <t>ÖSTERSUND</t>
        </is>
      </c>
      <c r="G414" t="n">
        <v>5.6</v>
      </c>
      <c r="H414" t="n">
        <v>0</v>
      </c>
      <c r="I414" t="n">
        <v>0</v>
      </c>
      <c r="J414" t="n">
        <v>0</v>
      </c>
      <c r="K414" t="n">
        <v>0</v>
      </c>
      <c r="L414" t="n">
        <v>0</v>
      </c>
      <c r="M414" t="n">
        <v>0</v>
      </c>
      <c r="N414" t="n">
        <v>0</v>
      </c>
      <c r="O414" t="n">
        <v>0</v>
      </c>
      <c r="P414" t="n">
        <v>0</v>
      </c>
      <c r="Q414" t="n">
        <v>0</v>
      </c>
      <c r="R414" s="2" t="inlineStr"/>
    </row>
    <row r="415" ht="15" customHeight="1">
      <c r="A415" t="inlineStr">
        <is>
          <t>A 64645-2021</t>
        </is>
      </c>
      <c r="B415" s="1" t="n">
        <v>44511</v>
      </c>
      <c r="C415" s="1" t="n">
        <v>45730</v>
      </c>
      <c r="D415" t="inlineStr">
        <is>
          <t>JÄMTLANDS LÄN</t>
        </is>
      </c>
      <c r="E415" t="inlineStr">
        <is>
          <t>ÖSTERSUND</t>
        </is>
      </c>
      <c r="G415" t="n">
        <v>3.2</v>
      </c>
      <c r="H415" t="n">
        <v>0</v>
      </c>
      <c r="I415" t="n">
        <v>0</v>
      </c>
      <c r="J415" t="n">
        <v>0</v>
      </c>
      <c r="K415" t="n">
        <v>0</v>
      </c>
      <c r="L415" t="n">
        <v>0</v>
      </c>
      <c r="M415" t="n">
        <v>0</v>
      </c>
      <c r="N415" t="n">
        <v>0</v>
      </c>
      <c r="O415" t="n">
        <v>0</v>
      </c>
      <c r="P415" t="n">
        <v>0</v>
      </c>
      <c r="Q415" t="n">
        <v>0</v>
      </c>
      <c r="R415" s="2" t="inlineStr"/>
    </row>
    <row r="416" ht="15" customHeight="1">
      <c r="A416" t="inlineStr">
        <is>
          <t>A 65428-2021</t>
        </is>
      </c>
      <c r="B416" s="1" t="n">
        <v>44515</v>
      </c>
      <c r="C416" s="1" t="n">
        <v>45730</v>
      </c>
      <c r="D416" t="inlineStr">
        <is>
          <t>JÄMTLANDS LÄN</t>
        </is>
      </c>
      <c r="E416" t="inlineStr">
        <is>
          <t>ÖSTERSUND</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65866-2021</t>
        </is>
      </c>
      <c r="B417" s="1" t="n">
        <v>44516</v>
      </c>
      <c r="C417" s="1" t="n">
        <v>45730</v>
      </c>
      <c r="D417" t="inlineStr">
        <is>
          <t>JÄMTLANDS LÄN</t>
        </is>
      </c>
      <c r="E417" t="inlineStr">
        <is>
          <t>ÖSTERSUND</t>
        </is>
      </c>
      <c r="G417" t="n">
        <v>2.6</v>
      </c>
      <c r="H417" t="n">
        <v>0</v>
      </c>
      <c r="I417" t="n">
        <v>0</v>
      </c>
      <c r="J417" t="n">
        <v>0</v>
      </c>
      <c r="K417" t="n">
        <v>0</v>
      </c>
      <c r="L417" t="n">
        <v>0</v>
      </c>
      <c r="M417" t="n">
        <v>0</v>
      </c>
      <c r="N417" t="n">
        <v>0</v>
      </c>
      <c r="O417" t="n">
        <v>0</v>
      </c>
      <c r="P417" t="n">
        <v>0</v>
      </c>
      <c r="Q417" t="n">
        <v>0</v>
      </c>
      <c r="R417" s="2" t="inlineStr"/>
    </row>
    <row r="418" ht="15" customHeight="1">
      <c r="A418" t="inlineStr">
        <is>
          <t>A 65991-2021</t>
        </is>
      </c>
      <c r="B418" s="1" t="n">
        <v>44517</v>
      </c>
      <c r="C418" s="1" t="n">
        <v>45730</v>
      </c>
      <c r="D418" t="inlineStr">
        <is>
          <t>JÄMTLANDS LÄN</t>
        </is>
      </c>
      <c r="E418" t="inlineStr">
        <is>
          <t>ÖSTERSUND</t>
        </is>
      </c>
      <c r="G418" t="n">
        <v>4.3</v>
      </c>
      <c r="H418" t="n">
        <v>0</v>
      </c>
      <c r="I418" t="n">
        <v>0</v>
      </c>
      <c r="J418" t="n">
        <v>0</v>
      </c>
      <c r="K418" t="n">
        <v>0</v>
      </c>
      <c r="L418" t="n">
        <v>0</v>
      </c>
      <c r="M418" t="n">
        <v>0</v>
      </c>
      <c r="N418" t="n">
        <v>0</v>
      </c>
      <c r="O418" t="n">
        <v>0</v>
      </c>
      <c r="P418" t="n">
        <v>0</v>
      </c>
      <c r="Q418" t="n">
        <v>0</v>
      </c>
      <c r="R418" s="2" t="inlineStr"/>
    </row>
    <row r="419" ht="15" customHeight="1">
      <c r="A419" t="inlineStr">
        <is>
          <t>A 66940-2021</t>
        </is>
      </c>
      <c r="B419" s="1" t="n">
        <v>44522</v>
      </c>
      <c r="C419" s="1" t="n">
        <v>45730</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67695-2021</t>
        </is>
      </c>
      <c r="B420" s="1" t="n">
        <v>44524</v>
      </c>
      <c r="C420" s="1" t="n">
        <v>45730</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67694-2021</t>
        </is>
      </c>
      <c r="B421" s="1" t="n">
        <v>44524</v>
      </c>
      <c r="C421" s="1" t="n">
        <v>45730</v>
      </c>
      <c r="D421" t="inlineStr">
        <is>
          <t>JÄMTLANDS LÄN</t>
        </is>
      </c>
      <c r="E421" t="inlineStr">
        <is>
          <t>ÖSTERSUND</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69190-2021</t>
        </is>
      </c>
      <c r="B422" s="1" t="n">
        <v>44529</v>
      </c>
      <c r="C422" s="1" t="n">
        <v>45730</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45730</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70678-2021</t>
        </is>
      </c>
      <c r="B424" s="1" t="n">
        <v>44537</v>
      </c>
      <c r="C424" s="1" t="n">
        <v>45730</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70816-2021</t>
        </is>
      </c>
      <c r="B425" s="1" t="n">
        <v>44537</v>
      </c>
      <c r="C425" s="1" t="n">
        <v>45730</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71823-2021</t>
        </is>
      </c>
      <c r="B426" s="1" t="n">
        <v>44539</v>
      </c>
      <c r="C426" s="1" t="n">
        <v>45730</v>
      </c>
      <c r="D426" t="inlineStr">
        <is>
          <t>JÄMTLANDS LÄN</t>
        </is>
      </c>
      <c r="E426" t="inlineStr">
        <is>
          <t>ÖSTERSUND</t>
        </is>
      </c>
      <c r="G426" t="n">
        <v>10.5</v>
      </c>
      <c r="H426" t="n">
        <v>0</v>
      </c>
      <c r="I426" t="n">
        <v>0</v>
      </c>
      <c r="J426" t="n">
        <v>0</v>
      </c>
      <c r="K426" t="n">
        <v>0</v>
      </c>
      <c r="L426" t="n">
        <v>0</v>
      </c>
      <c r="M426" t="n">
        <v>0</v>
      </c>
      <c r="N426" t="n">
        <v>0</v>
      </c>
      <c r="O426" t="n">
        <v>0</v>
      </c>
      <c r="P426" t="n">
        <v>0</v>
      </c>
      <c r="Q426" t="n">
        <v>0</v>
      </c>
      <c r="R426" s="2" t="inlineStr"/>
    </row>
    <row r="427" ht="15" customHeight="1">
      <c r="A427" t="inlineStr">
        <is>
          <t>A 72089-2021</t>
        </is>
      </c>
      <c r="B427" s="1" t="n">
        <v>44540</v>
      </c>
      <c r="C427" s="1" t="n">
        <v>45730</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72041-2021</t>
        </is>
      </c>
      <c r="B428" s="1" t="n">
        <v>44540</v>
      </c>
      <c r="C428" s="1" t="n">
        <v>45730</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72258-2021</t>
        </is>
      </c>
      <c r="B429" s="1" t="n">
        <v>44540</v>
      </c>
      <c r="C429" s="1" t="n">
        <v>45730</v>
      </c>
      <c r="D429" t="inlineStr">
        <is>
          <t>JÄMTLANDS LÄN</t>
        </is>
      </c>
      <c r="E429" t="inlineStr">
        <is>
          <t>ÖSTERSUND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72061-2021</t>
        </is>
      </c>
      <c r="B430" s="1" t="n">
        <v>44540</v>
      </c>
      <c r="C430" s="1" t="n">
        <v>45730</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71956-2021</t>
        </is>
      </c>
      <c r="B431" s="1" t="n">
        <v>44544</v>
      </c>
      <c r="C431" s="1" t="n">
        <v>45730</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72938-2021</t>
        </is>
      </c>
      <c r="B432" s="1" t="n">
        <v>44547</v>
      </c>
      <c r="C432" s="1" t="n">
        <v>45730</v>
      </c>
      <c r="D432" t="inlineStr">
        <is>
          <t>JÄMTLANDS LÄN</t>
        </is>
      </c>
      <c r="E432" t="inlineStr">
        <is>
          <t>ÖSTERSUND</t>
        </is>
      </c>
      <c r="G432" t="n">
        <v>4.5</v>
      </c>
      <c r="H432" t="n">
        <v>0</v>
      </c>
      <c r="I432" t="n">
        <v>0</v>
      </c>
      <c r="J432" t="n">
        <v>0</v>
      </c>
      <c r="K432" t="n">
        <v>0</v>
      </c>
      <c r="L432" t="n">
        <v>0</v>
      </c>
      <c r="M432" t="n">
        <v>0</v>
      </c>
      <c r="N432" t="n">
        <v>0</v>
      </c>
      <c r="O432" t="n">
        <v>0</v>
      </c>
      <c r="P432" t="n">
        <v>0</v>
      </c>
      <c r="Q432" t="n">
        <v>0</v>
      </c>
      <c r="R432" s="2" t="inlineStr"/>
    </row>
    <row r="433" ht="15" customHeight="1">
      <c r="A433" t="inlineStr">
        <is>
          <t>A 73078-2021</t>
        </is>
      </c>
      <c r="B433" s="1" t="n">
        <v>44550</v>
      </c>
      <c r="C433" s="1" t="n">
        <v>45730</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73066-2021</t>
        </is>
      </c>
      <c r="B434" s="1" t="n">
        <v>44550</v>
      </c>
      <c r="C434" s="1" t="n">
        <v>45730</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73875-2021</t>
        </is>
      </c>
      <c r="B435" s="1" t="n">
        <v>44553</v>
      </c>
      <c r="C435" s="1" t="n">
        <v>45730</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73870-2021</t>
        </is>
      </c>
      <c r="B436" s="1" t="n">
        <v>44553</v>
      </c>
      <c r="C436" s="1" t="n">
        <v>45730</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154-2022</t>
        </is>
      </c>
      <c r="B437" s="1" t="n">
        <v>44561</v>
      </c>
      <c r="C437" s="1" t="n">
        <v>45730</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231-2022</t>
        </is>
      </c>
      <c r="B438" s="1" t="n">
        <v>44564</v>
      </c>
      <c r="C438" s="1" t="n">
        <v>45730</v>
      </c>
      <c r="D438" t="inlineStr">
        <is>
          <t>JÄMTLANDS LÄN</t>
        </is>
      </c>
      <c r="E438" t="inlineStr">
        <is>
          <t>ÖSTERSUND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681-2022</t>
        </is>
      </c>
      <c r="B439" s="1" t="n">
        <v>44566</v>
      </c>
      <c r="C439" s="1" t="n">
        <v>45730</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695-2022</t>
        </is>
      </c>
      <c r="B440" s="1" t="n">
        <v>44566</v>
      </c>
      <c r="C440" s="1" t="n">
        <v>45730</v>
      </c>
      <c r="D440" t="inlineStr">
        <is>
          <t>JÄMTLANDS LÄN</t>
        </is>
      </c>
      <c r="E440" t="inlineStr">
        <is>
          <t>ÖSTERSUND</t>
        </is>
      </c>
      <c r="G440" t="n">
        <v>14.9</v>
      </c>
      <c r="H440" t="n">
        <v>0</v>
      </c>
      <c r="I440" t="n">
        <v>0</v>
      </c>
      <c r="J440" t="n">
        <v>0</v>
      </c>
      <c r="K440" t="n">
        <v>0</v>
      </c>
      <c r="L440" t="n">
        <v>0</v>
      </c>
      <c r="M440" t="n">
        <v>0</v>
      </c>
      <c r="N440" t="n">
        <v>0</v>
      </c>
      <c r="O440" t="n">
        <v>0</v>
      </c>
      <c r="P440" t="n">
        <v>0</v>
      </c>
      <c r="Q440" t="n">
        <v>0</v>
      </c>
      <c r="R440" s="2" t="inlineStr"/>
    </row>
    <row r="441" ht="15" customHeight="1">
      <c r="A441" t="inlineStr">
        <is>
          <t>A 2431-2022</t>
        </is>
      </c>
      <c r="B441" s="1" t="n">
        <v>44579</v>
      </c>
      <c r="C441" s="1" t="n">
        <v>45730</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2763-2022</t>
        </is>
      </c>
      <c r="B442" s="1" t="n">
        <v>44580</v>
      </c>
      <c r="C442" s="1" t="n">
        <v>45730</v>
      </c>
      <c r="D442" t="inlineStr">
        <is>
          <t>JÄMTLANDS LÄN</t>
        </is>
      </c>
      <c r="E442" t="inlineStr">
        <is>
          <t>ÖSTERSUND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2880-2022</t>
        </is>
      </c>
      <c r="B443" s="1" t="n">
        <v>44581</v>
      </c>
      <c r="C443" s="1" t="n">
        <v>45730</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3016-2022</t>
        </is>
      </c>
      <c r="B444" s="1" t="n">
        <v>44581</v>
      </c>
      <c r="C444" s="1" t="n">
        <v>45730</v>
      </c>
      <c r="D444" t="inlineStr">
        <is>
          <t>JÄMTLANDS LÄN</t>
        </is>
      </c>
      <c r="E444" t="inlineStr">
        <is>
          <t>ÖSTERSUND</t>
        </is>
      </c>
      <c r="G444" t="n">
        <v>3.3</v>
      </c>
      <c r="H444" t="n">
        <v>0</v>
      </c>
      <c r="I444" t="n">
        <v>0</v>
      </c>
      <c r="J444" t="n">
        <v>0</v>
      </c>
      <c r="K444" t="n">
        <v>0</v>
      </c>
      <c r="L444" t="n">
        <v>0</v>
      </c>
      <c r="M444" t="n">
        <v>0</v>
      </c>
      <c r="N444" t="n">
        <v>0</v>
      </c>
      <c r="O444" t="n">
        <v>0</v>
      </c>
      <c r="P444" t="n">
        <v>0</v>
      </c>
      <c r="Q444" t="n">
        <v>0</v>
      </c>
      <c r="R444" s="2" t="inlineStr"/>
    </row>
    <row r="445" ht="15" customHeight="1">
      <c r="A445" t="inlineStr">
        <is>
          <t>A 5145-2022</t>
        </is>
      </c>
      <c r="B445" s="1" t="n">
        <v>44594</v>
      </c>
      <c r="C445" s="1" t="n">
        <v>45730</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5670-2022</t>
        </is>
      </c>
      <c r="B446" s="1" t="n">
        <v>44595</v>
      </c>
      <c r="C446" s="1" t="n">
        <v>45730</v>
      </c>
      <c r="D446" t="inlineStr">
        <is>
          <t>JÄMTLANDS LÄN</t>
        </is>
      </c>
      <c r="E446" t="inlineStr">
        <is>
          <t>ÖSTERSUND</t>
        </is>
      </c>
      <c r="G446" t="n">
        <v>2.7</v>
      </c>
      <c r="H446" t="n">
        <v>0</v>
      </c>
      <c r="I446" t="n">
        <v>0</v>
      </c>
      <c r="J446" t="n">
        <v>0</v>
      </c>
      <c r="K446" t="n">
        <v>0</v>
      </c>
      <c r="L446" t="n">
        <v>0</v>
      </c>
      <c r="M446" t="n">
        <v>0</v>
      </c>
      <c r="N446" t="n">
        <v>0</v>
      </c>
      <c r="O446" t="n">
        <v>0</v>
      </c>
      <c r="P446" t="n">
        <v>0</v>
      </c>
      <c r="Q446" t="n">
        <v>0</v>
      </c>
      <c r="R446" s="2" t="inlineStr"/>
    </row>
    <row r="447" ht="15" customHeight="1">
      <c r="A447" t="inlineStr">
        <is>
          <t>A 6013-2022</t>
        </is>
      </c>
      <c r="B447" s="1" t="n">
        <v>44599</v>
      </c>
      <c r="C447" s="1" t="n">
        <v>45730</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6458-2022</t>
        </is>
      </c>
      <c r="B448" s="1" t="n">
        <v>44601</v>
      </c>
      <c r="C448" s="1" t="n">
        <v>45730</v>
      </c>
      <c r="D448" t="inlineStr">
        <is>
          <t>JÄMTLANDS LÄN</t>
        </is>
      </c>
      <c r="E448" t="inlineStr">
        <is>
          <t>ÖSTERSUND</t>
        </is>
      </c>
      <c r="G448" t="n">
        <v>3.1</v>
      </c>
      <c r="H448" t="n">
        <v>0</v>
      </c>
      <c r="I448" t="n">
        <v>0</v>
      </c>
      <c r="J448" t="n">
        <v>0</v>
      </c>
      <c r="K448" t="n">
        <v>0</v>
      </c>
      <c r="L448" t="n">
        <v>0</v>
      </c>
      <c r="M448" t="n">
        <v>0</v>
      </c>
      <c r="N448" t="n">
        <v>0</v>
      </c>
      <c r="O448" t="n">
        <v>0</v>
      </c>
      <c r="P448" t="n">
        <v>0</v>
      </c>
      <c r="Q448" t="n">
        <v>0</v>
      </c>
      <c r="R448" s="2" t="inlineStr"/>
    </row>
    <row r="449" ht="15" customHeight="1">
      <c r="A449" t="inlineStr">
        <is>
          <t>A 7573-2022</t>
        </is>
      </c>
      <c r="B449" s="1" t="n">
        <v>44607</v>
      </c>
      <c r="C449" s="1" t="n">
        <v>45730</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8027-2022</t>
        </is>
      </c>
      <c r="B450" s="1" t="n">
        <v>44609</v>
      </c>
      <c r="C450" s="1" t="n">
        <v>45730</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8227-2022</t>
        </is>
      </c>
      <c r="B451" s="1" t="n">
        <v>44609</v>
      </c>
      <c r="C451" s="1" t="n">
        <v>45730</v>
      </c>
      <c r="D451" t="inlineStr">
        <is>
          <t>JÄMTLANDS LÄN</t>
        </is>
      </c>
      <c r="E451" t="inlineStr">
        <is>
          <t>ÖSTERSUND</t>
        </is>
      </c>
      <c r="G451" t="n">
        <v>6.6</v>
      </c>
      <c r="H451" t="n">
        <v>0</v>
      </c>
      <c r="I451" t="n">
        <v>0</v>
      </c>
      <c r="J451" t="n">
        <v>0</v>
      </c>
      <c r="K451" t="n">
        <v>0</v>
      </c>
      <c r="L451" t="n">
        <v>0</v>
      </c>
      <c r="M451" t="n">
        <v>0</v>
      </c>
      <c r="N451" t="n">
        <v>0</v>
      </c>
      <c r="O451" t="n">
        <v>0</v>
      </c>
      <c r="P451" t="n">
        <v>0</v>
      </c>
      <c r="Q451" t="n">
        <v>0</v>
      </c>
      <c r="R451" s="2" t="inlineStr"/>
    </row>
    <row r="452" ht="15" customHeight="1">
      <c r="A452" t="inlineStr">
        <is>
          <t>A 8647-2022</t>
        </is>
      </c>
      <c r="B452" s="1" t="n">
        <v>44613</v>
      </c>
      <c r="C452" s="1" t="n">
        <v>45730</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8972-2022</t>
        </is>
      </c>
      <c r="B453" s="1" t="n">
        <v>44614</v>
      </c>
      <c r="C453" s="1" t="n">
        <v>45730</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v>
      </c>
      <c r="C454" s="1" t="n">
        <v>45730</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11933-2022</t>
        </is>
      </c>
      <c r="B455" s="1" t="n">
        <v>44635</v>
      </c>
      <c r="C455" s="1" t="n">
        <v>45730</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12301-2022</t>
        </is>
      </c>
      <c r="B456" s="1" t="n">
        <v>44637</v>
      </c>
      <c r="C456" s="1" t="n">
        <v>45730</v>
      </c>
      <c r="D456" t="inlineStr">
        <is>
          <t>JÄMTLANDS LÄN</t>
        </is>
      </c>
      <c r="E456" t="inlineStr">
        <is>
          <t>ÖSTERSUND</t>
        </is>
      </c>
      <c r="G456" t="n">
        <v>5.8</v>
      </c>
      <c r="H456" t="n">
        <v>0</v>
      </c>
      <c r="I456" t="n">
        <v>0</v>
      </c>
      <c r="J456" t="n">
        <v>0</v>
      </c>
      <c r="K456" t="n">
        <v>0</v>
      </c>
      <c r="L456" t="n">
        <v>0</v>
      </c>
      <c r="M456" t="n">
        <v>0</v>
      </c>
      <c r="N456" t="n">
        <v>0</v>
      </c>
      <c r="O456" t="n">
        <v>0</v>
      </c>
      <c r="P456" t="n">
        <v>0</v>
      </c>
      <c r="Q456" t="n">
        <v>0</v>
      </c>
      <c r="R456" s="2" t="inlineStr"/>
    </row>
    <row r="457" ht="15" customHeight="1">
      <c r="A457" t="inlineStr">
        <is>
          <t>A 12285-2022</t>
        </is>
      </c>
      <c r="B457" s="1" t="n">
        <v>44637</v>
      </c>
      <c r="C457" s="1" t="n">
        <v>45730</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12946-2022</t>
        </is>
      </c>
      <c r="B458" s="1" t="n">
        <v>44642</v>
      </c>
      <c r="C458" s="1" t="n">
        <v>45730</v>
      </c>
      <c r="D458" t="inlineStr">
        <is>
          <t>JÄMTLANDS LÄN</t>
        </is>
      </c>
      <c r="E458" t="inlineStr">
        <is>
          <t>ÖSTERSUND</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45730</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14653-2022</t>
        </is>
      </c>
      <c r="B460" s="1" t="n">
        <v>44655</v>
      </c>
      <c r="C460" s="1" t="n">
        <v>45730</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14657-2022</t>
        </is>
      </c>
      <c r="B461" s="1" t="n">
        <v>44655</v>
      </c>
      <c r="C461" s="1" t="n">
        <v>45730</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14658-2022</t>
        </is>
      </c>
      <c r="B462" s="1" t="n">
        <v>44655</v>
      </c>
      <c r="C462" s="1" t="n">
        <v>45730</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16025-2022</t>
        </is>
      </c>
      <c r="B463" s="1" t="n">
        <v>44665</v>
      </c>
      <c r="C463" s="1" t="n">
        <v>45730</v>
      </c>
      <c r="D463" t="inlineStr">
        <is>
          <t>JÄMTLANDS LÄN</t>
        </is>
      </c>
      <c r="E463" t="inlineStr">
        <is>
          <t>ÖSTERSUND</t>
        </is>
      </c>
      <c r="G463" t="n">
        <v>6</v>
      </c>
      <c r="H463" t="n">
        <v>0</v>
      </c>
      <c r="I463" t="n">
        <v>0</v>
      </c>
      <c r="J463" t="n">
        <v>0</v>
      </c>
      <c r="K463" t="n">
        <v>0</v>
      </c>
      <c r="L463" t="n">
        <v>0</v>
      </c>
      <c r="M463" t="n">
        <v>0</v>
      </c>
      <c r="N463" t="n">
        <v>0</v>
      </c>
      <c r="O463" t="n">
        <v>0</v>
      </c>
      <c r="P463" t="n">
        <v>0</v>
      </c>
      <c r="Q463" t="n">
        <v>0</v>
      </c>
      <c r="R463" s="2" t="inlineStr"/>
    </row>
    <row r="464" ht="15" customHeight="1">
      <c r="A464" t="inlineStr">
        <is>
          <t>A 16034-2022</t>
        </is>
      </c>
      <c r="B464" s="1" t="n">
        <v>44665</v>
      </c>
      <c r="C464" s="1" t="n">
        <v>45730</v>
      </c>
      <c r="D464" t="inlineStr">
        <is>
          <t>JÄMTLANDS LÄN</t>
        </is>
      </c>
      <c r="E464" t="inlineStr">
        <is>
          <t>ÖSTERSUND</t>
        </is>
      </c>
      <c r="G464" t="n">
        <v>5.2</v>
      </c>
      <c r="H464" t="n">
        <v>0</v>
      </c>
      <c r="I464" t="n">
        <v>0</v>
      </c>
      <c r="J464" t="n">
        <v>0</v>
      </c>
      <c r="K464" t="n">
        <v>0</v>
      </c>
      <c r="L464" t="n">
        <v>0</v>
      </c>
      <c r="M464" t="n">
        <v>0</v>
      </c>
      <c r="N464" t="n">
        <v>0</v>
      </c>
      <c r="O464" t="n">
        <v>0</v>
      </c>
      <c r="P464" t="n">
        <v>0</v>
      </c>
      <c r="Q464" t="n">
        <v>0</v>
      </c>
      <c r="R464" s="2" t="inlineStr"/>
    </row>
    <row r="465" ht="15" customHeight="1">
      <c r="A465" t="inlineStr">
        <is>
          <t>A 17574-2022</t>
        </is>
      </c>
      <c r="B465" s="1" t="n">
        <v>44680</v>
      </c>
      <c r="C465" s="1" t="n">
        <v>45730</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17732-2022</t>
        </is>
      </c>
      <c r="B466" s="1" t="n">
        <v>44681</v>
      </c>
      <c r="C466" s="1" t="n">
        <v>45730</v>
      </c>
      <c r="D466" t="inlineStr">
        <is>
          <t>JÄMTLANDS LÄN</t>
        </is>
      </c>
      <c r="E466" t="inlineStr">
        <is>
          <t>ÖSTERSUND</t>
        </is>
      </c>
      <c r="G466" t="n">
        <v>5.4</v>
      </c>
      <c r="H466" t="n">
        <v>0</v>
      </c>
      <c r="I466" t="n">
        <v>0</v>
      </c>
      <c r="J466" t="n">
        <v>0</v>
      </c>
      <c r="K466" t="n">
        <v>0</v>
      </c>
      <c r="L466" t="n">
        <v>0</v>
      </c>
      <c r="M466" t="n">
        <v>0</v>
      </c>
      <c r="N466" t="n">
        <v>0</v>
      </c>
      <c r="O466" t="n">
        <v>0</v>
      </c>
      <c r="P466" t="n">
        <v>0</v>
      </c>
      <c r="Q466" t="n">
        <v>0</v>
      </c>
      <c r="R466" s="2" t="inlineStr"/>
    </row>
    <row r="467" ht="15" customHeight="1">
      <c r="A467" t="inlineStr">
        <is>
          <t>A 17734-2022</t>
        </is>
      </c>
      <c r="B467" s="1" t="n">
        <v>44680</v>
      </c>
      <c r="C467" s="1" t="n">
        <v>45730</v>
      </c>
      <c r="D467" t="inlineStr">
        <is>
          <t>JÄMTLANDS LÄN</t>
        </is>
      </c>
      <c r="E467" t="inlineStr">
        <is>
          <t>ÖSTERSUND</t>
        </is>
      </c>
      <c r="G467" t="n">
        <v>26.4</v>
      </c>
      <c r="H467" t="n">
        <v>0</v>
      </c>
      <c r="I467" t="n">
        <v>0</v>
      </c>
      <c r="J467" t="n">
        <v>0</v>
      </c>
      <c r="K467" t="n">
        <v>0</v>
      </c>
      <c r="L467" t="n">
        <v>0</v>
      </c>
      <c r="M467" t="n">
        <v>0</v>
      </c>
      <c r="N467" t="n">
        <v>0</v>
      </c>
      <c r="O467" t="n">
        <v>0</v>
      </c>
      <c r="P467" t="n">
        <v>0</v>
      </c>
      <c r="Q467" t="n">
        <v>0</v>
      </c>
      <c r="R467" s="2" t="inlineStr"/>
    </row>
    <row r="468" ht="15" customHeight="1">
      <c r="A468" t="inlineStr">
        <is>
          <t>A 20960-2022</t>
        </is>
      </c>
      <c r="B468" s="1" t="n">
        <v>44702</v>
      </c>
      <c r="C468" s="1" t="n">
        <v>45730</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20983-2022</t>
        </is>
      </c>
      <c r="B469" s="1" t="n">
        <v>44703</v>
      </c>
      <c r="C469" s="1" t="n">
        <v>45730</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21211-2022</t>
        </is>
      </c>
      <c r="B470" s="1" t="n">
        <v>44705</v>
      </c>
      <c r="C470" s="1" t="n">
        <v>45730</v>
      </c>
      <c r="D470" t="inlineStr">
        <is>
          <t>JÄMTLANDS LÄN</t>
        </is>
      </c>
      <c r="E470" t="inlineStr">
        <is>
          <t>ÖSTERSUND</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21495-2022</t>
        </is>
      </c>
      <c r="B471" s="1" t="n">
        <v>44706</v>
      </c>
      <c r="C471" s="1" t="n">
        <v>45730</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22083-2022</t>
        </is>
      </c>
      <c r="B472" s="1" t="n">
        <v>44711</v>
      </c>
      <c r="C472" s="1" t="n">
        <v>45730</v>
      </c>
      <c r="D472" t="inlineStr">
        <is>
          <t>JÄMTLANDS LÄN</t>
        </is>
      </c>
      <c r="E472" t="inlineStr">
        <is>
          <t>ÖSTERSUND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22085-2022</t>
        </is>
      </c>
      <c r="B473" s="1" t="n">
        <v>44711</v>
      </c>
      <c r="C473" s="1" t="n">
        <v>45730</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22084-2022</t>
        </is>
      </c>
      <c r="B474" s="1" t="n">
        <v>44711</v>
      </c>
      <c r="C474" s="1" t="n">
        <v>45730</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44712</v>
      </c>
      <c r="C475" s="1" t="n">
        <v>45730</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23555-2022</t>
        </is>
      </c>
      <c r="B476" s="1" t="n">
        <v>44721</v>
      </c>
      <c r="C476" s="1" t="n">
        <v>45730</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23563-2022</t>
        </is>
      </c>
      <c r="B477" s="1" t="n">
        <v>44721</v>
      </c>
      <c r="C477" s="1" t="n">
        <v>45730</v>
      </c>
      <c r="D477" t="inlineStr">
        <is>
          <t>JÄMTLANDS LÄN</t>
        </is>
      </c>
      <c r="E477" t="inlineStr">
        <is>
          <t>ÖSTERSUND</t>
        </is>
      </c>
      <c r="F477" t="inlineStr">
        <is>
          <t>Övriga Aktiebolag</t>
        </is>
      </c>
      <c r="G477" t="n">
        <v>3.7</v>
      </c>
      <c r="H477" t="n">
        <v>0</v>
      </c>
      <c r="I477" t="n">
        <v>0</v>
      </c>
      <c r="J477" t="n">
        <v>0</v>
      </c>
      <c r="K477" t="n">
        <v>0</v>
      </c>
      <c r="L477" t="n">
        <v>0</v>
      </c>
      <c r="M477" t="n">
        <v>0</v>
      </c>
      <c r="N477" t="n">
        <v>0</v>
      </c>
      <c r="O477" t="n">
        <v>0</v>
      </c>
      <c r="P477" t="n">
        <v>0</v>
      </c>
      <c r="Q477" t="n">
        <v>0</v>
      </c>
      <c r="R477" s="2" t="inlineStr"/>
    </row>
    <row r="478" ht="15" customHeight="1">
      <c r="A478" t="inlineStr">
        <is>
          <t>A 23551-2022</t>
        </is>
      </c>
      <c r="B478" s="1" t="n">
        <v>44721</v>
      </c>
      <c r="C478" s="1" t="n">
        <v>45730</v>
      </c>
      <c r="D478" t="inlineStr">
        <is>
          <t>JÄMTLANDS LÄN</t>
        </is>
      </c>
      <c r="E478" t="inlineStr">
        <is>
          <t>ÖSTERSUND</t>
        </is>
      </c>
      <c r="G478" t="n">
        <v>0.3</v>
      </c>
      <c r="H478" t="n">
        <v>0</v>
      </c>
      <c r="I478" t="n">
        <v>0</v>
      </c>
      <c r="J478" t="n">
        <v>0</v>
      </c>
      <c r="K478" t="n">
        <v>0</v>
      </c>
      <c r="L478" t="n">
        <v>0</v>
      </c>
      <c r="M478" t="n">
        <v>0</v>
      </c>
      <c r="N478" t="n">
        <v>0</v>
      </c>
      <c r="O478" t="n">
        <v>0</v>
      </c>
      <c r="P478" t="n">
        <v>0</v>
      </c>
      <c r="Q478" t="n">
        <v>0</v>
      </c>
      <c r="R478" s="2" t="inlineStr"/>
    </row>
    <row r="479" ht="15" customHeight="1">
      <c r="A479" t="inlineStr">
        <is>
          <t>A 23992-2022</t>
        </is>
      </c>
      <c r="B479" s="1" t="n">
        <v>44722</v>
      </c>
      <c r="C479" s="1" t="n">
        <v>45730</v>
      </c>
      <c r="D479" t="inlineStr">
        <is>
          <t>JÄMTLANDS LÄN</t>
        </is>
      </c>
      <c r="E479" t="inlineStr">
        <is>
          <t>ÖSTERSUND</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23993-2022</t>
        </is>
      </c>
      <c r="B480" s="1" t="n">
        <v>44723</v>
      </c>
      <c r="C480" s="1" t="n">
        <v>45730</v>
      </c>
      <c r="D480" t="inlineStr">
        <is>
          <t>JÄMTLANDS LÄN</t>
        </is>
      </c>
      <c r="E480" t="inlineStr">
        <is>
          <t>ÖSTERSUND</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26321-2022</t>
        </is>
      </c>
      <c r="B481" s="1" t="n">
        <v>44735</v>
      </c>
      <c r="C481" s="1" t="n">
        <v>45730</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26731-2022</t>
        </is>
      </c>
      <c r="B482" s="1" t="n">
        <v>44740</v>
      </c>
      <c r="C482" s="1" t="n">
        <v>45730</v>
      </c>
      <c r="D482" t="inlineStr">
        <is>
          <t>JÄMTLANDS LÄN</t>
        </is>
      </c>
      <c r="E482" t="inlineStr">
        <is>
          <t>ÖSTERSUND</t>
        </is>
      </c>
      <c r="G482" t="n">
        <v>3.1</v>
      </c>
      <c r="H482" t="n">
        <v>0</v>
      </c>
      <c r="I482" t="n">
        <v>0</v>
      </c>
      <c r="J482" t="n">
        <v>0</v>
      </c>
      <c r="K482" t="n">
        <v>0</v>
      </c>
      <c r="L482" t="n">
        <v>0</v>
      </c>
      <c r="M482" t="n">
        <v>0</v>
      </c>
      <c r="N482" t="n">
        <v>0</v>
      </c>
      <c r="O482" t="n">
        <v>0</v>
      </c>
      <c r="P482" t="n">
        <v>0</v>
      </c>
      <c r="Q482" t="n">
        <v>0</v>
      </c>
      <c r="R482" s="2" t="inlineStr"/>
    </row>
    <row r="483" ht="15" customHeight="1">
      <c r="A483" t="inlineStr">
        <is>
          <t>A 27343-2022</t>
        </is>
      </c>
      <c r="B483" s="1" t="n">
        <v>44742</v>
      </c>
      <c r="C483" s="1" t="n">
        <v>45730</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27582-2022</t>
        </is>
      </c>
      <c r="B484" s="1" t="n">
        <v>44743</v>
      </c>
      <c r="C484" s="1" t="n">
        <v>45730</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27575-2022</t>
        </is>
      </c>
      <c r="B485" s="1" t="n">
        <v>44742</v>
      </c>
      <c r="C485" s="1" t="n">
        <v>45730</v>
      </c>
      <c r="D485" t="inlineStr">
        <is>
          <t>JÄMTLANDS LÄN</t>
        </is>
      </c>
      <c r="E485" t="inlineStr">
        <is>
          <t>ÖSTERSUND</t>
        </is>
      </c>
      <c r="F485" t="inlineStr">
        <is>
          <t>SCA</t>
        </is>
      </c>
      <c r="G485" t="n">
        <v>2.4</v>
      </c>
      <c r="H485" t="n">
        <v>0</v>
      </c>
      <c r="I485" t="n">
        <v>0</v>
      </c>
      <c r="J485" t="n">
        <v>0</v>
      </c>
      <c r="K485" t="n">
        <v>0</v>
      </c>
      <c r="L485" t="n">
        <v>0</v>
      </c>
      <c r="M485" t="n">
        <v>0</v>
      </c>
      <c r="N485" t="n">
        <v>0</v>
      </c>
      <c r="O485" t="n">
        <v>0</v>
      </c>
      <c r="P485" t="n">
        <v>0</v>
      </c>
      <c r="Q485" t="n">
        <v>0</v>
      </c>
      <c r="R485" s="2" t="inlineStr"/>
      <c r="U485">
        <f>HYPERLINK("https://klasma.github.io/Logging_2380/knärot/A 27575-2022 karta knärot.png", "A 27575-2022")</f>
        <v/>
      </c>
      <c r="V485">
        <f>HYPERLINK("https://klasma.github.io/Logging_2380/klagomål/A 27575-2022 FSC-klagomål.docx", "A 27575-2022")</f>
        <v/>
      </c>
      <c r="W485">
        <f>HYPERLINK("https://klasma.github.io/Logging_2380/klagomålsmail/A 27575-2022 FSC-klagomål mail.docx", "A 27575-2022")</f>
        <v/>
      </c>
      <c r="X485">
        <f>HYPERLINK("https://klasma.github.io/Logging_2380/tillsyn/A 27575-2022 tillsynsbegäran.docx", "A 27575-2022")</f>
        <v/>
      </c>
      <c r="Y485">
        <f>HYPERLINK("https://klasma.github.io/Logging_2380/tillsynsmail/A 27575-2022 tillsynsbegäran mail.docx", "A 27575-2022")</f>
        <v/>
      </c>
    </row>
    <row r="486" ht="15" customHeight="1">
      <c r="A486" t="inlineStr">
        <is>
          <t>A 27581-2022</t>
        </is>
      </c>
      <c r="B486" s="1" t="n">
        <v>44742</v>
      </c>
      <c r="C486" s="1" t="n">
        <v>45730</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27780-2022</t>
        </is>
      </c>
      <c r="B487" s="1" t="n">
        <v>44743</v>
      </c>
      <c r="C487" s="1" t="n">
        <v>45730</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29094-2022</t>
        </is>
      </c>
      <c r="B488" s="1" t="n">
        <v>44750</v>
      </c>
      <c r="C488" s="1" t="n">
        <v>45730</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29128-2022</t>
        </is>
      </c>
      <c r="B489" s="1" t="n">
        <v>44750</v>
      </c>
      <c r="C489" s="1" t="n">
        <v>45730</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29829-2022</t>
        </is>
      </c>
      <c r="B490" s="1" t="n">
        <v>44755</v>
      </c>
      <c r="C490" s="1" t="n">
        <v>45730</v>
      </c>
      <c r="D490" t="inlineStr">
        <is>
          <t>JÄMTLANDS LÄN</t>
        </is>
      </c>
      <c r="E490" t="inlineStr">
        <is>
          <t>ÖSTERSUND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29828-2022</t>
        </is>
      </c>
      <c r="B491" s="1" t="n">
        <v>44755</v>
      </c>
      <c r="C491" s="1" t="n">
        <v>45730</v>
      </c>
      <c r="D491" t="inlineStr">
        <is>
          <t>JÄMTLANDS LÄN</t>
        </is>
      </c>
      <c r="E491" t="inlineStr">
        <is>
          <t>ÖSTERSUND</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30217-2022</t>
        </is>
      </c>
      <c r="B492" s="1" t="n">
        <v>44758</v>
      </c>
      <c r="C492" s="1" t="n">
        <v>45730</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33804-2022</t>
        </is>
      </c>
      <c r="B493" s="1" t="n">
        <v>44790</v>
      </c>
      <c r="C493" s="1" t="n">
        <v>45730</v>
      </c>
      <c r="D493" t="inlineStr">
        <is>
          <t>JÄMTLANDS LÄN</t>
        </is>
      </c>
      <c r="E493" t="inlineStr">
        <is>
          <t>ÖSTERSUND</t>
        </is>
      </c>
      <c r="G493" t="n">
        <v>1.8</v>
      </c>
      <c r="H493" t="n">
        <v>0</v>
      </c>
      <c r="I493" t="n">
        <v>0</v>
      </c>
      <c r="J493" t="n">
        <v>0</v>
      </c>
      <c r="K493" t="n">
        <v>0</v>
      </c>
      <c r="L493" t="n">
        <v>0</v>
      </c>
      <c r="M493" t="n">
        <v>0</v>
      </c>
      <c r="N493" t="n">
        <v>0</v>
      </c>
      <c r="O493" t="n">
        <v>0</v>
      </c>
      <c r="P493" t="n">
        <v>0</v>
      </c>
      <c r="Q493" t="n">
        <v>0</v>
      </c>
      <c r="R493" s="2" t="inlineStr"/>
    </row>
    <row r="494" ht="15" customHeight="1">
      <c r="A494" t="inlineStr">
        <is>
          <t>A 33808-2022</t>
        </is>
      </c>
      <c r="B494" s="1" t="n">
        <v>44790</v>
      </c>
      <c r="C494" s="1" t="n">
        <v>45730</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33813-2022</t>
        </is>
      </c>
      <c r="B495" s="1" t="n">
        <v>44790</v>
      </c>
      <c r="C495" s="1" t="n">
        <v>45730</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33786-2022</t>
        </is>
      </c>
      <c r="B496" s="1" t="n">
        <v>44790</v>
      </c>
      <c r="C496" s="1" t="n">
        <v>45730</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33801-2022</t>
        </is>
      </c>
      <c r="B497" s="1" t="n">
        <v>44790</v>
      </c>
      <c r="C497" s="1" t="n">
        <v>45730</v>
      </c>
      <c r="D497" t="inlineStr">
        <is>
          <t>JÄMTLANDS LÄN</t>
        </is>
      </c>
      <c r="E497" t="inlineStr">
        <is>
          <t>ÖSTERSUND</t>
        </is>
      </c>
      <c r="G497" t="n">
        <v>7.6</v>
      </c>
      <c r="H497" t="n">
        <v>0</v>
      </c>
      <c r="I497" t="n">
        <v>0</v>
      </c>
      <c r="J497" t="n">
        <v>0</v>
      </c>
      <c r="K497" t="n">
        <v>0</v>
      </c>
      <c r="L497" t="n">
        <v>0</v>
      </c>
      <c r="M497" t="n">
        <v>0</v>
      </c>
      <c r="N497" t="n">
        <v>0</v>
      </c>
      <c r="O497" t="n">
        <v>0</v>
      </c>
      <c r="P497" t="n">
        <v>0</v>
      </c>
      <c r="Q497" t="n">
        <v>0</v>
      </c>
      <c r="R497" s="2" t="inlineStr"/>
    </row>
    <row r="498" ht="15" customHeight="1">
      <c r="A498" t="inlineStr">
        <is>
          <t>A 35556-2022</t>
        </is>
      </c>
      <c r="B498" s="1" t="n">
        <v>44799</v>
      </c>
      <c r="C498" s="1" t="n">
        <v>45730</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39828-2022</t>
        </is>
      </c>
      <c r="B499" s="1" t="n">
        <v>44817</v>
      </c>
      <c r="C499" s="1" t="n">
        <v>45730</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39928-2022</t>
        </is>
      </c>
      <c r="B500" s="1" t="n">
        <v>44819</v>
      </c>
      <c r="C500" s="1" t="n">
        <v>45730</v>
      </c>
      <c r="D500" t="inlineStr">
        <is>
          <t>JÄMTLANDS LÄN</t>
        </is>
      </c>
      <c r="E500" t="inlineStr">
        <is>
          <t>ÖSTERSUND</t>
        </is>
      </c>
      <c r="F500" t="inlineStr">
        <is>
          <t>SCA</t>
        </is>
      </c>
      <c r="G500" t="n">
        <v>8.9</v>
      </c>
      <c r="H500" t="n">
        <v>0</v>
      </c>
      <c r="I500" t="n">
        <v>0</v>
      </c>
      <c r="J500" t="n">
        <v>0</v>
      </c>
      <c r="K500" t="n">
        <v>0</v>
      </c>
      <c r="L500" t="n">
        <v>0</v>
      </c>
      <c r="M500" t="n">
        <v>0</v>
      </c>
      <c r="N500" t="n">
        <v>0</v>
      </c>
      <c r="O500" t="n">
        <v>0</v>
      </c>
      <c r="P500" t="n">
        <v>0</v>
      </c>
      <c r="Q500" t="n">
        <v>0</v>
      </c>
      <c r="R500" s="2" t="inlineStr"/>
    </row>
    <row r="501" ht="15" customHeight="1">
      <c r="A501" t="inlineStr">
        <is>
          <t>A 40885-2022</t>
        </is>
      </c>
      <c r="B501" s="1" t="n">
        <v>44820</v>
      </c>
      <c r="C501" s="1" t="n">
        <v>45730</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43511-2022</t>
        </is>
      </c>
      <c r="B502" s="1" t="n">
        <v>44837</v>
      </c>
      <c r="C502" s="1" t="n">
        <v>45730</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43951-2022</t>
        </is>
      </c>
      <c r="B503" s="1" t="n">
        <v>44838</v>
      </c>
      <c r="C503" s="1" t="n">
        <v>45730</v>
      </c>
      <c r="D503" t="inlineStr">
        <is>
          <t>JÄMTLANDS LÄN</t>
        </is>
      </c>
      <c r="E503" t="inlineStr">
        <is>
          <t>ÖSTERSUND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44909-2022</t>
        </is>
      </c>
      <c r="B504" s="1" t="n">
        <v>44840</v>
      </c>
      <c r="C504" s="1" t="n">
        <v>45730</v>
      </c>
      <c r="D504" t="inlineStr">
        <is>
          <t>JÄMTLANDS LÄN</t>
        </is>
      </c>
      <c r="E504" t="inlineStr">
        <is>
          <t>ÖSTERSUND</t>
        </is>
      </c>
      <c r="G504" t="n">
        <v>1.5</v>
      </c>
      <c r="H504" t="n">
        <v>0</v>
      </c>
      <c r="I504" t="n">
        <v>0</v>
      </c>
      <c r="J504" t="n">
        <v>0</v>
      </c>
      <c r="K504" t="n">
        <v>0</v>
      </c>
      <c r="L504" t="n">
        <v>0</v>
      </c>
      <c r="M504" t="n">
        <v>0</v>
      </c>
      <c r="N504" t="n">
        <v>0</v>
      </c>
      <c r="O504" t="n">
        <v>0</v>
      </c>
      <c r="P504" t="n">
        <v>0</v>
      </c>
      <c r="Q504" t="n">
        <v>0</v>
      </c>
      <c r="R504" s="2" t="inlineStr"/>
    </row>
    <row r="505" ht="15" customHeight="1">
      <c r="A505" t="inlineStr">
        <is>
          <t>A 45004-2022</t>
        </is>
      </c>
      <c r="B505" s="1" t="n">
        <v>44840</v>
      </c>
      <c r="C505" s="1" t="n">
        <v>45730</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45654-2022</t>
        </is>
      </c>
      <c r="B506" s="1" t="n">
        <v>44845</v>
      </c>
      <c r="C506" s="1" t="n">
        <v>45730</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46913-2022</t>
        </is>
      </c>
      <c r="B507" s="1" t="n">
        <v>44851</v>
      </c>
      <c r="C507" s="1" t="n">
        <v>45730</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47296-2022</t>
        </is>
      </c>
      <c r="B508" s="1" t="n">
        <v>44853</v>
      </c>
      <c r="C508" s="1" t="n">
        <v>45730</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47294-2022</t>
        </is>
      </c>
      <c r="B509" s="1" t="n">
        <v>44852</v>
      </c>
      <c r="C509" s="1" t="n">
        <v>45730</v>
      </c>
      <c r="D509" t="inlineStr">
        <is>
          <t>JÄMTLANDS LÄN</t>
        </is>
      </c>
      <c r="E509" t="inlineStr">
        <is>
          <t>ÖSTERSUND</t>
        </is>
      </c>
      <c r="G509" t="n">
        <v>1.7</v>
      </c>
      <c r="H509" t="n">
        <v>0</v>
      </c>
      <c r="I509" t="n">
        <v>0</v>
      </c>
      <c r="J509" t="n">
        <v>0</v>
      </c>
      <c r="K509" t="n">
        <v>0</v>
      </c>
      <c r="L509" t="n">
        <v>0</v>
      </c>
      <c r="M509" t="n">
        <v>0</v>
      </c>
      <c r="N509" t="n">
        <v>0</v>
      </c>
      <c r="O509" t="n">
        <v>0</v>
      </c>
      <c r="P509" t="n">
        <v>0</v>
      </c>
      <c r="Q509" t="n">
        <v>0</v>
      </c>
      <c r="R509" s="2" t="inlineStr"/>
    </row>
    <row r="510" ht="15" customHeight="1">
      <c r="A510" t="inlineStr">
        <is>
          <t>A 47295-2022</t>
        </is>
      </c>
      <c r="B510" s="1" t="n">
        <v>44852</v>
      </c>
      <c r="C510" s="1" t="n">
        <v>45730</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49389-2022</t>
        </is>
      </c>
      <c r="B511" s="1" t="n">
        <v>44861</v>
      </c>
      <c r="C511" s="1" t="n">
        <v>45730</v>
      </c>
      <c r="D511" t="inlineStr">
        <is>
          <t>JÄMTLANDS LÄN</t>
        </is>
      </c>
      <c r="E511" t="inlineStr">
        <is>
          <t>ÖSTERSUND</t>
        </is>
      </c>
      <c r="F511" t="inlineStr">
        <is>
          <t>Övriga Aktiebolag</t>
        </is>
      </c>
      <c r="G511" t="n">
        <v>19.2</v>
      </c>
      <c r="H511" t="n">
        <v>0</v>
      </c>
      <c r="I511" t="n">
        <v>0</v>
      </c>
      <c r="J511" t="n">
        <v>0</v>
      </c>
      <c r="K511" t="n">
        <v>0</v>
      </c>
      <c r="L511" t="n">
        <v>0</v>
      </c>
      <c r="M511" t="n">
        <v>0</v>
      </c>
      <c r="N511" t="n">
        <v>0</v>
      </c>
      <c r="O511" t="n">
        <v>0</v>
      </c>
      <c r="P511" t="n">
        <v>0</v>
      </c>
      <c r="Q511" t="n">
        <v>0</v>
      </c>
      <c r="R511" s="2" t="inlineStr"/>
    </row>
    <row r="512" ht="15" customHeight="1">
      <c r="A512" t="inlineStr">
        <is>
          <t>A 50932-2022</t>
        </is>
      </c>
      <c r="B512" s="1" t="n">
        <v>44867</v>
      </c>
      <c r="C512" s="1" t="n">
        <v>45730</v>
      </c>
      <c r="D512" t="inlineStr">
        <is>
          <t>JÄMTLANDS LÄN</t>
        </is>
      </c>
      <c r="E512" t="inlineStr">
        <is>
          <t>ÖSTERSUND</t>
        </is>
      </c>
      <c r="F512" t="inlineStr">
        <is>
          <t>Övriga Aktiebolag</t>
        </is>
      </c>
      <c r="G512" t="n">
        <v>3.9</v>
      </c>
      <c r="H512" t="n">
        <v>0</v>
      </c>
      <c r="I512" t="n">
        <v>0</v>
      </c>
      <c r="J512" t="n">
        <v>0</v>
      </c>
      <c r="K512" t="n">
        <v>0</v>
      </c>
      <c r="L512" t="n">
        <v>0</v>
      </c>
      <c r="M512" t="n">
        <v>0</v>
      </c>
      <c r="N512" t="n">
        <v>0</v>
      </c>
      <c r="O512" t="n">
        <v>0</v>
      </c>
      <c r="P512" t="n">
        <v>0</v>
      </c>
      <c r="Q512" t="n">
        <v>0</v>
      </c>
      <c r="R512" s="2" t="inlineStr"/>
    </row>
    <row r="513" ht="15" customHeight="1">
      <c r="A513" t="inlineStr">
        <is>
          <t>A 51164-2022</t>
        </is>
      </c>
      <c r="B513" s="1" t="n">
        <v>44868</v>
      </c>
      <c r="C513" s="1" t="n">
        <v>45730</v>
      </c>
      <c r="D513" t="inlineStr">
        <is>
          <t>JÄMTLANDS LÄN</t>
        </is>
      </c>
      <c r="E513" t="inlineStr">
        <is>
          <t>ÖSTERSUND</t>
        </is>
      </c>
      <c r="G513" t="n">
        <v>1.2</v>
      </c>
      <c r="H513" t="n">
        <v>0</v>
      </c>
      <c r="I513" t="n">
        <v>0</v>
      </c>
      <c r="J513" t="n">
        <v>0</v>
      </c>
      <c r="K513" t="n">
        <v>0</v>
      </c>
      <c r="L513" t="n">
        <v>0</v>
      </c>
      <c r="M513" t="n">
        <v>0</v>
      </c>
      <c r="N513" t="n">
        <v>0</v>
      </c>
      <c r="O513" t="n">
        <v>0</v>
      </c>
      <c r="P513" t="n">
        <v>0</v>
      </c>
      <c r="Q513" t="n">
        <v>0</v>
      </c>
      <c r="R513" s="2" t="inlineStr"/>
    </row>
    <row r="514" ht="15" customHeight="1">
      <c r="A514" t="inlineStr">
        <is>
          <t>A 52155-2022</t>
        </is>
      </c>
      <c r="B514" s="1" t="n">
        <v>44873</v>
      </c>
      <c r="C514" s="1" t="n">
        <v>45730</v>
      </c>
      <c r="D514" t="inlineStr">
        <is>
          <t>JÄMTLANDS LÄN</t>
        </is>
      </c>
      <c r="E514" t="inlineStr">
        <is>
          <t>ÖSTERSUND</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52898-2022</t>
        </is>
      </c>
      <c r="B515" s="1" t="n">
        <v>44875</v>
      </c>
      <c r="C515" s="1" t="n">
        <v>45730</v>
      </c>
      <c r="D515" t="inlineStr">
        <is>
          <t>JÄMTLANDS LÄN</t>
        </is>
      </c>
      <c r="E515" t="inlineStr">
        <is>
          <t>ÖSTERSUND</t>
        </is>
      </c>
      <c r="F515" t="inlineStr">
        <is>
          <t>Övriga Aktiebolag</t>
        </is>
      </c>
      <c r="G515" t="n">
        <v>12.1</v>
      </c>
      <c r="H515" t="n">
        <v>0</v>
      </c>
      <c r="I515" t="n">
        <v>0</v>
      </c>
      <c r="J515" t="n">
        <v>0</v>
      </c>
      <c r="K515" t="n">
        <v>0</v>
      </c>
      <c r="L515" t="n">
        <v>0</v>
      </c>
      <c r="M515" t="n">
        <v>0</v>
      </c>
      <c r="N515" t="n">
        <v>0</v>
      </c>
      <c r="O515" t="n">
        <v>0</v>
      </c>
      <c r="P515" t="n">
        <v>0</v>
      </c>
      <c r="Q515" t="n">
        <v>0</v>
      </c>
      <c r="R515" s="2" t="inlineStr"/>
    </row>
    <row r="516" ht="15" customHeight="1">
      <c r="A516" t="inlineStr">
        <is>
          <t>A 53802-2022</t>
        </is>
      </c>
      <c r="B516" s="1" t="n">
        <v>44875</v>
      </c>
      <c r="C516" s="1" t="n">
        <v>45730</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53764-2022</t>
        </is>
      </c>
      <c r="B517" s="1" t="n">
        <v>44875</v>
      </c>
      <c r="C517" s="1" t="n">
        <v>45730</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53807-2022</t>
        </is>
      </c>
      <c r="B518" s="1" t="n">
        <v>44875</v>
      </c>
      <c r="C518" s="1" t="n">
        <v>45730</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53453-2022</t>
        </is>
      </c>
      <c r="B519" s="1" t="n">
        <v>44879</v>
      </c>
      <c r="C519" s="1" t="n">
        <v>45730</v>
      </c>
      <c r="D519" t="inlineStr">
        <is>
          <t>JÄMTLANDS LÄN</t>
        </is>
      </c>
      <c r="E519" t="inlineStr">
        <is>
          <t>ÖSTERSUND</t>
        </is>
      </c>
      <c r="G519" t="n">
        <v>22.2</v>
      </c>
      <c r="H519" t="n">
        <v>0</v>
      </c>
      <c r="I519" t="n">
        <v>0</v>
      </c>
      <c r="J519" t="n">
        <v>0</v>
      </c>
      <c r="K519" t="n">
        <v>0</v>
      </c>
      <c r="L519" t="n">
        <v>0</v>
      </c>
      <c r="M519" t="n">
        <v>0</v>
      </c>
      <c r="N519" t="n">
        <v>0</v>
      </c>
      <c r="O519" t="n">
        <v>0</v>
      </c>
      <c r="P519" t="n">
        <v>0</v>
      </c>
      <c r="Q519" t="n">
        <v>0</v>
      </c>
      <c r="R519" s="2" t="inlineStr"/>
    </row>
    <row r="520" ht="15" customHeight="1">
      <c r="A520" t="inlineStr">
        <is>
          <t>A 53556-2022</t>
        </is>
      </c>
      <c r="B520" s="1" t="n">
        <v>44879</v>
      </c>
      <c r="C520" s="1" t="n">
        <v>45730</v>
      </c>
      <c r="D520" t="inlineStr">
        <is>
          <t>JÄMTLANDS LÄN</t>
        </is>
      </c>
      <c r="E520" t="inlineStr">
        <is>
          <t>ÖSTERSUND</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53714-2022</t>
        </is>
      </c>
      <c r="B521" s="1" t="n">
        <v>44880</v>
      </c>
      <c r="C521" s="1" t="n">
        <v>45730</v>
      </c>
      <c r="D521" t="inlineStr">
        <is>
          <t>JÄMTLANDS LÄN</t>
        </is>
      </c>
      <c r="E521" t="inlineStr">
        <is>
          <t>ÖSTERSUND</t>
        </is>
      </c>
      <c r="G521" t="n">
        <v>1.3</v>
      </c>
      <c r="H521" t="n">
        <v>0</v>
      </c>
      <c r="I521" t="n">
        <v>0</v>
      </c>
      <c r="J521" t="n">
        <v>0</v>
      </c>
      <c r="K521" t="n">
        <v>0</v>
      </c>
      <c r="L521" t="n">
        <v>0</v>
      </c>
      <c r="M521" t="n">
        <v>0</v>
      </c>
      <c r="N521" t="n">
        <v>0</v>
      </c>
      <c r="O521" t="n">
        <v>0</v>
      </c>
      <c r="P521" t="n">
        <v>0</v>
      </c>
      <c r="Q521" t="n">
        <v>0</v>
      </c>
      <c r="R521" s="2" t="inlineStr"/>
    </row>
    <row r="522" ht="15" customHeight="1">
      <c r="A522" t="inlineStr">
        <is>
          <t>A 54712-2022</t>
        </is>
      </c>
      <c r="B522" s="1" t="n">
        <v>44883</v>
      </c>
      <c r="C522" s="1" t="n">
        <v>45730</v>
      </c>
      <c r="D522" t="inlineStr">
        <is>
          <t>JÄMTLANDS LÄN</t>
        </is>
      </c>
      <c r="E522" t="inlineStr">
        <is>
          <t>ÖSTERSUND</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54663-2022</t>
        </is>
      </c>
      <c r="B523" s="1" t="n">
        <v>44883</v>
      </c>
      <c r="C523" s="1" t="n">
        <v>45730</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55102-2022</t>
        </is>
      </c>
      <c r="B524" s="1" t="n">
        <v>44886</v>
      </c>
      <c r="C524" s="1" t="n">
        <v>45730</v>
      </c>
      <c r="D524" t="inlineStr">
        <is>
          <t>JÄMTLANDS LÄN</t>
        </is>
      </c>
      <c r="E524" t="inlineStr">
        <is>
          <t>ÖSTERSUND</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55008-2022</t>
        </is>
      </c>
      <c r="B525" s="1" t="n">
        <v>44886</v>
      </c>
      <c r="C525" s="1" t="n">
        <v>45730</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55105-2022</t>
        </is>
      </c>
      <c r="B526" s="1" t="n">
        <v>44886</v>
      </c>
      <c r="C526" s="1" t="n">
        <v>45730</v>
      </c>
      <c r="D526" t="inlineStr">
        <is>
          <t>JÄMTLANDS LÄN</t>
        </is>
      </c>
      <c r="E526" t="inlineStr">
        <is>
          <t>ÖSTERSUND</t>
        </is>
      </c>
      <c r="F526" t="inlineStr">
        <is>
          <t>Övriga Aktiebolag</t>
        </is>
      </c>
      <c r="G526" t="n">
        <v>2.4</v>
      </c>
      <c r="H526" t="n">
        <v>0</v>
      </c>
      <c r="I526" t="n">
        <v>0</v>
      </c>
      <c r="J526" t="n">
        <v>0</v>
      </c>
      <c r="K526" t="n">
        <v>0</v>
      </c>
      <c r="L526" t="n">
        <v>0</v>
      </c>
      <c r="M526" t="n">
        <v>0</v>
      </c>
      <c r="N526" t="n">
        <v>0</v>
      </c>
      <c r="O526" t="n">
        <v>0</v>
      </c>
      <c r="P526" t="n">
        <v>0</v>
      </c>
      <c r="Q526" t="n">
        <v>0</v>
      </c>
      <c r="R526" s="2" t="inlineStr"/>
      <c r="U526">
        <f>HYPERLINK("https://klasma.github.io/Logging_2380/knärot/A 55105-2022 karta knärot.png", "A 55105-2022")</f>
        <v/>
      </c>
      <c r="V526">
        <f>HYPERLINK("https://klasma.github.io/Logging_2380/klagomål/A 55105-2022 FSC-klagomål.docx", "A 55105-2022")</f>
        <v/>
      </c>
      <c r="W526">
        <f>HYPERLINK("https://klasma.github.io/Logging_2380/klagomålsmail/A 55105-2022 FSC-klagomål mail.docx", "A 55105-2022")</f>
        <v/>
      </c>
      <c r="X526">
        <f>HYPERLINK("https://klasma.github.io/Logging_2380/tillsyn/A 55105-2022 tillsynsbegäran.docx", "A 55105-2022")</f>
        <v/>
      </c>
      <c r="Y526">
        <f>HYPERLINK("https://klasma.github.io/Logging_2380/tillsynsmail/A 55105-2022 tillsynsbegäran mail.docx", "A 55105-2022")</f>
        <v/>
      </c>
    </row>
    <row r="527" ht="15" customHeight="1">
      <c r="A527" t="inlineStr">
        <is>
          <t>A 55371-2022</t>
        </is>
      </c>
      <c r="B527" s="1" t="n">
        <v>44887</v>
      </c>
      <c r="C527" s="1" t="n">
        <v>45730</v>
      </c>
      <c r="D527" t="inlineStr">
        <is>
          <t>JÄMTLANDS LÄN</t>
        </is>
      </c>
      <c r="E527" t="inlineStr">
        <is>
          <t>ÖSTERSUND</t>
        </is>
      </c>
      <c r="F527" t="inlineStr">
        <is>
          <t>Övriga Aktiebolag</t>
        </is>
      </c>
      <c r="G527" t="n">
        <v>15.4</v>
      </c>
      <c r="H527" t="n">
        <v>0</v>
      </c>
      <c r="I527" t="n">
        <v>0</v>
      </c>
      <c r="J527" t="n">
        <v>0</v>
      </c>
      <c r="K527" t="n">
        <v>0</v>
      </c>
      <c r="L527" t="n">
        <v>0</v>
      </c>
      <c r="M527" t="n">
        <v>0</v>
      </c>
      <c r="N527" t="n">
        <v>0</v>
      </c>
      <c r="O527" t="n">
        <v>0</v>
      </c>
      <c r="P527" t="n">
        <v>0</v>
      </c>
      <c r="Q527" t="n">
        <v>0</v>
      </c>
      <c r="R527" s="2" t="inlineStr"/>
    </row>
    <row r="528" ht="15" customHeight="1">
      <c r="A528" t="inlineStr">
        <is>
          <t>A 55448-2022</t>
        </is>
      </c>
      <c r="B528" s="1" t="n">
        <v>44887</v>
      </c>
      <c r="C528" s="1" t="n">
        <v>45730</v>
      </c>
      <c r="D528" t="inlineStr">
        <is>
          <t>JÄMTLANDS LÄN</t>
        </is>
      </c>
      <c r="E528" t="inlineStr">
        <is>
          <t>ÖSTERSUND</t>
        </is>
      </c>
      <c r="G528" t="n">
        <v>5.2</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v>
      </c>
      <c r="C529" s="1" t="n">
        <v>45730</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56148-2022</t>
        </is>
      </c>
      <c r="B530" s="1" t="n">
        <v>44889</v>
      </c>
      <c r="C530" s="1" t="n">
        <v>45730</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56111-2022</t>
        </is>
      </c>
      <c r="B531" s="1" t="n">
        <v>44889</v>
      </c>
      <c r="C531" s="1" t="n">
        <v>45730</v>
      </c>
      <c r="D531" t="inlineStr">
        <is>
          <t>JÄMTLANDS LÄN</t>
        </is>
      </c>
      <c r="E531" t="inlineStr">
        <is>
          <t>ÖSTERSUND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57009-2022</t>
        </is>
      </c>
      <c r="B532" s="1" t="n">
        <v>44894</v>
      </c>
      <c r="C532" s="1" t="n">
        <v>45730</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59266-2022</t>
        </is>
      </c>
      <c r="B533" s="1" t="n">
        <v>44904</v>
      </c>
      <c r="C533" s="1" t="n">
        <v>45730</v>
      </c>
      <c r="D533" t="inlineStr">
        <is>
          <t>JÄMTLANDS LÄN</t>
        </is>
      </c>
      <c r="E533" t="inlineStr">
        <is>
          <t>ÖSTERSUND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59648-2022</t>
        </is>
      </c>
      <c r="B534" s="1" t="n">
        <v>44907</v>
      </c>
      <c r="C534" s="1" t="n">
        <v>45730</v>
      </c>
      <c r="D534" t="inlineStr">
        <is>
          <t>JÄMTLANDS LÄN</t>
        </is>
      </c>
      <c r="E534" t="inlineStr">
        <is>
          <t>ÖSTERSUND</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59649-2022</t>
        </is>
      </c>
      <c r="B535" s="1" t="n">
        <v>44908</v>
      </c>
      <c r="C535" s="1" t="n">
        <v>45730</v>
      </c>
      <c r="D535" t="inlineStr">
        <is>
          <t>JÄMTLANDS LÄN</t>
        </is>
      </c>
      <c r="E535" t="inlineStr">
        <is>
          <t>ÖSTERSUND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60174-2022</t>
        </is>
      </c>
      <c r="B536" s="1" t="n">
        <v>44910</v>
      </c>
      <c r="C536" s="1" t="n">
        <v>45730</v>
      </c>
      <c r="D536" t="inlineStr">
        <is>
          <t>JÄMTLANDS LÄN</t>
        </is>
      </c>
      <c r="E536" t="inlineStr">
        <is>
          <t>ÖSTERSUND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61256-2022</t>
        </is>
      </c>
      <c r="B537" s="1" t="n">
        <v>44909</v>
      </c>
      <c r="C537" s="1" t="n">
        <v>45730</v>
      </c>
      <c r="D537" t="inlineStr">
        <is>
          <t>JÄMTLANDS LÄN</t>
        </is>
      </c>
      <c r="E537" t="inlineStr">
        <is>
          <t>ÖSTERSUND</t>
        </is>
      </c>
      <c r="G537" t="n">
        <v>3.9</v>
      </c>
      <c r="H537" t="n">
        <v>0</v>
      </c>
      <c r="I537" t="n">
        <v>0</v>
      </c>
      <c r="J537" t="n">
        <v>0</v>
      </c>
      <c r="K537" t="n">
        <v>0</v>
      </c>
      <c r="L537" t="n">
        <v>0</v>
      </c>
      <c r="M537" t="n">
        <v>0</v>
      </c>
      <c r="N537" t="n">
        <v>0</v>
      </c>
      <c r="O537" t="n">
        <v>0</v>
      </c>
      <c r="P537" t="n">
        <v>0</v>
      </c>
      <c r="Q537" t="n">
        <v>0</v>
      </c>
      <c r="R537" s="2" t="inlineStr"/>
    </row>
    <row r="538" ht="15" customHeight="1">
      <c r="A538" t="inlineStr">
        <is>
          <t>A 60430-2022</t>
        </is>
      </c>
      <c r="B538" s="1" t="n">
        <v>44911</v>
      </c>
      <c r="C538" s="1" t="n">
        <v>45730</v>
      </c>
      <c r="D538" t="inlineStr">
        <is>
          <t>JÄMTLANDS LÄN</t>
        </is>
      </c>
      <c r="E538" t="inlineStr">
        <is>
          <t>ÖSTERSUND</t>
        </is>
      </c>
      <c r="F538" t="inlineStr">
        <is>
          <t>Övriga Aktiebolag</t>
        </is>
      </c>
      <c r="G538" t="n">
        <v>24.2</v>
      </c>
      <c r="H538" t="n">
        <v>0</v>
      </c>
      <c r="I538" t="n">
        <v>0</v>
      </c>
      <c r="J538" t="n">
        <v>0</v>
      </c>
      <c r="K538" t="n">
        <v>0</v>
      </c>
      <c r="L538" t="n">
        <v>0</v>
      </c>
      <c r="M538" t="n">
        <v>0</v>
      </c>
      <c r="N538" t="n">
        <v>0</v>
      </c>
      <c r="O538" t="n">
        <v>0</v>
      </c>
      <c r="P538" t="n">
        <v>0</v>
      </c>
      <c r="Q538" t="n">
        <v>0</v>
      </c>
      <c r="R538" s="2" t="inlineStr"/>
    </row>
    <row r="539" ht="15" customHeight="1">
      <c r="A539" t="inlineStr">
        <is>
          <t>A 60575-2022</t>
        </is>
      </c>
      <c r="B539" s="1" t="n">
        <v>44911</v>
      </c>
      <c r="C539" s="1" t="n">
        <v>45730</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60674-2022</t>
        </is>
      </c>
      <c r="B540" s="1" t="n">
        <v>44911</v>
      </c>
      <c r="C540" s="1" t="n">
        <v>45730</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60677-2022</t>
        </is>
      </c>
      <c r="B541" s="1" t="n">
        <v>44911</v>
      </c>
      <c r="C541" s="1" t="n">
        <v>45730</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60681-2022</t>
        </is>
      </c>
      <c r="B542" s="1" t="n">
        <v>44911</v>
      </c>
      <c r="C542" s="1" t="n">
        <v>45730</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60678-2022</t>
        </is>
      </c>
      <c r="B543" s="1" t="n">
        <v>44911</v>
      </c>
      <c r="C543" s="1" t="n">
        <v>45730</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60560-2022</t>
        </is>
      </c>
      <c r="B544" s="1" t="n">
        <v>44911</v>
      </c>
      <c r="C544" s="1" t="n">
        <v>45730</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60676-2022</t>
        </is>
      </c>
      <c r="B545" s="1" t="n">
        <v>44911</v>
      </c>
      <c r="C545" s="1" t="n">
        <v>45730</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60680-2022</t>
        </is>
      </c>
      <c r="B546" s="1" t="n">
        <v>44911</v>
      </c>
      <c r="C546" s="1" t="n">
        <v>45730</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60623-2022</t>
        </is>
      </c>
      <c r="B547" s="1" t="n">
        <v>44911</v>
      </c>
      <c r="C547" s="1" t="n">
        <v>45730</v>
      </c>
      <c r="D547" t="inlineStr">
        <is>
          <t>JÄMTLANDS LÄN</t>
        </is>
      </c>
      <c r="E547" t="inlineStr">
        <is>
          <t>ÖSTERSUND</t>
        </is>
      </c>
      <c r="G547" t="n">
        <v>10.9</v>
      </c>
      <c r="H547" t="n">
        <v>0</v>
      </c>
      <c r="I547" t="n">
        <v>0</v>
      </c>
      <c r="J547" t="n">
        <v>0</v>
      </c>
      <c r="K547" t="n">
        <v>0</v>
      </c>
      <c r="L547" t="n">
        <v>0</v>
      </c>
      <c r="M547" t="n">
        <v>0</v>
      </c>
      <c r="N547" t="n">
        <v>0</v>
      </c>
      <c r="O547" t="n">
        <v>0</v>
      </c>
      <c r="P547" t="n">
        <v>0</v>
      </c>
      <c r="Q547" t="n">
        <v>0</v>
      </c>
      <c r="R547" s="2" t="inlineStr"/>
    </row>
    <row r="548" ht="15" customHeight="1">
      <c r="A548" t="inlineStr">
        <is>
          <t>A 60675-2022</t>
        </is>
      </c>
      <c r="B548" s="1" t="n">
        <v>44911</v>
      </c>
      <c r="C548" s="1" t="n">
        <v>45730</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60679-2022</t>
        </is>
      </c>
      <c r="B549" s="1" t="n">
        <v>44911</v>
      </c>
      <c r="C549" s="1" t="n">
        <v>45730</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60767-2022</t>
        </is>
      </c>
      <c r="B550" s="1" t="n">
        <v>44914</v>
      </c>
      <c r="C550" s="1" t="n">
        <v>45730</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61653-2022</t>
        </is>
      </c>
      <c r="B551" s="1" t="n">
        <v>44916</v>
      </c>
      <c r="C551" s="1" t="n">
        <v>45730</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62040-2022</t>
        </is>
      </c>
      <c r="B552" s="1" t="n">
        <v>44918</v>
      </c>
      <c r="C552" s="1" t="n">
        <v>45730</v>
      </c>
      <c r="D552" t="inlineStr">
        <is>
          <t>JÄMTLANDS LÄN</t>
        </is>
      </c>
      <c r="E552" t="inlineStr">
        <is>
          <t>ÖSTERSUND</t>
        </is>
      </c>
      <c r="G552" t="n">
        <v>2.6</v>
      </c>
      <c r="H552" t="n">
        <v>0</v>
      </c>
      <c r="I552" t="n">
        <v>0</v>
      </c>
      <c r="J552" t="n">
        <v>0</v>
      </c>
      <c r="K552" t="n">
        <v>0</v>
      </c>
      <c r="L552" t="n">
        <v>0</v>
      </c>
      <c r="M552" t="n">
        <v>0</v>
      </c>
      <c r="N552" t="n">
        <v>0</v>
      </c>
      <c r="O552" t="n">
        <v>0</v>
      </c>
      <c r="P552" t="n">
        <v>0</v>
      </c>
      <c r="Q552" t="n">
        <v>0</v>
      </c>
      <c r="R552" s="2" t="inlineStr"/>
    </row>
    <row r="553" ht="15" customHeight="1">
      <c r="A553" t="inlineStr">
        <is>
          <t>A 62043-2022</t>
        </is>
      </c>
      <c r="B553" s="1" t="n">
        <v>44918</v>
      </c>
      <c r="C553" s="1" t="n">
        <v>45730</v>
      </c>
      <c r="D553" t="inlineStr">
        <is>
          <t>JÄMTLANDS LÄN</t>
        </is>
      </c>
      <c r="E553" t="inlineStr">
        <is>
          <t>ÖSTERSUND</t>
        </is>
      </c>
      <c r="G553" t="n">
        <v>5.2</v>
      </c>
      <c r="H553" t="n">
        <v>0</v>
      </c>
      <c r="I553" t="n">
        <v>0</v>
      </c>
      <c r="J553" t="n">
        <v>0</v>
      </c>
      <c r="K553" t="n">
        <v>0</v>
      </c>
      <c r="L553" t="n">
        <v>0</v>
      </c>
      <c r="M553" t="n">
        <v>0</v>
      </c>
      <c r="N553" t="n">
        <v>0</v>
      </c>
      <c r="O553" t="n">
        <v>0</v>
      </c>
      <c r="P553" t="n">
        <v>0</v>
      </c>
      <c r="Q553" t="n">
        <v>0</v>
      </c>
      <c r="R553" s="2" t="inlineStr"/>
    </row>
    <row r="554" ht="15" customHeight="1">
      <c r="A554" t="inlineStr">
        <is>
          <t>A 62227-2022</t>
        </is>
      </c>
      <c r="B554" s="1" t="n">
        <v>44922</v>
      </c>
      <c r="C554" s="1" t="n">
        <v>45730</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62225-2022</t>
        </is>
      </c>
      <c r="B555" s="1" t="n">
        <v>44922</v>
      </c>
      <c r="C555" s="1" t="n">
        <v>45730</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62222-2022</t>
        </is>
      </c>
      <c r="B556" s="1" t="n">
        <v>44922</v>
      </c>
      <c r="C556" s="1" t="n">
        <v>45730</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296-2023</t>
        </is>
      </c>
      <c r="B557" s="1" t="n">
        <v>44922</v>
      </c>
      <c r="C557" s="1" t="n">
        <v>45730</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12-2023</t>
        </is>
      </c>
      <c r="B558" s="1" t="n">
        <v>44927</v>
      </c>
      <c r="C558" s="1" t="n">
        <v>45730</v>
      </c>
      <c r="D558" t="inlineStr">
        <is>
          <t>JÄMTLANDS LÄN</t>
        </is>
      </c>
      <c r="E558" t="inlineStr">
        <is>
          <t>ÖSTERSUND</t>
        </is>
      </c>
      <c r="G558" t="n">
        <v>4.7</v>
      </c>
      <c r="H558" t="n">
        <v>0</v>
      </c>
      <c r="I558" t="n">
        <v>0</v>
      </c>
      <c r="J558" t="n">
        <v>0</v>
      </c>
      <c r="K558" t="n">
        <v>0</v>
      </c>
      <c r="L558" t="n">
        <v>0</v>
      </c>
      <c r="M558" t="n">
        <v>0</v>
      </c>
      <c r="N558" t="n">
        <v>0</v>
      </c>
      <c r="O558" t="n">
        <v>0</v>
      </c>
      <c r="P558" t="n">
        <v>0</v>
      </c>
      <c r="Q558" t="n">
        <v>0</v>
      </c>
      <c r="R558" s="2" t="inlineStr"/>
    </row>
    <row r="559" ht="15" customHeight="1">
      <c r="A559" t="inlineStr">
        <is>
          <t>A 257-2023</t>
        </is>
      </c>
      <c r="B559" s="1" t="n">
        <v>44928</v>
      </c>
      <c r="C559" s="1" t="n">
        <v>45730</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55-2023</t>
        </is>
      </c>
      <c r="B560" s="1" t="n">
        <v>44928</v>
      </c>
      <c r="C560" s="1" t="n">
        <v>45730</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1234-2023</t>
        </is>
      </c>
      <c r="B561" s="1" t="n">
        <v>44936</v>
      </c>
      <c r="C561" s="1" t="n">
        <v>45730</v>
      </c>
      <c r="D561" t="inlineStr">
        <is>
          <t>JÄMTLANDS LÄN</t>
        </is>
      </c>
      <c r="E561" t="inlineStr">
        <is>
          <t>ÖSTERSUND</t>
        </is>
      </c>
      <c r="G561" t="n">
        <v>2.3</v>
      </c>
      <c r="H561" t="n">
        <v>0</v>
      </c>
      <c r="I561" t="n">
        <v>0</v>
      </c>
      <c r="J561" t="n">
        <v>0</v>
      </c>
      <c r="K561" t="n">
        <v>0</v>
      </c>
      <c r="L561" t="n">
        <v>0</v>
      </c>
      <c r="M561" t="n">
        <v>0</v>
      </c>
      <c r="N561" t="n">
        <v>0</v>
      </c>
      <c r="O561" t="n">
        <v>0</v>
      </c>
      <c r="P561" t="n">
        <v>0</v>
      </c>
      <c r="Q561" t="n">
        <v>0</v>
      </c>
      <c r="R561" s="2" t="inlineStr"/>
    </row>
    <row r="562" ht="15" customHeight="1">
      <c r="A562" t="inlineStr">
        <is>
          <t>A 1893-2023</t>
        </is>
      </c>
      <c r="B562" s="1" t="n">
        <v>44937</v>
      </c>
      <c r="C562" s="1" t="n">
        <v>45730</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2420-2023</t>
        </is>
      </c>
      <c r="B563" s="1" t="n">
        <v>44943</v>
      </c>
      <c r="C563" s="1" t="n">
        <v>45730</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3339-2023</t>
        </is>
      </c>
      <c r="B564" s="1" t="n">
        <v>44949</v>
      </c>
      <c r="C564" s="1" t="n">
        <v>45730</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3749-2023</t>
        </is>
      </c>
      <c r="B565" s="1" t="n">
        <v>44949</v>
      </c>
      <c r="C565" s="1" t="n">
        <v>45730</v>
      </c>
      <c r="D565" t="inlineStr">
        <is>
          <t>JÄMTLANDS LÄN</t>
        </is>
      </c>
      <c r="E565" t="inlineStr">
        <is>
          <t>ÖSTERSUND</t>
        </is>
      </c>
      <c r="G565" t="n">
        <v>0.2</v>
      </c>
      <c r="H565" t="n">
        <v>0</v>
      </c>
      <c r="I565" t="n">
        <v>0</v>
      </c>
      <c r="J565" t="n">
        <v>0</v>
      </c>
      <c r="K565" t="n">
        <v>0</v>
      </c>
      <c r="L565" t="n">
        <v>0</v>
      </c>
      <c r="M565" t="n">
        <v>0</v>
      </c>
      <c r="N565" t="n">
        <v>0</v>
      </c>
      <c r="O565" t="n">
        <v>0</v>
      </c>
      <c r="P565" t="n">
        <v>0</v>
      </c>
      <c r="Q565" t="n">
        <v>0</v>
      </c>
      <c r="R565" s="2" t="inlineStr"/>
    </row>
    <row r="566" ht="15" customHeight="1">
      <c r="A566" t="inlineStr">
        <is>
          <t>A 3949-2023</t>
        </is>
      </c>
      <c r="B566" s="1" t="n">
        <v>44950</v>
      </c>
      <c r="C566" s="1" t="n">
        <v>45730</v>
      </c>
      <c r="D566" t="inlineStr">
        <is>
          <t>JÄMTLANDS LÄN</t>
        </is>
      </c>
      <c r="E566" t="inlineStr">
        <is>
          <t>ÖSTERSUND</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4134-2023</t>
        </is>
      </c>
      <c r="B567" s="1" t="n">
        <v>44952</v>
      </c>
      <c r="C567" s="1" t="n">
        <v>45730</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4135-2023</t>
        </is>
      </c>
      <c r="B568" s="1" t="n">
        <v>44952</v>
      </c>
      <c r="C568" s="1" t="n">
        <v>45730</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4136-2023</t>
        </is>
      </c>
      <c r="B569" s="1" t="n">
        <v>44952</v>
      </c>
      <c r="C569" s="1" t="n">
        <v>45730</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4345-2023</t>
        </is>
      </c>
      <c r="B570" s="1" t="n">
        <v>44954</v>
      </c>
      <c r="C570" s="1" t="n">
        <v>45730</v>
      </c>
      <c r="D570" t="inlineStr">
        <is>
          <t>JÄMTLANDS LÄN</t>
        </is>
      </c>
      <c r="E570" t="inlineStr">
        <is>
          <t>ÖSTERSUND</t>
        </is>
      </c>
      <c r="F570" t="inlineStr">
        <is>
          <t>SCA</t>
        </is>
      </c>
      <c r="G570" t="n">
        <v>7.5</v>
      </c>
      <c r="H570" t="n">
        <v>0</v>
      </c>
      <c r="I570" t="n">
        <v>0</v>
      </c>
      <c r="J570" t="n">
        <v>0</v>
      </c>
      <c r="K570" t="n">
        <v>0</v>
      </c>
      <c r="L570" t="n">
        <v>0</v>
      </c>
      <c r="M570" t="n">
        <v>0</v>
      </c>
      <c r="N570" t="n">
        <v>0</v>
      </c>
      <c r="O570" t="n">
        <v>0</v>
      </c>
      <c r="P570" t="n">
        <v>0</v>
      </c>
      <c r="Q570" t="n">
        <v>0</v>
      </c>
      <c r="R570" s="2" t="inlineStr"/>
    </row>
    <row r="571" ht="15" customHeight="1">
      <c r="A571" t="inlineStr">
        <is>
          <t>A 5197-2023</t>
        </is>
      </c>
      <c r="B571" s="1" t="n">
        <v>44953</v>
      </c>
      <c r="C571" s="1" t="n">
        <v>45730</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4872-2023</t>
        </is>
      </c>
      <c r="B572" s="1" t="n">
        <v>44957</v>
      </c>
      <c r="C572" s="1" t="n">
        <v>45730</v>
      </c>
      <c r="D572" t="inlineStr">
        <is>
          <t>JÄMTLANDS LÄN</t>
        </is>
      </c>
      <c r="E572" t="inlineStr">
        <is>
          <t>ÖSTERSUND</t>
        </is>
      </c>
      <c r="G572" t="n">
        <v>10.7</v>
      </c>
      <c r="H572" t="n">
        <v>0</v>
      </c>
      <c r="I572" t="n">
        <v>0</v>
      </c>
      <c r="J572" t="n">
        <v>0</v>
      </c>
      <c r="K572" t="n">
        <v>0</v>
      </c>
      <c r="L572" t="n">
        <v>0</v>
      </c>
      <c r="M572" t="n">
        <v>0</v>
      </c>
      <c r="N572" t="n">
        <v>0</v>
      </c>
      <c r="O572" t="n">
        <v>0</v>
      </c>
      <c r="P572" t="n">
        <v>0</v>
      </c>
      <c r="Q572" t="n">
        <v>0</v>
      </c>
      <c r="R572" s="2" t="inlineStr"/>
    </row>
    <row r="573" ht="15" customHeight="1">
      <c r="A573" t="inlineStr">
        <is>
          <t>A 5951-2023</t>
        </is>
      </c>
      <c r="B573" s="1" t="n">
        <v>44963</v>
      </c>
      <c r="C573" s="1" t="n">
        <v>45730</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5950-2023</t>
        </is>
      </c>
      <c r="B574" s="1" t="n">
        <v>44963</v>
      </c>
      <c r="C574" s="1" t="n">
        <v>45730</v>
      </c>
      <c r="D574" t="inlineStr">
        <is>
          <t>JÄMTLANDS LÄN</t>
        </is>
      </c>
      <c r="E574" t="inlineStr">
        <is>
          <t>ÖSTERSUND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6341-2023</t>
        </is>
      </c>
      <c r="B575" s="1" t="n">
        <v>44965</v>
      </c>
      <c r="C575" s="1" t="n">
        <v>45730</v>
      </c>
      <c r="D575" t="inlineStr">
        <is>
          <t>JÄMTLANDS LÄN</t>
        </is>
      </c>
      <c r="E575" t="inlineStr">
        <is>
          <t>ÖSTERSUND</t>
        </is>
      </c>
      <c r="G575" t="n">
        <v>6</v>
      </c>
      <c r="H575" t="n">
        <v>0</v>
      </c>
      <c r="I575" t="n">
        <v>0</v>
      </c>
      <c r="J575" t="n">
        <v>0</v>
      </c>
      <c r="K575" t="n">
        <v>0</v>
      </c>
      <c r="L575" t="n">
        <v>0</v>
      </c>
      <c r="M575" t="n">
        <v>0</v>
      </c>
      <c r="N575" t="n">
        <v>0</v>
      </c>
      <c r="O575" t="n">
        <v>0</v>
      </c>
      <c r="P575" t="n">
        <v>0</v>
      </c>
      <c r="Q575" t="n">
        <v>0</v>
      </c>
      <c r="R575" s="2" t="inlineStr"/>
    </row>
    <row r="576" ht="15" customHeight="1">
      <c r="A576" t="inlineStr">
        <is>
          <t>A 7327-2023</t>
        </is>
      </c>
      <c r="B576" s="1" t="n">
        <v>44971</v>
      </c>
      <c r="C576" s="1" t="n">
        <v>45730</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7983-2023</t>
        </is>
      </c>
      <c r="B577" s="1" t="n">
        <v>44970</v>
      </c>
      <c r="C577" s="1" t="n">
        <v>45730</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8223-2023</t>
        </is>
      </c>
      <c r="B578" s="1" t="n">
        <v>44971</v>
      </c>
      <c r="C578" s="1" t="n">
        <v>45730</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8423-2023</t>
        </is>
      </c>
      <c r="B579" s="1" t="n">
        <v>44977</v>
      </c>
      <c r="C579" s="1" t="n">
        <v>45730</v>
      </c>
      <c r="D579" t="inlineStr">
        <is>
          <t>JÄMTLANDS LÄN</t>
        </is>
      </c>
      <c r="E579" t="inlineStr">
        <is>
          <t>ÖSTERSUND</t>
        </is>
      </c>
      <c r="F579" t="inlineStr">
        <is>
          <t>Övriga Aktiebolag</t>
        </is>
      </c>
      <c r="G579" t="n">
        <v>53.1</v>
      </c>
      <c r="H579" t="n">
        <v>0</v>
      </c>
      <c r="I579" t="n">
        <v>0</v>
      </c>
      <c r="J579" t="n">
        <v>0</v>
      </c>
      <c r="K579" t="n">
        <v>0</v>
      </c>
      <c r="L579" t="n">
        <v>0</v>
      </c>
      <c r="M579" t="n">
        <v>0</v>
      </c>
      <c r="N579" t="n">
        <v>0</v>
      </c>
      <c r="O579" t="n">
        <v>0</v>
      </c>
      <c r="P579" t="n">
        <v>0</v>
      </c>
      <c r="Q579" t="n">
        <v>0</v>
      </c>
      <c r="R579" s="2" t="inlineStr"/>
    </row>
    <row r="580" ht="15" customHeight="1">
      <c r="A580" t="inlineStr">
        <is>
          <t>A 8675-2023</t>
        </is>
      </c>
      <c r="B580" s="1" t="n">
        <v>44978</v>
      </c>
      <c r="C580" s="1" t="n">
        <v>45730</v>
      </c>
      <c r="D580" t="inlineStr">
        <is>
          <t>JÄMTLANDS LÄN</t>
        </is>
      </c>
      <c r="E580" t="inlineStr">
        <is>
          <t>ÖSTERSUND</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10306-2023</t>
        </is>
      </c>
      <c r="B581" s="1" t="n">
        <v>44986</v>
      </c>
      <c r="C581" s="1" t="n">
        <v>45730</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10308-2023</t>
        </is>
      </c>
      <c r="B582" s="1" t="n">
        <v>44986</v>
      </c>
      <c r="C582" s="1" t="n">
        <v>45730</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10307-2023</t>
        </is>
      </c>
      <c r="B583" s="1" t="n">
        <v>44986</v>
      </c>
      <c r="C583" s="1" t="n">
        <v>45730</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10315-2023</t>
        </is>
      </c>
      <c r="B584" s="1" t="n">
        <v>44986</v>
      </c>
      <c r="C584" s="1" t="n">
        <v>45730</v>
      </c>
      <c r="D584" t="inlineStr">
        <is>
          <t>JÄMTLANDS LÄN</t>
        </is>
      </c>
      <c r="E584" t="inlineStr">
        <is>
          <t>ÖSTERSUND</t>
        </is>
      </c>
      <c r="F584" t="inlineStr">
        <is>
          <t>SCA</t>
        </is>
      </c>
      <c r="G584" t="n">
        <v>6.7</v>
      </c>
      <c r="H584" t="n">
        <v>0</v>
      </c>
      <c r="I584" t="n">
        <v>0</v>
      </c>
      <c r="J584" t="n">
        <v>0</v>
      </c>
      <c r="K584" t="n">
        <v>0</v>
      </c>
      <c r="L584" t="n">
        <v>0</v>
      </c>
      <c r="M584" t="n">
        <v>0</v>
      </c>
      <c r="N584" t="n">
        <v>0</v>
      </c>
      <c r="O584" t="n">
        <v>0</v>
      </c>
      <c r="P584" t="n">
        <v>0</v>
      </c>
      <c r="Q584" t="n">
        <v>0</v>
      </c>
      <c r="R584" s="2" t="inlineStr"/>
    </row>
    <row r="585" ht="15" customHeight="1">
      <c r="A585" t="inlineStr">
        <is>
          <t>A 10305-2023</t>
        </is>
      </c>
      <c r="B585" s="1" t="n">
        <v>44986</v>
      </c>
      <c r="C585" s="1" t="n">
        <v>45730</v>
      </c>
      <c r="D585" t="inlineStr">
        <is>
          <t>JÄMTLANDS LÄN</t>
        </is>
      </c>
      <c r="E585" t="inlineStr">
        <is>
          <t>ÖSTERSUND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11356-2023</t>
        </is>
      </c>
      <c r="B586" s="1" t="n">
        <v>44993</v>
      </c>
      <c r="C586" s="1" t="n">
        <v>45730</v>
      </c>
      <c r="D586" t="inlineStr">
        <is>
          <t>JÄMTLANDS LÄN</t>
        </is>
      </c>
      <c r="E586" t="inlineStr">
        <is>
          <t>ÖSTERSUND</t>
        </is>
      </c>
      <c r="G586" t="n">
        <v>8.1</v>
      </c>
      <c r="H586" t="n">
        <v>0</v>
      </c>
      <c r="I586" t="n">
        <v>0</v>
      </c>
      <c r="J586" t="n">
        <v>0</v>
      </c>
      <c r="K586" t="n">
        <v>0</v>
      </c>
      <c r="L586" t="n">
        <v>0</v>
      </c>
      <c r="M586" t="n">
        <v>0</v>
      </c>
      <c r="N586" t="n">
        <v>0</v>
      </c>
      <c r="O586" t="n">
        <v>0</v>
      </c>
      <c r="P586" t="n">
        <v>0</v>
      </c>
      <c r="Q586" t="n">
        <v>0</v>
      </c>
      <c r="R586" s="2" t="inlineStr"/>
    </row>
    <row r="587" ht="15" customHeight="1">
      <c r="A587" t="inlineStr">
        <is>
          <t>A 12821-2023</t>
        </is>
      </c>
      <c r="B587" s="1" t="n">
        <v>45000</v>
      </c>
      <c r="C587" s="1" t="n">
        <v>45730</v>
      </c>
      <c r="D587" t="inlineStr">
        <is>
          <t>JÄMTLANDS LÄN</t>
        </is>
      </c>
      <c r="E587" t="inlineStr">
        <is>
          <t>ÖSTERSUND</t>
        </is>
      </c>
      <c r="G587" t="n">
        <v>0.7</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45730</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13148-2023</t>
        </is>
      </c>
      <c r="B589" s="1" t="n">
        <v>45002</v>
      </c>
      <c r="C589" s="1" t="n">
        <v>45730</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13152-2023</t>
        </is>
      </c>
      <c r="B590" s="1" t="n">
        <v>45002</v>
      </c>
      <c r="C590" s="1" t="n">
        <v>45730</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13282-2023</t>
        </is>
      </c>
      <c r="B591" s="1" t="n">
        <v>45004</v>
      </c>
      <c r="C591" s="1" t="n">
        <v>45730</v>
      </c>
      <c r="D591" t="inlineStr">
        <is>
          <t>JÄMTLANDS LÄN</t>
        </is>
      </c>
      <c r="E591" t="inlineStr">
        <is>
          <t>ÖSTERSUND</t>
        </is>
      </c>
      <c r="G591" t="n">
        <v>28.5</v>
      </c>
      <c r="H591" t="n">
        <v>0</v>
      </c>
      <c r="I591" t="n">
        <v>0</v>
      </c>
      <c r="J591" t="n">
        <v>0</v>
      </c>
      <c r="K591" t="n">
        <v>0</v>
      </c>
      <c r="L591" t="n">
        <v>0</v>
      </c>
      <c r="M591" t="n">
        <v>0</v>
      </c>
      <c r="N591" t="n">
        <v>0</v>
      </c>
      <c r="O591" t="n">
        <v>0</v>
      </c>
      <c r="P591" t="n">
        <v>0</v>
      </c>
      <c r="Q591" t="n">
        <v>0</v>
      </c>
      <c r="R591" s="2" t="inlineStr"/>
    </row>
    <row r="592" ht="15" customHeight="1">
      <c r="A592" t="inlineStr">
        <is>
          <t>A 13921-2023</t>
        </is>
      </c>
      <c r="B592" s="1" t="n">
        <v>45008</v>
      </c>
      <c r="C592" s="1" t="n">
        <v>45730</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14520-2023</t>
        </is>
      </c>
      <c r="B593" s="1" t="n">
        <v>45012</v>
      </c>
      <c r="C593" s="1" t="n">
        <v>45730</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45730</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14521-2023</t>
        </is>
      </c>
      <c r="B595" s="1" t="n">
        <v>45013</v>
      </c>
      <c r="C595" s="1" t="n">
        <v>45730</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14518-2023</t>
        </is>
      </c>
      <c r="B596" s="1" t="n">
        <v>45012</v>
      </c>
      <c r="C596" s="1" t="n">
        <v>45730</v>
      </c>
      <c r="D596" t="inlineStr">
        <is>
          <t>JÄMTLANDS LÄN</t>
        </is>
      </c>
      <c r="E596" t="inlineStr">
        <is>
          <t>ÖSTERSUND</t>
        </is>
      </c>
      <c r="G596" t="n">
        <v>14.4</v>
      </c>
      <c r="H596" t="n">
        <v>0</v>
      </c>
      <c r="I596" t="n">
        <v>0</v>
      </c>
      <c r="J596" t="n">
        <v>0</v>
      </c>
      <c r="K596" t="n">
        <v>0</v>
      </c>
      <c r="L596" t="n">
        <v>0</v>
      </c>
      <c r="M596" t="n">
        <v>0</v>
      </c>
      <c r="N596" t="n">
        <v>0</v>
      </c>
      <c r="O596" t="n">
        <v>0</v>
      </c>
      <c r="P596" t="n">
        <v>0</v>
      </c>
      <c r="Q596" t="n">
        <v>0</v>
      </c>
      <c r="R596" s="2" t="inlineStr"/>
    </row>
    <row r="597" ht="15" customHeight="1">
      <c r="A597" t="inlineStr">
        <is>
          <t>A 15984-2023</t>
        </is>
      </c>
      <c r="B597" s="1" t="n">
        <v>45022</v>
      </c>
      <c r="C597" s="1" t="n">
        <v>45730</v>
      </c>
      <c r="D597" t="inlineStr">
        <is>
          <t>JÄMTLANDS LÄN</t>
        </is>
      </c>
      <c r="E597" t="inlineStr">
        <is>
          <t>ÖSTERSUND</t>
        </is>
      </c>
      <c r="F597" t="inlineStr">
        <is>
          <t>SCA</t>
        </is>
      </c>
      <c r="G597" t="n">
        <v>10.1</v>
      </c>
      <c r="H597" t="n">
        <v>0</v>
      </c>
      <c r="I597" t="n">
        <v>0</v>
      </c>
      <c r="J597" t="n">
        <v>0</v>
      </c>
      <c r="K597" t="n">
        <v>0</v>
      </c>
      <c r="L597" t="n">
        <v>0</v>
      </c>
      <c r="M597" t="n">
        <v>0</v>
      </c>
      <c r="N597" t="n">
        <v>0</v>
      </c>
      <c r="O597" t="n">
        <v>0</v>
      </c>
      <c r="P597" t="n">
        <v>0</v>
      </c>
      <c r="Q597" t="n">
        <v>0</v>
      </c>
      <c r="R597" s="2" t="inlineStr"/>
    </row>
    <row r="598" ht="15" customHeight="1">
      <c r="A598" t="inlineStr">
        <is>
          <t>A 16666-2023</t>
        </is>
      </c>
      <c r="B598" s="1" t="n">
        <v>45028</v>
      </c>
      <c r="C598" s="1" t="n">
        <v>45730</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45730</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17225-2023</t>
        </is>
      </c>
      <c r="B600" s="1" t="n">
        <v>45035</v>
      </c>
      <c r="C600" s="1" t="n">
        <v>45730</v>
      </c>
      <c r="D600" t="inlineStr">
        <is>
          <t>JÄMTLANDS LÄN</t>
        </is>
      </c>
      <c r="E600" t="inlineStr">
        <is>
          <t>ÖSTERSUND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19573-2023</t>
        </is>
      </c>
      <c r="B601" s="1" t="n">
        <v>45049</v>
      </c>
      <c r="C601" s="1" t="n">
        <v>45730</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19750-2023</t>
        </is>
      </c>
      <c r="B602" s="1" t="n">
        <v>45050</v>
      </c>
      <c r="C602" s="1" t="n">
        <v>45730</v>
      </c>
      <c r="D602" t="inlineStr">
        <is>
          <t>JÄMTLANDS LÄN</t>
        </is>
      </c>
      <c r="E602" t="inlineStr">
        <is>
          <t>ÖSTERSUND</t>
        </is>
      </c>
      <c r="G602" t="n">
        <v>3.2</v>
      </c>
      <c r="H602" t="n">
        <v>0</v>
      </c>
      <c r="I602" t="n">
        <v>0</v>
      </c>
      <c r="J602" t="n">
        <v>0</v>
      </c>
      <c r="K602" t="n">
        <v>0</v>
      </c>
      <c r="L602" t="n">
        <v>0</v>
      </c>
      <c r="M602" t="n">
        <v>0</v>
      </c>
      <c r="N602" t="n">
        <v>0</v>
      </c>
      <c r="O602" t="n">
        <v>0</v>
      </c>
      <c r="P602" t="n">
        <v>0</v>
      </c>
      <c r="Q602" t="n">
        <v>0</v>
      </c>
      <c r="R602" s="2" t="inlineStr"/>
    </row>
    <row r="603" ht="15" customHeight="1">
      <c r="A603" t="inlineStr">
        <is>
          <t>A 20606-2023</t>
        </is>
      </c>
      <c r="B603" s="1" t="n">
        <v>45057</v>
      </c>
      <c r="C603" s="1" t="n">
        <v>45730</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20634-2023</t>
        </is>
      </c>
      <c r="B604" s="1" t="n">
        <v>45058</v>
      </c>
      <c r="C604" s="1" t="n">
        <v>45730</v>
      </c>
      <c r="D604" t="inlineStr">
        <is>
          <t>JÄMTLANDS LÄN</t>
        </is>
      </c>
      <c r="E604" t="inlineStr">
        <is>
          <t>ÖSTERSUND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20588-2023</t>
        </is>
      </c>
      <c r="B605" s="1" t="n">
        <v>45057</v>
      </c>
      <c r="C605" s="1" t="n">
        <v>45730</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20635-2023</t>
        </is>
      </c>
      <c r="B606" s="1" t="n">
        <v>45058</v>
      </c>
      <c r="C606" s="1" t="n">
        <v>45730</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20633-2023</t>
        </is>
      </c>
      <c r="B607" s="1" t="n">
        <v>45058</v>
      </c>
      <c r="C607" s="1" t="n">
        <v>45730</v>
      </c>
      <c r="D607" t="inlineStr">
        <is>
          <t>JÄMTLANDS LÄN</t>
        </is>
      </c>
      <c r="E607" t="inlineStr">
        <is>
          <t>ÖSTERSUND</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20636-2023</t>
        </is>
      </c>
      <c r="B608" s="1" t="n">
        <v>45058</v>
      </c>
      <c r="C608" s="1" t="n">
        <v>45730</v>
      </c>
      <c r="D608" t="inlineStr">
        <is>
          <t>JÄMTLANDS LÄN</t>
        </is>
      </c>
      <c r="E608" t="inlineStr">
        <is>
          <t>ÖSTERSUND</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24515-2023</t>
        </is>
      </c>
      <c r="B609" s="1" t="n">
        <v>45077</v>
      </c>
      <c r="C609" s="1" t="n">
        <v>45730</v>
      </c>
      <c r="D609" t="inlineStr">
        <is>
          <t>JÄMTLANDS LÄN</t>
        </is>
      </c>
      <c r="E609" t="inlineStr">
        <is>
          <t>ÖSTERSUND</t>
        </is>
      </c>
      <c r="G609" t="n">
        <v>27.8</v>
      </c>
      <c r="H609" t="n">
        <v>0</v>
      </c>
      <c r="I609" t="n">
        <v>0</v>
      </c>
      <c r="J609" t="n">
        <v>0</v>
      </c>
      <c r="K609" t="n">
        <v>0</v>
      </c>
      <c r="L609" t="n">
        <v>0</v>
      </c>
      <c r="M609" t="n">
        <v>0</v>
      </c>
      <c r="N609" t="n">
        <v>0</v>
      </c>
      <c r="O609" t="n">
        <v>0</v>
      </c>
      <c r="P609" t="n">
        <v>0</v>
      </c>
      <c r="Q609" t="n">
        <v>0</v>
      </c>
      <c r="R609" s="2" t="inlineStr"/>
    </row>
    <row r="610" ht="15" customHeight="1">
      <c r="A610" t="inlineStr">
        <is>
          <t>A 24396-2023</t>
        </is>
      </c>
      <c r="B610" s="1" t="n">
        <v>45082</v>
      </c>
      <c r="C610" s="1" t="n">
        <v>45730</v>
      </c>
      <c r="D610" t="inlineStr">
        <is>
          <t>JÄMTLANDS LÄN</t>
        </is>
      </c>
      <c r="E610" t="inlineStr">
        <is>
          <t>ÖSTERSUND</t>
        </is>
      </c>
      <c r="F610" t="inlineStr">
        <is>
          <t>Kyrkan</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25727-2023</t>
        </is>
      </c>
      <c r="B611" s="1" t="n">
        <v>45084</v>
      </c>
      <c r="C611" s="1" t="n">
        <v>45730</v>
      </c>
      <c r="D611" t="inlineStr">
        <is>
          <t>JÄMTLANDS LÄN</t>
        </is>
      </c>
      <c r="E611" t="inlineStr">
        <is>
          <t>ÖSTERSUND</t>
        </is>
      </c>
      <c r="G611" t="n">
        <v>1.1</v>
      </c>
      <c r="H611" t="n">
        <v>0</v>
      </c>
      <c r="I611" t="n">
        <v>0</v>
      </c>
      <c r="J611" t="n">
        <v>0</v>
      </c>
      <c r="K611" t="n">
        <v>0</v>
      </c>
      <c r="L611" t="n">
        <v>0</v>
      </c>
      <c r="M611" t="n">
        <v>0</v>
      </c>
      <c r="N611" t="n">
        <v>0</v>
      </c>
      <c r="O611" t="n">
        <v>0</v>
      </c>
      <c r="P611" t="n">
        <v>0</v>
      </c>
      <c r="Q611" t="n">
        <v>0</v>
      </c>
      <c r="R611" s="2" t="inlineStr"/>
    </row>
    <row r="612" ht="15" customHeight="1">
      <c r="A612" t="inlineStr">
        <is>
          <t>A 25866-2023</t>
        </is>
      </c>
      <c r="B612" s="1" t="n">
        <v>45084</v>
      </c>
      <c r="C612" s="1" t="n">
        <v>45730</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25496-2023</t>
        </is>
      </c>
      <c r="B613" s="1" t="n">
        <v>45089</v>
      </c>
      <c r="C613" s="1" t="n">
        <v>45730</v>
      </c>
      <c r="D613" t="inlineStr">
        <is>
          <t>JÄMTLANDS LÄN</t>
        </is>
      </c>
      <c r="E613" t="inlineStr">
        <is>
          <t>ÖSTERSUND</t>
        </is>
      </c>
      <c r="F613" t="inlineStr">
        <is>
          <t>Kyrkan</t>
        </is>
      </c>
      <c r="G613" t="n">
        <v>5.7</v>
      </c>
      <c r="H613" t="n">
        <v>0</v>
      </c>
      <c r="I613" t="n">
        <v>0</v>
      </c>
      <c r="J613" t="n">
        <v>0</v>
      </c>
      <c r="K613" t="n">
        <v>0</v>
      </c>
      <c r="L613" t="n">
        <v>0</v>
      </c>
      <c r="M613" t="n">
        <v>0</v>
      </c>
      <c r="N613" t="n">
        <v>0</v>
      </c>
      <c r="O613" t="n">
        <v>0</v>
      </c>
      <c r="P613" t="n">
        <v>0</v>
      </c>
      <c r="Q613" t="n">
        <v>0</v>
      </c>
      <c r="R613" s="2" t="inlineStr"/>
    </row>
    <row r="614" ht="15" customHeight="1">
      <c r="A614" t="inlineStr">
        <is>
          <t>A 25535-2023</t>
        </is>
      </c>
      <c r="B614" s="1" t="n">
        <v>45089</v>
      </c>
      <c r="C614" s="1" t="n">
        <v>45730</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25514-2023</t>
        </is>
      </c>
      <c r="B615" s="1" t="n">
        <v>45089</v>
      </c>
      <c r="C615" s="1" t="n">
        <v>45730</v>
      </c>
      <c r="D615" t="inlineStr">
        <is>
          <t>JÄMTLANDS LÄN</t>
        </is>
      </c>
      <c r="E615" t="inlineStr">
        <is>
          <t>ÖSTERSUND</t>
        </is>
      </c>
      <c r="F615" t="inlineStr">
        <is>
          <t>Kyrkan</t>
        </is>
      </c>
      <c r="G615" t="n">
        <v>6.7</v>
      </c>
      <c r="H615" t="n">
        <v>0</v>
      </c>
      <c r="I615" t="n">
        <v>0</v>
      </c>
      <c r="J615" t="n">
        <v>0</v>
      </c>
      <c r="K615" t="n">
        <v>0</v>
      </c>
      <c r="L615" t="n">
        <v>0</v>
      </c>
      <c r="M615" t="n">
        <v>0</v>
      </c>
      <c r="N615" t="n">
        <v>0</v>
      </c>
      <c r="O615" t="n">
        <v>0</v>
      </c>
      <c r="P615" t="n">
        <v>0</v>
      </c>
      <c r="Q615" t="n">
        <v>0</v>
      </c>
      <c r="R615" s="2" t="inlineStr"/>
    </row>
    <row r="616" ht="15" customHeight="1">
      <c r="A616" t="inlineStr">
        <is>
          <t>A 26565-2023</t>
        </is>
      </c>
      <c r="B616" s="1" t="n">
        <v>45089</v>
      </c>
      <c r="C616" s="1" t="n">
        <v>45730</v>
      </c>
      <c r="D616" t="inlineStr">
        <is>
          <t>JÄMTLANDS LÄN</t>
        </is>
      </c>
      <c r="E616" t="inlineStr">
        <is>
          <t>ÖSTERSUND</t>
        </is>
      </c>
      <c r="G616" t="n">
        <v>5.2</v>
      </c>
      <c r="H616" t="n">
        <v>0</v>
      </c>
      <c r="I616" t="n">
        <v>0</v>
      </c>
      <c r="J616" t="n">
        <v>0</v>
      </c>
      <c r="K616" t="n">
        <v>0</v>
      </c>
      <c r="L616" t="n">
        <v>0</v>
      </c>
      <c r="M616" t="n">
        <v>0</v>
      </c>
      <c r="N616" t="n">
        <v>0</v>
      </c>
      <c r="O616" t="n">
        <v>0</v>
      </c>
      <c r="P616" t="n">
        <v>0</v>
      </c>
      <c r="Q616" t="n">
        <v>0</v>
      </c>
      <c r="R616" s="2" t="inlineStr"/>
    </row>
    <row r="617" ht="15" customHeight="1">
      <c r="A617" t="inlineStr">
        <is>
          <t>A 26521-2023</t>
        </is>
      </c>
      <c r="B617" s="1" t="n">
        <v>45089</v>
      </c>
      <c r="C617" s="1" t="n">
        <v>45730</v>
      </c>
      <c r="D617" t="inlineStr">
        <is>
          <t>JÄMTLANDS LÄN</t>
        </is>
      </c>
      <c r="E617" t="inlineStr">
        <is>
          <t>ÖSTERSUND</t>
        </is>
      </c>
      <c r="G617" t="n">
        <v>11.7</v>
      </c>
      <c r="H617" t="n">
        <v>0</v>
      </c>
      <c r="I617" t="n">
        <v>0</v>
      </c>
      <c r="J617" t="n">
        <v>0</v>
      </c>
      <c r="K617" t="n">
        <v>0</v>
      </c>
      <c r="L617" t="n">
        <v>0</v>
      </c>
      <c r="M617" t="n">
        <v>0</v>
      </c>
      <c r="N617" t="n">
        <v>0</v>
      </c>
      <c r="O617" t="n">
        <v>0</v>
      </c>
      <c r="P617" t="n">
        <v>0</v>
      </c>
      <c r="Q617" t="n">
        <v>0</v>
      </c>
      <c r="R617" s="2" t="inlineStr"/>
    </row>
    <row r="618" ht="15" customHeight="1">
      <c r="A618" t="inlineStr">
        <is>
          <t>A 25789-2023</t>
        </is>
      </c>
      <c r="B618" s="1" t="n">
        <v>45090</v>
      </c>
      <c r="C618" s="1" t="n">
        <v>45730</v>
      </c>
      <c r="D618" t="inlineStr">
        <is>
          <t>JÄMTLANDS LÄN</t>
        </is>
      </c>
      <c r="E618" t="inlineStr">
        <is>
          <t>ÖSTERSUND</t>
        </is>
      </c>
      <c r="G618" t="n">
        <v>3.1</v>
      </c>
      <c r="H618" t="n">
        <v>0</v>
      </c>
      <c r="I618" t="n">
        <v>0</v>
      </c>
      <c r="J618" t="n">
        <v>0</v>
      </c>
      <c r="K618" t="n">
        <v>0</v>
      </c>
      <c r="L618" t="n">
        <v>0</v>
      </c>
      <c r="M618" t="n">
        <v>0</v>
      </c>
      <c r="N618" t="n">
        <v>0</v>
      </c>
      <c r="O618" t="n">
        <v>0</v>
      </c>
      <c r="P618" t="n">
        <v>0</v>
      </c>
      <c r="Q618" t="n">
        <v>0</v>
      </c>
      <c r="R618" s="2" t="inlineStr"/>
    </row>
    <row r="619" ht="15" customHeight="1">
      <c r="A619" t="inlineStr">
        <is>
          <t>A 26012-2023</t>
        </is>
      </c>
      <c r="B619" s="1" t="n">
        <v>45091</v>
      </c>
      <c r="C619" s="1" t="n">
        <v>45730</v>
      </c>
      <c r="D619" t="inlineStr">
        <is>
          <t>JÄMTLANDS LÄN</t>
        </is>
      </c>
      <c r="E619" t="inlineStr">
        <is>
          <t>ÖSTERSUND</t>
        </is>
      </c>
      <c r="G619" t="n">
        <v>3.6</v>
      </c>
      <c r="H619" t="n">
        <v>0</v>
      </c>
      <c r="I619" t="n">
        <v>0</v>
      </c>
      <c r="J619" t="n">
        <v>0</v>
      </c>
      <c r="K619" t="n">
        <v>0</v>
      </c>
      <c r="L619" t="n">
        <v>0</v>
      </c>
      <c r="M619" t="n">
        <v>0</v>
      </c>
      <c r="N619" t="n">
        <v>0</v>
      </c>
      <c r="O619" t="n">
        <v>0</v>
      </c>
      <c r="P619" t="n">
        <v>0</v>
      </c>
      <c r="Q619" t="n">
        <v>0</v>
      </c>
      <c r="R619" s="2" t="inlineStr"/>
    </row>
    <row r="620" ht="15" customHeight="1">
      <c r="A620" t="inlineStr">
        <is>
          <t>A 27294-2023</t>
        </is>
      </c>
      <c r="B620" s="1" t="n">
        <v>45092</v>
      </c>
      <c r="C620" s="1" t="n">
        <v>45730</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27004-2023</t>
        </is>
      </c>
      <c r="B621" s="1" t="n">
        <v>45094</v>
      </c>
      <c r="C621" s="1" t="n">
        <v>45730</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27124-2023</t>
        </is>
      </c>
      <c r="B622" s="1" t="n">
        <v>45096</v>
      </c>
      <c r="C622" s="1" t="n">
        <v>45730</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27118-2023</t>
        </is>
      </c>
      <c r="B623" s="1" t="n">
        <v>45096</v>
      </c>
      <c r="C623" s="1" t="n">
        <v>45730</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27130-2023</t>
        </is>
      </c>
      <c r="B624" s="1" t="n">
        <v>45096</v>
      </c>
      <c r="C624" s="1" t="n">
        <v>45730</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29548-2023</t>
        </is>
      </c>
      <c r="B625" s="1" t="n">
        <v>45098</v>
      </c>
      <c r="C625" s="1" t="n">
        <v>45730</v>
      </c>
      <c r="D625" t="inlineStr">
        <is>
          <t>JÄMTLANDS LÄN</t>
        </is>
      </c>
      <c r="E625" t="inlineStr">
        <is>
          <t>ÖSTERSUND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30244-2023</t>
        </is>
      </c>
      <c r="B626" s="1" t="n">
        <v>45099</v>
      </c>
      <c r="C626" s="1" t="n">
        <v>45730</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30262-2023</t>
        </is>
      </c>
      <c r="B627" s="1" t="n">
        <v>45099</v>
      </c>
      <c r="C627" s="1" t="n">
        <v>45730</v>
      </c>
      <c r="D627" t="inlineStr">
        <is>
          <t>JÄMTLANDS LÄN</t>
        </is>
      </c>
      <c r="E627" t="inlineStr">
        <is>
          <t>ÖSTERSUND</t>
        </is>
      </c>
      <c r="G627" t="n">
        <v>5.2</v>
      </c>
      <c r="H627" t="n">
        <v>0</v>
      </c>
      <c r="I627" t="n">
        <v>0</v>
      </c>
      <c r="J627" t="n">
        <v>0</v>
      </c>
      <c r="K627" t="n">
        <v>0</v>
      </c>
      <c r="L627" t="n">
        <v>0</v>
      </c>
      <c r="M627" t="n">
        <v>0</v>
      </c>
      <c r="N627" t="n">
        <v>0</v>
      </c>
      <c r="O627" t="n">
        <v>0</v>
      </c>
      <c r="P627" t="n">
        <v>0</v>
      </c>
      <c r="Q627" t="n">
        <v>0</v>
      </c>
      <c r="R627" s="2" t="inlineStr"/>
    </row>
    <row r="628" ht="15" customHeight="1">
      <c r="A628" t="inlineStr">
        <is>
          <t>A 30255-2023</t>
        </is>
      </c>
      <c r="B628" s="1" t="n">
        <v>45099</v>
      </c>
      <c r="C628" s="1" t="n">
        <v>45730</v>
      </c>
      <c r="D628" t="inlineStr">
        <is>
          <t>JÄMTLANDS LÄN</t>
        </is>
      </c>
      <c r="E628" t="inlineStr">
        <is>
          <t>ÖSTERSUND</t>
        </is>
      </c>
      <c r="G628" t="n">
        <v>20.2</v>
      </c>
      <c r="H628" t="n">
        <v>0</v>
      </c>
      <c r="I628" t="n">
        <v>0</v>
      </c>
      <c r="J628" t="n">
        <v>0</v>
      </c>
      <c r="K628" t="n">
        <v>0</v>
      </c>
      <c r="L628" t="n">
        <v>0</v>
      </c>
      <c r="M628" t="n">
        <v>0</v>
      </c>
      <c r="N628" t="n">
        <v>0</v>
      </c>
      <c r="O628" t="n">
        <v>0</v>
      </c>
      <c r="P628" t="n">
        <v>0</v>
      </c>
      <c r="Q628" t="n">
        <v>0</v>
      </c>
      <c r="R628" s="2" t="inlineStr"/>
    </row>
    <row r="629" ht="15" customHeight="1">
      <c r="A629" t="inlineStr">
        <is>
          <t>A 30264-2023</t>
        </is>
      </c>
      <c r="B629" s="1" t="n">
        <v>45099</v>
      </c>
      <c r="C629" s="1" t="n">
        <v>45730</v>
      </c>
      <c r="D629" t="inlineStr">
        <is>
          <t>JÄMTLANDS LÄN</t>
        </is>
      </c>
      <c r="E629" t="inlineStr">
        <is>
          <t>ÖSTERSUND</t>
        </is>
      </c>
      <c r="G629" t="n">
        <v>10</v>
      </c>
      <c r="H629" t="n">
        <v>0</v>
      </c>
      <c r="I629" t="n">
        <v>0</v>
      </c>
      <c r="J629" t="n">
        <v>0</v>
      </c>
      <c r="K629" t="n">
        <v>0</v>
      </c>
      <c r="L629" t="n">
        <v>0</v>
      </c>
      <c r="M629" t="n">
        <v>0</v>
      </c>
      <c r="N629" t="n">
        <v>0</v>
      </c>
      <c r="O629" t="n">
        <v>0</v>
      </c>
      <c r="P629" t="n">
        <v>0</v>
      </c>
      <c r="Q629" t="n">
        <v>0</v>
      </c>
      <c r="R629" s="2" t="inlineStr"/>
    </row>
    <row r="630" ht="15" customHeight="1">
      <c r="A630" t="inlineStr">
        <is>
          <t>A 30206-2023</t>
        </is>
      </c>
      <c r="B630" s="1" t="n">
        <v>45099</v>
      </c>
      <c r="C630" s="1" t="n">
        <v>45730</v>
      </c>
      <c r="D630" t="inlineStr">
        <is>
          <t>JÄMTLANDS LÄN</t>
        </is>
      </c>
      <c r="E630" t="inlineStr">
        <is>
          <t>ÖSTERSUND</t>
        </is>
      </c>
      <c r="G630" t="n">
        <v>3.9</v>
      </c>
      <c r="H630" t="n">
        <v>0</v>
      </c>
      <c r="I630" t="n">
        <v>0</v>
      </c>
      <c r="J630" t="n">
        <v>0</v>
      </c>
      <c r="K630" t="n">
        <v>0</v>
      </c>
      <c r="L630" t="n">
        <v>0</v>
      </c>
      <c r="M630" t="n">
        <v>0</v>
      </c>
      <c r="N630" t="n">
        <v>0</v>
      </c>
      <c r="O630" t="n">
        <v>0</v>
      </c>
      <c r="P630" t="n">
        <v>0</v>
      </c>
      <c r="Q630" t="n">
        <v>0</v>
      </c>
      <c r="R630" s="2" t="inlineStr"/>
    </row>
    <row r="631" ht="15" customHeight="1">
      <c r="A631" t="inlineStr">
        <is>
          <t>A 30236-2023</t>
        </is>
      </c>
      <c r="B631" s="1" t="n">
        <v>45099</v>
      </c>
      <c r="C631" s="1" t="n">
        <v>45730</v>
      </c>
      <c r="D631" t="inlineStr">
        <is>
          <t>JÄMTLANDS LÄN</t>
        </is>
      </c>
      <c r="E631" t="inlineStr">
        <is>
          <t>ÖSTERSUND</t>
        </is>
      </c>
      <c r="G631" t="n">
        <v>3.5</v>
      </c>
      <c r="H631" t="n">
        <v>0</v>
      </c>
      <c r="I631" t="n">
        <v>0</v>
      </c>
      <c r="J631" t="n">
        <v>0</v>
      </c>
      <c r="K631" t="n">
        <v>0</v>
      </c>
      <c r="L631" t="n">
        <v>0</v>
      </c>
      <c r="M631" t="n">
        <v>0</v>
      </c>
      <c r="N631" t="n">
        <v>0</v>
      </c>
      <c r="O631" t="n">
        <v>0</v>
      </c>
      <c r="P631" t="n">
        <v>0</v>
      </c>
      <c r="Q631" t="n">
        <v>0</v>
      </c>
      <c r="R631" s="2" t="inlineStr"/>
    </row>
    <row r="632" ht="15" customHeight="1">
      <c r="A632" t="inlineStr">
        <is>
          <t>A 28747-2023</t>
        </is>
      </c>
      <c r="B632" s="1" t="n">
        <v>45103</v>
      </c>
      <c r="C632" s="1" t="n">
        <v>45730</v>
      </c>
      <c r="D632" t="inlineStr">
        <is>
          <t>JÄMTLANDS LÄN</t>
        </is>
      </c>
      <c r="E632" t="inlineStr">
        <is>
          <t>ÖSTERSUND</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31870-2023</t>
        </is>
      </c>
      <c r="B633" s="1" t="n">
        <v>45106</v>
      </c>
      <c r="C633" s="1" t="n">
        <v>45730</v>
      </c>
      <c r="D633" t="inlineStr">
        <is>
          <t>JÄMTLANDS LÄN</t>
        </is>
      </c>
      <c r="E633" t="inlineStr">
        <is>
          <t>ÖSTERSUND</t>
        </is>
      </c>
      <c r="G633" t="n">
        <v>2.4</v>
      </c>
      <c r="H633" t="n">
        <v>0</v>
      </c>
      <c r="I633" t="n">
        <v>0</v>
      </c>
      <c r="J633" t="n">
        <v>0</v>
      </c>
      <c r="K633" t="n">
        <v>0</v>
      </c>
      <c r="L633" t="n">
        <v>0</v>
      </c>
      <c r="M633" t="n">
        <v>0</v>
      </c>
      <c r="N633" t="n">
        <v>0</v>
      </c>
      <c r="O633" t="n">
        <v>0</v>
      </c>
      <c r="P633" t="n">
        <v>0</v>
      </c>
      <c r="Q633" t="n">
        <v>0</v>
      </c>
      <c r="R633" s="2" t="inlineStr"/>
    </row>
    <row r="634" ht="15" customHeight="1">
      <c r="A634" t="inlineStr">
        <is>
          <t>A 29703-2023</t>
        </is>
      </c>
      <c r="B634" s="1" t="n">
        <v>45107</v>
      </c>
      <c r="C634" s="1" t="n">
        <v>45730</v>
      </c>
      <c r="D634" t="inlineStr">
        <is>
          <t>JÄMTLANDS LÄN</t>
        </is>
      </c>
      <c r="E634" t="inlineStr">
        <is>
          <t>ÖSTERSUND</t>
        </is>
      </c>
      <c r="G634" t="n">
        <v>0.3</v>
      </c>
      <c r="H634" t="n">
        <v>0</v>
      </c>
      <c r="I634" t="n">
        <v>0</v>
      </c>
      <c r="J634" t="n">
        <v>0</v>
      </c>
      <c r="K634" t="n">
        <v>0</v>
      </c>
      <c r="L634" t="n">
        <v>0</v>
      </c>
      <c r="M634" t="n">
        <v>0</v>
      </c>
      <c r="N634" t="n">
        <v>0</v>
      </c>
      <c r="O634" t="n">
        <v>0</v>
      </c>
      <c r="P634" t="n">
        <v>0</v>
      </c>
      <c r="Q634" t="n">
        <v>0</v>
      </c>
      <c r="R634" s="2" t="inlineStr"/>
    </row>
    <row r="635" ht="15" customHeight="1">
      <c r="A635" t="inlineStr">
        <is>
          <t>A 29682-2023</t>
        </is>
      </c>
      <c r="B635" s="1" t="n">
        <v>45107</v>
      </c>
      <c r="C635" s="1" t="n">
        <v>45730</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30602-2023</t>
        </is>
      </c>
      <c r="B636" s="1" t="n">
        <v>45112</v>
      </c>
      <c r="C636" s="1" t="n">
        <v>45730</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31551-2023</t>
        </is>
      </c>
      <c r="B637" s="1" t="n">
        <v>45117</v>
      </c>
      <c r="C637" s="1" t="n">
        <v>45730</v>
      </c>
      <c r="D637" t="inlineStr">
        <is>
          <t>JÄMTLANDS LÄN</t>
        </is>
      </c>
      <c r="E637" t="inlineStr">
        <is>
          <t>ÖSTERSUND</t>
        </is>
      </c>
      <c r="G637" t="n">
        <v>0.6</v>
      </c>
      <c r="H637" t="n">
        <v>0</v>
      </c>
      <c r="I637" t="n">
        <v>0</v>
      </c>
      <c r="J637" t="n">
        <v>0</v>
      </c>
      <c r="K637" t="n">
        <v>0</v>
      </c>
      <c r="L637" t="n">
        <v>0</v>
      </c>
      <c r="M637" t="n">
        <v>0</v>
      </c>
      <c r="N637" t="n">
        <v>0</v>
      </c>
      <c r="O637" t="n">
        <v>0</v>
      </c>
      <c r="P637" t="n">
        <v>0</v>
      </c>
      <c r="Q637" t="n">
        <v>0</v>
      </c>
      <c r="R637" s="2" t="inlineStr"/>
    </row>
    <row r="638" ht="15" customHeight="1">
      <c r="A638" t="inlineStr">
        <is>
          <t>A 31600-2023</t>
        </is>
      </c>
      <c r="B638" s="1" t="n">
        <v>45117</v>
      </c>
      <c r="C638" s="1" t="n">
        <v>45730</v>
      </c>
      <c r="D638" t="inlineStr">
        <is>
          <t>JÄMTLANDS LÄN</t>
        </is>
      </c>
      <c r="E638" t="inlineStr">
        <is>
          <t>ÖSTERSUND</t>
        </is>
      </c>
      <c r="F638" t="inlineStr">
        <is>
          <t>Övriga Aktiebolag</t>
        </is>
      </c>
      <c r="G638" t="n">
        <v>2.7</v>
      </c>
      <c r="H638" t="n">
        <v>0</v>
      </c>
      <c r="I638" t="n">
        <v>0</v>
      </c>
      <c r="J638" t="n">
        <v>0</v>
      </c>
      <c r="K638" t="n">
        <v>0</v>
      </c>
      <c r="L638" t="n">
        <v>0</v>
      </c>
      <c r="M638" t="n">
        <v>0</v>
      </c>
      <c r="N638" t="n">
        <v>0</v>
      </c>
      <c r="O638" t="n">
        <v>0</v>
      </c>
      <c r="P638" t="n">
        <v>0</v>
      </c>
      <c r="Q638" t="n">
        <v>0</v>
      </c>
      <c r="R638" s="2" t="inlineStr"/>
    </row>
    <row r="639" ht="15" customHeight="1">
      <c r="A639" t="inlineStr">
        <is>
          <t>A 31549-2023</t>
        </is>
      </c>
      <c r="B639" s="1" t="n">
        <v>45117</v>
      </c>
      <c r="C639" s="1" t="n">
        <v>45730</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33501-2023</t>
        </is>
      </c>
      <c r="B640" s="1" t="n">
        <v>45118</v>
      </c>
      <c r="C640" s="1" t="n">
        <v>45730</v>
      </c>
      <c r="D640" t="inlineStr">
        <is>
          <t>JÄMTLANDS LÄN</t>
        </is>
      </c>
      <c r="E640" t="inlineStr">
        <is>
          <t>ÖSTERSUND</t>
        </is>
      </c>
      <c r="G640" t="n">
        <v>5.8</v>
      </c>
      <c r="H640" t="n">
        <v>0</v>
      </c>
      <c r="I640" t="n">
        <v>0</v>
      </c>
      <c r="J640" t="n">
        <v>0</v>
      </c>
      <c r="K640" t="n">
        <v>0</v>
      </c>
      <c r="L640" t="n">
        <v>0</v>
      </c>
      <c r="M640" t="n">
        <v>0</v>
      </c>
      <c r="N640" t="n">
        <v>0</v>
      </c>
      <c r="O640" t="n">
        <v>0</v>
      </c>
      <c r="P640" t="n">
        <v>0</v>
      </c>
      <c r="Q640" t="n">
        <v>0</v>
      </c>
      <c r="R640" s="2" t="inlineStr"/>
    </row>
    <row r="641" ht="15" customHeight="1">
      <c r="A641" t="inlineStr">
        <is>
          <t>A 33502-2023</t>
        </is>
      </c>
      <c r="B641" s="1" t="n">
        <v>45118</v>
      </c>
      <c r="C641" s="1" t="n">
        <v>45730</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32568-2023</t>
        </is>
      </c>
      <c r="B642" s="1" t="n">
        <v>45121</v>
      </c>
      <c r="C642" s="1" t="n">
        <v>45730</v>
      </c>
      <c r="D642" t="inlineStr">
        <is>
          <t>JÄMTLANDS LÄN</t>
        </is>
      </c>
      <c r="E642" t="inlineStr">
        <is>
          <t>ÖSTERSUND</t>
        </is>
      </c>
      <c r="G642" t="n">
        <v>14.9</v>
      </c>
      <c r="H642" t="n">
        <v>0</v>
      </c>
      <c r="I642" t="n">
        <v>0</v>
      </c>
      <c r="J642" t="n">
        <v>0</v>
      </c>
      <c r="K642" t="n">
        <v>0</v>
      </c>
      <c r="L642" t="n">
        <v>0</v>
      </c>
      <c r="M642" t="n">
        <v>0</v>
      </c>
      <c r="N642" t="n">
        <v>0</v>
      </c>
      <c r="O642" t="n">
        <v>0</v>
      </c>
      <c r="P642" t="n">
        <v>0</v>
      </c>
      <c r="Q642" t="n">
        <v>0</v>
      </c>
      <c r="R642" s="2" t="inlineStr"/>
    </row>
    <row r="643" ht="15" customHeight="1">
      <c r="A643" t="inlineStr">
        <is>
          <t>A 34052-2023</t>
        </is>
      </c>
      <c r="B643" s="1" t="n">
        <v>45125</v>
      </c>
      <c r="C643" s="1" t="n">
        <v>45730</v>
      </c>
      <c r="D643" t="inlineStr">
        <is>
          <t>JÄMTLANDS LÄN</t>
        </is>
      </c>
      <c r="E643" t="inlineStr">
        <is>
          <t>ÖSTERSUND</t>
        </is>
      </c>
      <c r="G643" t="n">
        <v>4</v>
      </c>
      <c r="H643" t="n">
        <v>0</v>
      </c>
      <c r="I643" t="n">
        <v>0</v>
      </c>
      <c r="J643" t="n">
        <v>0</v>
      </c>
      <c r="K643" t="n">
        <v>0</v>
      </c>
      <c r="L643" t="n">
        <v>0</v>
      </c>
      <c r="M643" t="n">
        <v>0</v>
      </c>
      <c r="N643" t="n">
        <v>0</v>
      </c>
      <c r="O643" t="n">
        <v>0</v>
      </c>
      <c r="P643" t="n">
        <v>0</v>
      </c>
      <c r="Q643" t="n">
        <v>0</v>
      </c>
      <c r="R643" s="2" t="inlineStr"/>
    </row>
    <row r="644" ht="15" customHeight="1">
      <c r="A644" t="inlineStr">
        <is>
          <t>A 33875-2023</t>
        </is>
      </c>
      <c r="B644" s="1" t="n">
        <v>45134</v>
      </c>
      <c r="C644" s="1" t="n">
        <v>45730</v>
      </c>
      <c r="D644" t="inlineStr">
        <is>
          <t>JÄMTLANDS LÄN</t>
        </is>
      </c>
      <c r="E644" t="inlineStr">
        <is>
          <t>ÖSTERSUND</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34482-2023</t>
        </is>
      </c>
      <c r="B645" s="1" t="n">
        <v>45140</v>
      </c>
      <c r="C645" s="1" t="n">
        <v>45730</v>
      </c>
      <c r="D645" t="inlineStr">
        <is>
          <t>JÄMTLANDS LÄN</t>
        </is>
      </c>
      <c r="E645" t="inlineStr">
        <is>
          <t>ÖSTERSUND</t>
        </is>
      </c>
      <c r="F645" t="inlineStr">
        <is>
          <t>SCA</t>
        </is>
      </c>
      <c r="G645" t="n">
        <v>50</v>
      </c>
      <c r="H645" t="n">
        <v>0</v>
      </c>
      <c r="I645" t="n">
        <v>0</v>
      </c>
      <c r="J645" t="n">
        <v>0</v>
      </c>
      <c r="K645" t="n">
        <v>0</v>
      </c>
      <c r="L645" t="n">
        <v>0</v>
      </c>
      <c r="M645" t="n">
        <v>0</v>
      </c>
      <c r="N645" t="n">
        <v>0</v>
      </c>
      <c r="O645" t="n">
        <v>0</v>
      </c>
      <c r="P645" t="n">
        <v>0</v>
      </c>
      <c r="Q645" t="n">
        <v>0</v>
      </c>
      <c r="R645" s="2" t="inlineStr"/>
    </row>
    <row r="646" ht="15" customHeight="1">
      <c r="A646" t="inlineStr">
        <is>
          <t>A 34688-2023</t>
        </is>
      </c>
      <c r="B646" s="1" t="n">
        <v>45141</v>
      </c>
      <c r="C646" s="1" t="n">
        <v>45730</v>
      </c>
      <c r="D646" t="inlineStr">
        <is>
          <t>JÄMTLANDS LÄN</t>
        </is>
      </c>
      <c r="E646" t="inlineStr">
        <is>
          <t>ÖSTERSUND</t>
        </is>
      </c>
      <c r="G646" t="n">
        <v>7.4</v>
      </c>
      <c r="H646" t="n">
        <v>0</v>
      </c>
      <c r="I646" t="n">
        <v>0</v>
      </c>
      <c r="J646" t="n">
        <v>0</v>
      </c>
      <c r="K646" t="n">
        <v>0</v>
      </c>
      <c r="L646" t="n">
        <v>0</v>
      </c>
      <c r="M646" t="n">
        <v>0</v>
      </c>
      <c r="N646" t="n">
        <v>0</v>
      </c>
      <c r="O646" t="n">
        <v>0</v>
      </c>
      <c r="P646" t="n">
        <v>0</v>
      </c>
      <c r="Q646" t="n">
        <v>0</v>
      </c>
      <c r="R646" s="2" t="inlineStr"/>
    </row>
    <row r="647" ht="15" customHeight="1">
      <c r="A647" t="inlineStr">
        <is>
          <t>A 36406-2023</t>
        </is>
      </c>
      <c r="B647" s="1" t="n">
        <v>45149</v>
      </c>
      <c r="C647" s="1" t="n">
        <v>45730</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37140-2023</t>
        </is>
      </c>
      <c r="B648" s="1" t="n">
        <v>45154</v>
      </c>
      <c r="C648" s="1" t="n">
        <v>45730</v>
      </c>
      <c r="D648" t="inlineStr">
        <is>
          <t>JÄMTLANDS LÄN</t>
        </is>
      </c>
      <c r="E648" t="inlineStr">
        <is>
          <t>ÖSTERSUND</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37597-2023</t>
        </is>
      </c>
      <c r="B649" s="1" t="n">
        <v>45159</v>
      </c>
      <c r="C649" s="1" t="n">
        <v>45730</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37645-2023</t>
        </is>
      </c>
      <c r="B650" s="1" t="n">
        <v>45159</v>
      </c>
      <c r="C650" s="1" t="n">
        <v>45730</v>
      </c>
      <c r="D650" t="inlineStr">
        <is>
          <t>JÄMTLANDS LÄN</t>
        </is>
      </c>
      <c r="E650" t="inlineStr">
        <is>
          <t>ÖSTERSUND</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38335-2023</t>
        </is>
      </c>
      <c r="B651" s="1" t="n">
        <v>45161</v>
      </c>
      <c r="C651" s="1" t="n">
        <v>45730</v>
      </c>
      <c r="D651" t="inlineStr">
        <is>
          <t>JÄMTLANDS LÄN</t>
        </is>
      </c>
      <c r="E651" t="inlineStr">
        <is>
          <t>ÖSTERSUND</t>
        </is>
      </c>
      <c r="G651" t="n">
        <v>15.1</v>
      </c>
      <c r="H651" t="n">
        <v>0</v>
      </c>
      <c r="I651" t="n">
        <v>0</v>
      </c>
      <c r="J651" t="n">
        <v>0</v>
      </c>
      <c r="K651" t="n">
        <v>0</v>
      </c>
      <c r="L651" t="n">
        <v>0</v>
      </c>
      <c r="M651" t="n">
        <v>0</v>
      </c>
      <c r="N651" t="n">
        <v>0</v>
      </c>
      <c r="O651" t="n">
        <v>0</v>
      </c>
      <c r="P651" t="n">
        <v>0</v>
      </c>
      <c r="Q651" t="n">
        <v>0</v>
      </c>
      <c r="R651" s="2" t="inlineStr"/>
    </row>
    <row r="652" ht="15" customHeight="1">
      <c r="A652" t="inlineStr">
        <is>
          <t>A 38713-2023</t>
        </is>
      </c>
      <c r="B652" s="1" t="n">
        <v>45163</v>
      </c>
      <c r="C652" s="1" t="n">
        <v>45730</v>
      </c>
      <c r="D652" t="inlineStr">
        <is>
          <t>JÄMTLANDS LÄN</t>
        </is>
      </c>
      <c r="E652" t="inlineStr">
        <is>
          <t>ÖSTERSUND</t>
        </is>
      </c>
      <c r="G652" t="n">
        <v>6</v>
      </c>
      <c r="H652" t="n">
        <v>0</v>
      </c>
      <c r="I652" t="n">
        <v>0</v>
      </c>
      <c r="J652" t="n">
        <v>0</v>
      </c>
      <c r="K652" t="n">
        <v>0</v>
      </c>
      <c r="L652" t="n">
        <v>0</v>
      </c>
      <c r="M652" t="n">
        <v>0</v>
      </c>
      <c r="N652" t="n">
        <v>0</v>
      </c>
      <c r="O652" t="n">
        <v>0</v>
      </c>
      <c r="P652" t="n">
        <v>0</v>
      </c>
      <c r="Q652" t="n">
        <v>0</v>
      </c>
      <c r="R652" s="2" t="inlineStr"/>
    </row>
    <row r="653" ht="15" customHeight="1">
      <c r="A653" t="inlineStr">
        <is>
          <t>A 39494-2023</t>
        </is>
      </c>
      <c r="B653" s="1" t="n">
        <v>45166</v>
      </c>
      <c r="C653" s="1" t="n">
        <v>45730</v>
      </c>
      <c r="D653" t="inlineStr">
        <is>
          <t>JÄMTLANDS LÄN</t>
        </is>
      </c>
      <c r="E653" t="inlineStr">
        <is>
          <t>ÖSTERSUND</t>
        </is>
      </c>
      <c r="F653" t="inlineStr">
        <is>
          <t>SCA</t>
        </is>
      </c>
      <c r="G653" t="n">
        <v>8.1</v>
      </c>
      <c r="H653" t="n">
        <v>0</v>
      </c>
      <c r="I653" t="n">
        <v>0</v>
      </c>
      <c r="J653" t="n">
        <v>0</v>
      </c>
      <c r="K653" t="n">
        <v>0</v>
      </c>
      <c r="L653" t="n">
        <v>0</v>
      </c>
      <c r="M653" t="n">
        <v>0</v>
      </c>
      <c r="N653" t="n">
        <v>0</v>
      </c>
      <c r="O653" t="n">
        <v>0</v>
      </c>
      <c r="P653" t="n">
        <v>0</v>
      </c>
      <c r="Q653" t="n">
        <v>0</v>
      </c>
      <c r="R653" s="2" t="inlineStr"/>
    </row>
    <row r="654" ht="15" customHeight="1">
      <c r="A654" t="inlineStr">
        <is>
          <t>A 39493-2023</t>
        </is>
      </c>
      <c r="B654" s="1" t="n">
        <v>45167</v>
      </c>
      <c r="C654" s="1" t="n">
        <v>45730</v>
      </c>
      <c r="D654" t="inlineStr">
        <is>
          <t>JÄMTLANDS LÄN</t>
        </is>
      </c>
      <c r="E654" t="inlineStr">
        <is>
          <t>ÖSTERSUND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39647-2023</t>
        </is>
      </c>
      <c r="B655" s="1" t="n">
        <v>45167</v>
      </c>
      <c r="C655" s="1" t="n">
        <v>45730</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39652-2023</t>
        </is>
      </c>
      <c r="B656" s="1" t="n">
        <v>45167</v>
      </c>
      <c r="C656" s="1" t="n">
        <v>45730</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39805-2023</t>
        </is>
      </c>
      <c r="B657" s="1" t="n">
        <v>45168</v>
      </c>
      <c r="C657" s="1" t="n">
        <v>45730</v>
      </c>
      <c r="D657" t="inlineStr">
        <is>
          <t>JÄMTLANDS LÄN</t>
        </is>
      </c>
      <c r="E657" t="inlineStr">
        <is>
          <t>ÖSTERSUND</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40423-2023</t>
        </is>
      </c>
      <c r="B658" s="1" t="n">
        <v>45169</v>
      </c>
      <c r="C658" s="1" t="n">
        <v>45730</v>
      </c>
      <c r="D658" t="inlineStr">
        <is>
          <t>JÄMTLANDS LÄN</t>
        </is>
      </c>
      <c r="E658" t="inlineStr">
        <is>
          <t>ÖSTERSUND</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40422-2023</t>
        </is>
      </c>
      <c r="B659" s="1" t="n">
        <v>45170</v>
      </c>
      <c r="C659" s="1" t="n">
        <v>45730</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40792-2023</t>
        </is>
      </c>
      <c r="B660" s="1" t="n">
        <v>45170</v>
      </c>
      <c r="C660" s="1" t="n">
        <v>45730</v>
      </c>
      <c r="D660" t="inlineStr">
        <is>
          <t>JÄMTLANDS LÄN</t>
        </is>
      </c>
      <c r="E660" t="inlineStr">
        <is>
          <t>ÖSTERSUND</t>
        </is>
      </c>
      <c r="G660" t="n">
        <v>22.4</v>
      </c>
      <c r="H660" t="n">
        <v>0</v>
      </c>
      <c r="I660" t="n">
        <v>0</v>
      </c>
      <c r="J660" t="n">
        <v>0</v>
      </c>
      <c r="K660" t="n">
        <v>0</v>
      </c>
      <c r="L660" t="n">
        <v>0</v>
      </c>
      <c r="M660" t="n">
        <v>0</v>
      </c>
      <c r="N660" t="n">
        <v>0</v>
      </c>
      <c r="O660" t="n">
        <v>0</v>
      </c>
      <c r="P660" t="n">
        <v>0</v>
      </c>
      <c r="Q660" t="n">
        <v>0</v>
      </c>
      <c r="R660" s="2" t="inlineStr"/>
    </row>
    <row r="661" ht="15" customHeight="1">
      <c r="A661" t="inlineStr">
        <is>
          <t>A 40772-2023</t>
        </is>
      </c>
      <c r="B661" s="1" t="n">
        <v>45171</v>
      </c>
      <c r="C661" s="1" t="n">
        <v>45730</v>
      </c>
      <c r="D661" t="inlineStr">
        <is>
          <t>JÄMTLANDS LÄN</t>
        </is>
      </c>
      <c r="E661" t="inlineStr">
        <is>
          <t>ÖSTERSUND</t>
        </is>
      </c>
      <c r="F661" t="inlineStr">
        <is>
          <t>SCA</t>
        </is>
      </c>
      <c r="G661" t="n">
        <v>17.6</v>
      </c>
      <c r="H661" t="n">
        <v>0</v>
      </c>
      <c r="I661" t="n">
        <v>0</v>
      </c>
      <c r="J661" t="n">
        <v>0</v>
      </c>
      <c r="K661" t="n">
        <v>0</v>
      </c>
      <c r="L661" t="n">
        <v>0</v>
      </c>
      <c r="M661" t="n">
        <v>0</v>
      </c>
      <c r="N661" t="n">
        <v>0</v>
      </c>
      <c r="O661" t="n">
        <v>0</v>
      </c>
      <c r="P661" t="n">
        <v>0</v>
      </c>
      <c r="Q661" t="n">
        <v>0</v>
      </c>
      <c r="R661" s="2" t="inlineStr"/>
    </row>
    <row r="662" ht="15" customHeight="1">
      <c r="A662" t="inlineStr">
        <is>
          <t>A 41224-2023</t>
        </is>
      </c>
      <c r="B662" s="1" t="n">
        <v>45174</v>
      </c>
      <c r="C662" s="1" t="n">
        <v>45730</v>
      </c>
      <c r="D662" t="inlineStr">
        <is>
          <t>JÄMTLANDS LÄN</t>
        </is>
      </c>
      <c r="E662" t="inlineStr">
        <is>
          <t>ÖSTERSUND</t>
        </is>
      </c>
      <c r="G662" t="n">
        <v>13.3</v>
      </c>
      <c r="H662" t="n">
        <v>0</v>
      </c>
      <c r="I662" t="n">
        <v>0</v>
      </c>
      <c r="J662" t="n">
        <v>0</v>
      </c>
      <c r="K662" t="n">
        <v>0</v>
      </c>
      <c r="L662" t="n">
        <v>0</v>
      </c>
      <c r="M662" t="n">
        <v>0</v>
      </c>
      <c r="N662" t="n">
        <v>0</v>
      </c>
      <c r="O662" t="n">
        <v>0</v>
      </c>
      <c r="P662" t="n">
        <v>0</v>
      </c>
      <c r="Q662" t="n">
        <v>0</v>
      </c>
      <c r="R662" s="2" t="inlineStr"/>
    </row>
    <row r="663" ht="15" customHeight="1">
      <c r="A663" t="inlineStr">
        <is>
          <t>A 41649-2023</t>
        </is>
      </c>
      <c r="B663" s="1" t="n">
        <v>45176</v>
      </c>
      <c r="C663" s="1" t="n">
        <v>45730</v>
      </c>
      <c r="D663" t="inlineStr">
        <is>
          <t>JÄMTLANDS LÄN</t>
        </is>
      </c>
      <c r="E663" t="inlineStr">
        <is>
          <t>ÖSTERSUND</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41919-2023</t>
        </is>
      </c>
      <c r="B664" s="1" t="n">
        <v>45177</v>
      </c>
      <c r="C664" s="1" t="n">
        <v>45730</v>
      </c>
      <c r="D664" t="inlineStr">
        <is>
          <t>JÄMTLANDS LÄN</t>
        </is>
      </c>
      <c r="E664" t="inlineStr">
        <is>
          <t>ÖSTERSUND</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41918-2023</t>
        </is>
      </c>
      <c r="B665" s="1" t="n">
        <v>45177</v>
      </c>
      <c r="C665" s="1" t="n">
        <v>45730</v>
      </c>
      <c r="D665" t="inlineStr">
        <is>
          <t>JÄMTLANDS LÄN</t>
        </is>
      </c>
      <c r="E665" t="inlineStr">
        <is>
          <t>ÖSTERSUND</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41900-2023</t>
        </is>
      </c>
      <c r="B666" s="1" t="n">
        <v>45176</v>
      </c>
      <c r="C666" s="1" t="n">
        <v>45730</v>
      </c>
      <c r="D666" t="inlineStr">
        <is>
          <t>JÄMTLANDS LÄN</t>
        </is>
      </c>
      <c r="E666" t="inlineStr">
        <is>
          <t>ÖSTERSUND</t>
        </is>
      </c>
      <c r="G666" t="n">
        <v>24.4</v>
      </c>
      <c r="H666" t="n">
        <v>0</v>
      </c>
      <c r="I666" t="n">
        <v>0</v>
      </c>
      <c r="J666" t="n">
        <v>0</v>
      </c>
      <c r="K666" t="n">
        <v>0</v>
      </c>
      <c r="L666" t="n">
        <v>0</v>
      </c>
      <c r="M666" t="n">
        <v>0</v>
      </c>
      <c r="N666" t="n">
        <v>0</v>
      </c>
      <c r="O666" t="n">
        <v>0</v>
      </c>
      <c r="P666" t="n">
        <v>0</v>
      </c>
      <c r="Q666" t="n">
        <v>0</v>
      </c>
      <c r="R666" s="2" t="inlineStr"/>
    </row>
    <row r="667" ht="15" customHeight="1">
      <c r="A667" t="inlineStr">
        <is>
          <t>A 42151-2023</t>
        </is>
      </c>
      <c r="B667" s="1" t="n">
        <v>45178</v>
      </c>
      <c r="C667" s="1" t="n">
        <v>45730</v>
      </c>
      <c r="D667" t="inlineStr">
        <is>
          <t>JÄMTLANDS LÄN</t>
        </is>
      </c>
      <c r="E667" t="inlineStr">
        <is>
          <t>ÖSTERSUND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43557-2023</t>
        </is>
      </c>
      <c r="B668" s="1" t="n">
        <v>45181</v>
      </c>
      <c r="C668" s="1" t="n">
        <v>45730</v>
      </c>
      <c r="D668" t="inlineStr">
        <is>
          <t>JÄMTLANDS LÄN</t>
        </is>
      </c>
      <c r="E668" t="inlineStr">
        <is>
          <t>ÖSTERSUND</t>
        </is>
      </c>
      <c r="G668" t="n">
        <v>0.9</v>
      </c>
      <c r="H668" t="n">
        <v>0</v>
      </c>
      <c r="I668" t="n">
        <v>0</v>
      </c>
      <c r="J668" t="n">
        <v>0</v>
      </c>
      <c r="K668" t="n">
        <v>0</v>
      </c>
      <c r="L668" t="n">
        <v>0</v>
      </c>
      <c r="M668" t="n">
        <v>0</v>
      </c>
      <c r="N668" t="n">
        <v>0</v>
      </c>
      <c r="O668" t="n">
        <v>0</v>
      </c>
      <c r="P668" t="n">
        <v>0</v>
      </c>
      <c r="Q668" t="n">
        <v>0</v>
      </c>
      <c r="R668" s="2" t="inlineStr"/>
    </row>
    <row r="669" ht="15" customHeight="1">
      <c r="A669" t="inlineStr">
        <is>
          <t>A 42664-2023</t>
        </is>
      </c>
      <c r="B669" s="1" t="n">
        <v>45181</v>
      </c>
      <c r="C669" s="1" t="n">
        <v>45730</v>
      </c>
      <c r="D669" t="inlineStr">
        <is>
          <t>JÄMTLANDS LÄN</t>
        </is>
      </c>
      <c r="E669" t="inlineStr">
        <is>
          <t>ÖSTERSUND</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42679-2023</t>
        </is>
      </c>
      <c r="B670" s="1" t="n">
        <v>45181</v>
      </c>
      <c r="C670" s="1" t="n">
        <v>45730</v>
      </c>
      <c r="D670" t="inlineStr">
        <is>
          <t>JÄMTLANDS LÄN</t>
        </is>
      </c>
      <c r="E670" t="inlineStr">
        <is>
          <t>ÖSTERSUND</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43740-2023</t>
        </is>
      </c>
      <c r="B671" s="1" t="n">
        <v>45182</v>
      </c>
      <c r="C671" s="1" t="n">
        <v>45730</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43135-2023</t>
        </is>
      </c>
      <c r="B672" s="1" t="n">
        <v>45183</v>
      </c>
      <c r="C672" s="1" t="n">
        <v>45730</v>
      </c>
      <c r="D672" t="inlineStr">
        <is>
          <t>JÄMTLANDS LÄN</t>
        </is>
      </c>
      <c r="E672" t="inlineStr">
        <is>
          <t>ÖSTERSUND</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43252-2023</t>
        </is>
      </c>
      <c r="B673" s="1" t="n">
        <v>45183</v>
      </c>
      <c r="C673" s="1" t="n">
        <v>45730</v>
      </c>
      <c r="D673" t="inlineStr">
        <is>
          <t>JÄMTLANDS LÄN</t>
        </is>
      </c>
      <c r="E673" t="inlineStr">
        <is>
          <t>ÖSTERSUND</t>
        </is>
      </c>
      <c r="G673" t="n">
        <v>2.9</v>
      </c>
      <c r="H673" t="n">
        <v>0</v>
      </c>
      <c r="I673" t="n">
        <v>0</v>
      </c>
      <c r="J673" t="n">
        <v>0</v>
      </c>
      <c r="K673" t="n">
        <v>0</v>
      </c>
      <c r="L673" t="n">
        <v>0</v>
      </c>
      <c r="M673" t="n">
        <v>0</v>
      </c>
      <c r="N673" t="n">
        <v>0</v>
      </c>
      <c r="O673" t="n">
        <v>0</v>
      </c>
      <c r="P673" t="n">
        <v>0</v>
      </c>
      <c r="Q673" t="n">
        <v>0</v>
      </c>
      <c r="R673" s="2" t="inlineStr"/>
    </row>
    <row r="674" ht="15" customHeight="1">
      <c r="A674" t="inlineStr">
        <is>
          <t>A 44327-2023</t>
        </is>
      </c>
      <c r="B674" s="1" t="n">
        <v>45188</v>
      </c>
      <c r="C674" s="1" t="n">
        <v>45730</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44359-2023</t>
        </is>
      </c>
      <c r="B675" s="1" t="n">
        <v>45188</v>
      </c>
      <c r="C675" s="1" t="n">
        <v>45730</v>
      </c>
      <c r="D675" t="inlineStr">
        <is>
          <t>JÄMTLANDS LÄN</t>
        </is>
      </c>
      <c r="E675" t="inlineStr">
        <is>
          <t>ÖSTERSUND</t>
        </is>
      </c>
      <c r="G675" t="n">
        <v>8.1</v>
      </c>
      <c r="H675" t="n">
        <v>0</v>
      </c>
      <c r="I675" t="n">
        <v>0</v>
      </c>
      <c r="J675" t="n">
        <v>0</v>
      </c>
      <c r="K675" t="n">
        <v>0</v>
      </c>
      <c r="L675" t="n">
        <v>0</v>
      </c>
      <c r="M675" t="n">
        <v>0</v>
      </c>
      <c r="N675" t="n">
        <v>0</v>
      </c>
      <c r="O675" t="n">
        <v>0</v>
      </c>
      <c r="P675" t="n">
        <v>0</v>
      </c>
      <c r="Q675" t="n">
        <v>0</v>
      </c>
      <c r="R675" s="2" t="inlineStr"/>
    </row>
    <row r="676" ht="15" customHeight="1">
      <c r="A676" t="inlineStr">
        <is>
          <t>A 45980-2023</t>
        </is>
      </c>
      <c r="B676" s="1" t="n">
        <v>45189</v>
      </c>
      <c r="C676" s="1" t="n">
        <v>45730</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44719-2023</t>
        </is>
      </c>
      <c r="B677" s="1" t="n">
        <v>45190</v>
      </c>
      <c r="C677" s="1" t="n">
        <v>45730</v>
      </c>
      <c r="D677" t="inlineStr">
        <is>
          <t>JÄMTLANDS LÄN</t>
        </is>
      </c>
      <c r="E677" t="inlineStr">
        <is>
          <t>ÖSTERSUND</t>
        </is>
      </c>
      <c r="G677" t="n">
        <v>17.5</v>
      </c>
      <c r="H677" t="n">
        <v>0</v>
      </c>
      <c r="I677" t="n">
        <v>0</v>
      </c>
      <c r="J677" t="n">
        <v>0</v>
      </c>
      <c r="K677" t="n">
        <v>0</v>
      </c>
      <c r="L677" t="n">
        <v>0</v>
      </c>
      <c r="M677" t="n">
        <v>0</v>
      </c>
      <c r="N677" t="n">
        <v>0</v>
      </c>
      <c r="O677" t="n">
        <v>0</v>
      </c>
      <c r="P677" t="n">
        <v>0</v>
      </c>
      <c r="Q677" t="n">
        <v>0</v>
      </c>
      <c r="R677" s="2" t="inlineStr"/>
    </row>
    <row r="678" ht="15" customHeight="1">
      <c r="A678" t="inlineStr">
        <is>
          <t>A 44798-2023</t>
        </is>
      </c>
      <c r="B678" s="1" t="n">
        <v>45190</v>
      </c>
      <c r="C678" s="1" t="n">
        <v>45730</v>
      </c>
      <c r="D678" t="inlineStr">
        <is>
          <t>JÄMTLANDS LÄN</t>
        </is>
      </c>
      <c r="E678" t="inlineStr">
        <is>
          <t>ÖSTERSUND</t>
        </is>
      </c>
      <c r="G678" t="n">
        <v>1.1</v>
      </c>
      <c r="H678" t="n">
        <v>0</v>
      </c>
      <c r="I678" t="n">
        <v>0</v>
      </c>
      <c r="J678" t="n">
        <v>0</v>
      </c>
      <c r="K678" t="n">
        <v>0</v>
      </c>
      <c r="L678" t="n">
        <v>0</v>
      </c>
      <c r="M678" t="n">
        <v>0</v>
      </c>
      <c r="N678" t="n">
        <v>0</v>
      </c>
      <c r="O678" t="n">
        <v>0</v>
      </c>
      <c r="P678" t="n">
        <v>0</v>
      </c>
      <c r="Q678" t="n">
        <v>0</v>
      </c>
      <c r="R678" s="2" t="inlineStr"/>
    </row>
    <row r="679" ht="15" customHeight="1">
      <c r="A679" t="inlineStr">
        <is>
          <t>A 46375-2023</t>
        </is>
      </c>
      <c r="B679" s="1" t="n">
        <v>45197</v>
      </c>
      <c r="C679" s="1" t="n">
        <v>45730</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46763-2023</t>
        </is>
      </c>
      <c r="B680" s="1" t="n">
        <v>45198</v>
      </c>
      <c r="C680" s="1" t="n">
        <v>45730</v>
      </c>
      <c r="D680" t="inlineStr">
        <is>
          <t>JÄMTLANDS LÄN</t>
        </is>
      </c>
      <c r="E680" t="inlineStr">
        <is>
          <t>ÖSTERSUND</t>
        </is>
      </c>
      <c r="F680" t="inlineStr">
        <is>
          <t>Sveaskog</t>
        </is>
      </c>
      <c r="G680" t="n">
        <v>13.3</v>
      </c>
      <c r="H680" t="n">
        <v>0</v>
      </c>
      <c r="I680" t="n">
        <v>0</v>
      </c>
      <c r="J680" t="n">
        <v>0</v>
      </c>
      <c r="K680" t="n">
        <v>0</v>
      </c>
      <c r="L680" t="n">
        <v>0</v>
      </c>
      <c r="M680" t="n">
        <v>0</v>
      </c>
      <c r="N680" t="n">
        <v>0</v>
      </c>
      <c r="O680" t="n">
        <v>0</v>
      </c>
      <c r="P680" t="n">
        <v>0</v>
      </c>
      <c r="Q680" t="n">
        <v>0</v>
      </c>
      <c r="R680" s="2" t="inlineStr"/>
    </row>
    <row r="681" ht="15" customHeight="1">
      <c r="A681" t="inlineStr">
        <is>
          <t>A 46748-2023</t>
        </is>
      </c>
      <c r="B681" s="1" t="n">
        <v>45198</v>
      </c>
      <c r="C681" s="1" t="n">
        <v>45730</v>
      </c>
      <c r="D681" t="inlineStr">
        <is>
          <t>JÄMTLANDS LÄN</t>
        </is>
      </c>
      <c r="E681" t="inlineStr">
        <is>
          <t>ÖSTERSUND</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47086-2023</t>
        </is>
      </c>
      <c r="B682" s="1" t="n">
        <v>45201</v>
      </c>
      <c r="C682" s="1" t="n">
        <v>45730</v>
      </c>
      <c r="D682" t="inlineStr">
        <is>
          <t>JÄMTLANDS LÄN</t>
        </is>
      </c>
      <c r="E682" t="inlineStr">
        <is>
          <t>ÖSTERSUND</t>
        </is>
      </c>
      <c r="G682" t="n">
        <v>12</v>
      </c>
      <c r="H682" t="n">
        <v>0</v>
      </c>
      <c r="I682" t="n">
        <v>0</v>
      </c>
      <c r="J682" t="n">
        <v>0</v>
      </c>
      <c r="K682" t="n">
        <v>0</v>
      </c>
      <c r="L682" t="n">
        <v>0</v>
      </c>
      <c r="M682" t="n">
        <v>0</v>
      </c>
      <c r="N682" t="n">
        <v>0</v>
      </c>
      <c r="O682" t="n">
        <v>0</v>
      </c>
      <c r="P682" t="n">
        <v>0</v>
      </c>
      <c r="Q682" t="n">
        <v>0</v>
      </c>
      <c r="R682" s="2" t="inlineStr"/>
    </row>
    <row r="683" ht="15" customHeight="1">
      <c r="A683" t="inlineStr">
        <is>
          <t>A 47252-2023</t>
        </is>
      </c>
      <c r="B683" s="1" t="n">
        <v>45202</v>
      </c>
      <c r="C683" s="1" t="n">
        <v>45730</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47727-2023</t>
        </is>
      </c>
      <c r="B684" s="1" t="n">
        <v>45203</v>
      </c>
      <c r="C684" s="1" t="n">
        <v>45730</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48374-2023</t>
        </is>
      </c>
      <c r="B685" s="1" t="n">
        <v>45205</v>
      </c>
      <c r="C685" s="1" t="n">
        <v>45730</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50753-2023</t>
        </is>
      </c>
      <c r="B686" s="1" t="n">
        <v>45210</v>
      </c>
      <c r="C686" s="1" t="n">
        <v>45730</v>
      </c>
      <c r="D686" t="inlineStr">
        <is>
          <t>JÄMTLANDS LÄN</t>
        </is>
      </c>
      <c r="E686" t="inlineStr">
        <is>
          <t>ÖSTERSUND</t>
        </is>
      </c>
      <c r="G686" t="n">
        <v>29.3</v>
      </c>
      <c r="H686" t="n">
        <v>0</v>
      </c>
      <c r="I686" t="n">
        <v>0</v>
      </c>
      <c r="J686" t="n">
        <v>0</v>
      </c>
      <c r="K686" t="n">
        <v>0</v>
      </c>
      <c r="L686" t="n">
        <v>0</v>
      </c>
      <c r="M686" t="n">
        <v>0</v>
      </c>
      <c r="N686" t="n">
        <v>0</v>
      </c>
      <c r="O686" t="n">
        <v>0</v>
      </c>
      <c r="P686" t="n">
        <v>0</v>
      </c>
      <c r="Q686" t="n">
        <v>0</v>
      </c>
      <c r="R686" s="2" t="inlineStr"/>
    </row>
    <row r="687" ht="15" customHeight="1">
      <c r="A687" t="inlineStr">
        <is>
          <t>A 50953-2023</t>
        </is>
      </c>
      <c r="B687" s="1" t="n">
        <v>45211</v>
      </c>
      <c r="C687" s="1" t="n">
        <v>45730</v>
      </c>
      <c r="D687" t="inlineStr">
        <is>
          <t>JÄMTLANDS LÄN</t>
        </is>
      </c>
      <c r="E687" t="inlineStr">
        <is>
          <t>ÖSTERSUND</t>
        </is>
      </c>
      <c r="G687" t="n">
        <v>2.2</v>
      </c>
      <c r="H687" t="n">
        <v>0</v>
      </c>
      <c r="I687" t="n">
        <v>0</v>
      </c>
      <c r="J687" t="n">
        <v>0</v>
      </c>
      <c r="K687" t="n">
        <v>0</v>
      </c>
      <c r="L687" t="n">
        <v>0</v>
      </c>
      <c r="M687" t="n">
        <v>0</v>
      </c>
      <c r="N687" t="n">
        <v>0</v>
      </c>
      <c r="O687" t="n">
        <v>0</v>
      </c>
      <c r="P687" t="n">
        <v>0</v>
      </c>
      <c r="Q687" t="n">
        <v>0</v>
      </c>
      <c r="R687" s="2" t="inlineStr"/>
    </row>
    <row r="688" ht="15" customHeight="1">
      <c r="A688" t="inlineStr">
        <is>
          <t>A 51701-2023</t>
        </is>
      </c>
      <c r="B688" s="1" t="n">
        <v>45215</v>
      </c>
      <c r="C688" s="1" t="n">
        <v>45730</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52209-2023</t>
        </is>
      </c>
      <c r="B689" s="1" t="n">
        <v>45217</v>
      </c>
      <c r="C689" s="1" t="n">
        <v>45730</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50965-2023</t>
        </is>
      </c>
      <c r="B690" s="1" t="n">
        <v>45218</v>
      </c>
      <c r="C690" s="1" t="n">
        <v>45730</v>
      </c>
      <c r="D690" t="inlineStr">
        <is>
          <t>JÄMTLANDS LÄN</t>
        </is>
      </c>
      <c r="E690" t="inlineStr">
        <is>
          <t>ÖSTERSUND</t>
        </is>
      </c>
      <c r="G690" t="n">
        <v>3.5</v>
      </c>
      <c r="H690" t="n">
        <v>0</v>
      </c>
      <c r="I690" t="n">
        <v>0</v>
      </c>
      <c r="J690" t="n">
        <v>0</v>
      </c>
      <c r="K690" t="n">
        <v>0</v>
      </c>
      <c r="L690" t="n">
        <v>0</v>
      </c>
      <c r="M690" t="n">
        <v>0</v>
      </c>
      <c r="N690" t="n">
        <v>0</v>
      </c>
      <c r="O690" t="n">
        <v>0</v>
      </c>
      <c r="P690" t="n">
        <v>0</v>
      </c>
      <c r="Q690" t="n">
        <v>0</v>
      </c>
      <c r="R690" s="2" t="inlineStr"/>
    </row>
    <row r="691" ht="15" customHeight="1">
      <c r="A691" t="inlineStr">
        <is>
          <t>A 51480-2023</t>
        </is>
      </c>
      <c r="B691" s="1" t="n">
        <v>45222</v>
      </c>
      <c r="C691" s="1" t="n">
        <v>45730</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51482-2023</t>
        </is>
      </c>
      <c r="B692" s="1" t="n">
        <v>45222</v>
      </c>
      <c r="C692" s="1" t="n">
        <v>45730</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51481-2023</t>
        </is>
      </c>
      <c r="B693" s="1" t="n">
        <v>45222</v>
      </c>
      <c r="C693" s="1" t="n">
        <v>45730</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51479-2023</t>
        </is>
      </c>
      <c r="B694" s="1" t="n">
        <v>45222</v>
      </c>
      <c r="C694" s="1" t="n">
        <v>45730</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53152-2023</t>
        </is>
      </c>
      <c r="B695" s="1" t="n">
        <v>45222</v>
      </c>
      <c r="C695" s="1" t="n">
        <v>45730</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51818-2023</t>
        </is>
      </c>
      <c r="B696" s="1" t="n">
        <v>45223</v>
      </c>
      <c r="C696" s="1" t="n">
        <v>45730</v>
      </c>
      <c r="D696" t="inlineStr">
        <is>
          <t>JÄMTLANDS LÄN</t>
        </is>
      </c>
      <c r="E696" t="inlineStr">
        <is>
          <t>ÖSTERSUND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51913-2023</t>
        </is>
      </c>
      <c r="B697" s="1" t="n">
        <v>45223</v>
      </c>
      <c r="C697" s="1" t="n">
        <v>45730</v>
      </c>
      <c r="D697" t="inlineStr">
        <is>
          <t>JÄMTLANDS LÄN</t>
        </is>
      </c>
      <c r="E697" t="inlineStr">
        <is>
          <t>ÖSTERSUND</t>
        </is>
      </c>
      <c r="F697" t="inlineStr">
        <is>
          <t>Övriga Aktiebolag</t>
        </is>
      </c>
      <c r="G697" t="n">
        <v>3.4</v>
      </c>
      <c r="H697" t="n">
        <v>0</v>
      </c>
      <c r="I697" t="n">
        <v>0</v>
      </c>
      <c r="J697" t="n">
        <v>0</v>
      </c>
      <c r="K697" t="n">
        <v>0</v>
      </c>
      <c r="L697" t="n">
        <v>0</v>
      </c>
      <c r="M697" t="n">
        <v>0</v>
      </c>
      <c r="N697" t="n">
        <v>0</v>
      </c>
      <c r="O697" t="n">
        <v>0</v>
      </c>
      <c r="P697" t="n">
        <v>0</v>
      </c>
      <c r="Q697" t="n">
        <v>0</v>
      </c>
      <c r="R697" s="2" t="inlineStr"/>
    </row>
    <row r="698" ht="15" customHeight="1">
      <c r="A698" t="inlineStr">
        <is>
          <t>A 51942-2023</t>
        </is>
      </c>
      <c r="B698" s="1" t="n">
        <v>45223</v>
      </c>
      <c r="C698" s="1" t="n">
        <v>45730</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52128-2023</t>
        </is>
      </c>
      <c r="B699" s="1" t="n">
        <v>45223</v>
      </c>
      <c r="C699" s="1" t="n">
        <v>45730</v>
      </c>
      <c r="D699" t="inlineStr">
        <is>
          <t>JÄMTLANDS LÄN</t>
        </is>
      </c>
      <c r="E699" t="inlineStr">
        <is>
          <t>ÖSTERSUND</t>
        </is>
      </c>
      <c r="F699" t="inlineStr">
        <is>
          <t>SCA</t>
        </is>
      </c>
      <c r="G699" t="n">
        <v>11.9</v>
      </c>
      <c r="H699" t="n">
        <v>0</v>
      </c>
      <c r="I699" t="n">
        <v>0</v>
      </c>
      <c r="J699" t="n">
        <v>0</v>
      </c>
      <c r="K699" t="n">
        <v>0</v>
      </c>
      <c r="L699" t="n">
        <v>0</v>
      </c>
      <c r="M699" t="n">
        <v>0</v>
      </c>
      <c r="N699" t="n">
        <v>0</v>
      </c>
      <c r="O699" t="n">
        <v>0</v>
      </c>
      <c r="P699" t="n">
        <v>0</v>
      </c>
      <c r="Q699" t="n">
        <v>0</v>
      </c>
      <c r="R699" s="2" t="inlineStr"/>
    </row>
    <row r="700" ht="15" customHeight="1">
      <c r="A700" t="inlineStr">
        <is>
          <t>A 51936-2023</t>
        </is>
      </c>
      <c r="B700" s="1" t="n">
        <v>45223</v>
      </c>
      <c r="C700" s="1" t="n">
        <v>45730</v>
      </c>
      <c r="D700" t="inlineStr">
        <is>
          <t>JÄMTLANDS LÄN</t>
        </is>
      </c>
      <c r="E700" t="inlineStr">
        <is>
          <t>ÖSTERSUND</t>
        </is>
      </c>
      <c r="G700" t="n">
        <v>8.4</v>
      </c>
      <c r="H700" t="n">
        <v>0</v>
      </c>
      <c r="I700" t="n">
        <v>0</v>
      </c>
      <c r="J700" t="n">
        <v>0</v>
      </c>
      <c r="K700" t="n">
        <v>0</v>
      </c>
      <c r="L700" t="n">
        <v>0</v>
      </c>
      <c r="M700" t="n">
        <v>0</v>
      </c>
      <c r="N700" t="n">
        <v>0</v>
      </c>
      <c r="O700" t="n">
        <v>0</v>
      </c>
      <c r="P700" t="n">
        <v>0</v>
      </c>
      <c r="Q700" t="n">
        <v>0</v>
      </c>
      <c r="R700" s="2" t="inlineStr"/>
    </row>
    <row r="701" ht="15" customHeight="1">
      <c r="A701" t="inlineStr">
        <is>
          <t>A 51941-2023</t>
        </is>
      </c>
      <c r="B701" s="1" t="n">
        <v>45223</v>
      </c>
      <c r="C701" s="1" t="n">
        <v>45730</v>
      </c>
      <c r="D701" t="inlineStr">
        <is>
          <t>JÄMTLANDS LÄN</t>
        </is>
      </c>
      <c r="E701" t="inlineStr">
        <is>
          <t>ÖSTERSUND</t>
        </is>
      </c>
      <c r="G701" t="n">
        <v>4.6</v>
      </c>
      <c r="H701" t="n">
        <v>0</v>
      </c>
      <c r="I701" t="n">
        <v>0</v>
      </c>
      <c r="J701" t="n">
        <v>0</v>
      </c>
      <c r="K701" t="n">
        <v>0</v>
      </c>
      <c r="L701" t="n">
        <v>0</v>
      </c>
      <c r="M701" t="n">
        <v>0</v>
      </c>
      <c r="N701" t="n">
        <v>0</v>
      </c>
      <c r="O701" t="n">
        <v>0</v>
      </c>
      <c r="P701" t="n">
        <v>0</v>
      </c>
      <c r="Q701" t="n">
        <v>0</v>
      </c>
      <c r="R701" s="2" t="inlineStr"/>
    </row>
    <row r="702" ht="15" customHeight="1">
      <c r="A702" t="inlineStr">
        <is>
          <t>A 53378-2023</t>
        </is>
      </c>
      <c r="B702" s="1" t="n">
        <v>45223</v>
      </c>
      <c r="C702" s="1" t="n">
        <v>45730</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53380-2023</t>
        </is>
      </c>
      <c r="B703" s="1" t="n">
        <v>45223</v>
      </c>
      <c r="C703" s="1" t="n">
        <v>45730</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52553-2023</t>
        </is>
      </c>
      <c r="B704" s="1" t="n">
        <v>45225</v>
      </c>
      <c r="C704" s="1" t="n">
        <v>45730</v>
      </c>
      <c r="D704" t="inlineStr">
        <is>
          <t>JÄMTLANDS LÄN</t>
        </is>
      </c>
      <c r="E704" t="inlineStr">
        <is>
          <t>ÖSTERSUND</t>
        </is>
      </c>
      <c r="G704" t="n">
        <v>19.9</v>
      </c>
      <c r="H704" t="n">
        <v>0</v>
      </c>
      <c r="I704" t="n">
        <v>0</v>
      </c>
      <c r="J704" t="n">
        <v>0</v>
      </c>
      <c r="K704" t="n">
        <v>0</v>
      </c>
      <c r="L704" t="n">
        <v>0</v>
      </c>
      <c r="M704" t="n">
        <v>0</v>
      </c>
      <c r="N704" t="n">
        <v>0</v>
      </c>
      <c r="O704" t="n">
        <v>0</v>
      </c>
      <c r="P704" t="n">
        <v>0</v>
      </c>
      <c r="Q704" t="n">
        <v>0</v>
      </c>
      <c r="R704" s="2" t="inlineStr"/>
    </row>
    <row r="705" ht="15" customHeight="1">
      <c r="A705" t="inlineStr">
        <is>
          <t>A 55235-2023</t>
        </is>
      </c>
      <c r="B705" s="1" t="n">
        <v>45231</v>
      </c>
      <c r="C705" s="1" t="n">
        <v>45730</v>
      </c>
      <c r="D705" t="inlineStr">
        <is>
          <t>JÄMTLANDS LÄN</t>
        </is>
      </c>
      <c r="E705" t="inlineStr">
        <is>
          <t>ÖSTERSUND</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55251-2023</t>
        </is>
      </c>
      <c r="B706" s="1" t="n">
        <v>45231</v>
      </c>
      <c r="C706" s="1" t="n">
        <v>45730</v>
      </c>
      <c r="D706" t="inlineStr">
        <is>
          <t>JÄMTLANDS LÄN</t>
        </is>
      </c>
      <c r="E706" t="inlineStr">
        <is>
          <t>ÖSTERSUND</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55400-2023</t>
        </is>
      </c>
      <c r="B707" s="1" t="n">
        <v>45231</v>
      </c>
      <c r="C707" s="1" t="n">
        <v>45730</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54131-2023</t>
        </is>
      </c>
      <c r="B708" s="1" t="n">
        <v>45232</v>
      </c>
      <c r="C708" s="1" t="n">
        <v>45730</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54608-2023</t>
        </is>
      </c>
      <c r="B709" s="1" t="n">
        <v>45233</v>
      </c>
      <c r="C709" s="1" t="n">
        <v>45730</v>
      </c>
      <c r="D709" t="inlineStr">
        <is>
          <t>JÄMTLANDS LÄN</t>
        </is>
      </c>
      <c r="E709" t="inlineStr">
        <is>
          <t>ÖSTERSUND</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55996-2023</t>
        </is>
      </c>
      <c r="B710" s="1" t="n">
        <v>45233</v>
      </c>
      <c r="C710" s="1" t="n">
        <v>45730</v>
      </c>
      <c r="D710" t="inlineStr">
        <is>
          <t>JÄMTLANDS LÄN</t>
        </is>
      </c>
      <c r="E710" t="inlineStr">
        <is>
          <t>ÖSTERSUND</t>
        </is>
      </c>
      <c r="G710" t="n">
        <v>2.4</v>
      </c>
      <c r="H710" t="n">
        <v>0</v>
      </c>
      <c r="I710" t="n">
        <v>0</v>
      </c>
      <c r="J710" t="n">
        <v>0</v>
      </c>
      <c r="K710" t="n">
        <v>0</v>
      </c>
      <c r="L710" t="n">
        <v>0</v>
      </c>
      <c r="M710" t="n">
        <v>0</v>
      </c>
      <c r="N710" t="n">
        <v>0</v>
      </c>
      <c r="O710" t="n">
        <v>0</v>
      </c>
      <c r="P710" t="n">
        <v>0</v>
      </c>
      <c r="Q710" t="n">
        <v>0</v>
      </c>
      <c r="R710" s="2" t="inlineStr"/>
    </row>
    <row r="711" ht="15" customHeight="1">
      <c r="A711" t="inlineStr">
        <is>
          <t>A 56043-2023</t>
        </is>
      </c>
      <c r="B711" s="1" t="n">
        <v>45233</v>
      </c>
      <c r="C711" s="1" t="n">
        <v>45730</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54576-2023</t>
        </is>
      </c>
      <c r="B712" s="1" t="n">
        <v>45233</v>
      </c>
      <c r="C712" s="1" t="n">
        <v>45730</v>
      </c>
      <c r="D712" t="inlineStr">
        <is>
          <t>JÄMTLANDS LÄN</t>
        </is>
      </c>
      <c r="E712" t="inlineStr">
        <is>
          <t>ÖSTERSUND</t>
        </is>
      </c>
      <c r="F712" t="inlineStr">
        <is>
          <t>Övriga Aktiebolag</t>
        </is>
      </c>
      <c r="G712" t="n">
        <v>7.3</v>
      </c>
      <c r="H712" t="n">
        <v>0</v>
      </c>
      <c r="I712" t="n">
        <v>0</v>
      </c>
      <c r="J712" t="n">
        <v>0</v>
      </c>
      <c r="K712" t="n">
        <v>0</v>
      </c>
      <c r="L712" t="n">
        <v>0</v>
      </c>
      <c r="M712" t="n">
        <v>0</v>
      </c>
      <c r="N712" t="n">
        <v>0</v>
      </c>
      <c r="O712" t="n">
        <v>0</v>
      </c>
      <c r="P712" t="n">
        <v>0</v>
      </c>
      <c r="Q712" t="n">
        <v>0</v>
      </c>
      <c r="R712" s="2" t="inlineStr"/>
    </row>
    <row r="713" ht="15" customHeight="1">
      <c r="A713" t="inlineStr">
        <is>
          <t>A 54762-2023</t>
        </is>
      </c>
      <c r="B713" s="1" t="n">
        <v>45236</v>
      </c>
      <c r="C713" s="1" t="n">
        <v>45730</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54883-2023</t>
        </is>
      </c>
      <c r="B714" s="1" t="n">
        <v>45236</v>
      </c>
      <c r="C714" s="1" t="n">
        <v>45730</v>
      </c>
      <c r="D714" t="inlineStr">
        <is>
          <t>JÄMTLANDS LÄN</t>
        </is>
      </c>
      <c r="E714" t="inlineStr">
        <is>
          <t>ÖSTERSUND</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54973-2023</t>
        </is>
      </c>
      <c r="B715" s="1" t="n">
        <v>45236</v>
      </c>
      <c r="C715" s="1" t="n">
        <v>45730</v>
      </c>
      <c r="D715" t="inlineStr">
        <is>
          <t>JÄMTLANDS LÄN</t>
        </is>
      </c>
      <c r="E715" t="inlineStr">
        <is>
          <t>ÖSTERSUND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55140-2023</t>
        </is>
      </c>
      <c r="B716" s="1" t="n">
        <v>45237</v>
      </c>
      <c r="C716" s="1" t="n">
        <v>45730</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55237-2023</t>
        </is>
      </c>
      <c r="B717" s="1" t="n">
        <v>45237</v>
      </c>
      <c r="C717" s="1" t="n">
        <v>45730</v>
      </c>
      <c r="D717" t="inlineStr">
        <is>
          <t>JÄMTLANDS LÄN</t>
        </is>
      </c>
      <c r="E717" t="inlineStr">
        <is>
          <t>ÖSTERSUND</t>
        </is>
      </c>
      <c r="G717" t="n">
        <v>2.7</v>
      </c>
      <c r="H717" t="n">
        <v>0</v>
      </c>
      <c r="I717" t="n">
        <v>0</v>
      </c>
      <c r="J717" t="n">
        <v>0</v>
      </c>
      <c r="K717" t="n">
        <v>0</v>
      </c>
      <c r="L717" t="n">
        <v>0</v>
      </c>
      <c r="M717" t="n">
        <v>0</v>
      </c>
      <c r="N717" t="n">
        <v>0</v>
      </c>
      <c r="O717" t="n">
        <v>0</v>
      </c>
      <c r="P717" t="n">
        <v>0</v>
      </c>
      <c r="Q717" t="n">
        <v>0</v>
      </c>
      <c r="R717" s="2" t="inlineStr"/>
    </row>
    <row r="718" ht="15" customHeight="1">
      <c r="A718" t="inlineStr">
        <is>
          <t>A 55233-2023</t>
        </is>
      </c>
      <c r="B718" s="1" t="n">
        <v>45237</v>
      </c>
      <c r="C718" s="1" t="n">
        <v>45730</v>
      </c>
      <c r="D718" t="inlineStr">
        <is>
          <t>JÄMTLANDS LÄN</t>
        </is>
      </c>
      <c r="E718" t="inlineStr">
        <is>
          <t>ÖSTERSUND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56440-2023</t>
        </is>
      </c>
      <c r="B719" s="1" t="n">
        <v>45237</v>
      </c>
      <c r="C719" s="1" t="n">
        <v>45730</v>
      </c>
      <c r="D719" t="inlineStr">
        <is>
          <t>JÄMTLANDS LÄN</t>
        </is>
      </c>
      <c r="E719" t="inlineStr">
        <is>
          <t>ÖSTERSUND</t>
        </is>
      </c>
      <c r="G719" t="n">
        <v>10.2</v>
      </c>
      <c r="H719" t="n">
        <v>0</v>
      </c>
      <c r="I719" t="n">
        <v>0</v>
      </c>
      <c r="J719" t="n">
        <v>0</v>
      </c>
      <c r="K719" t="n">
        <v>0</v>
      </c>
      <c r="L719" t="n">
        <v>0</v>
      </c>
      <c r="M719" t="n">
        <v>0</v>
      </c>
      <c r="N719" t="n">
        <v>0</v>
      </c>
      <c r="O719" t="n">
        <v>0</v>
      </c>
      <c r="P719" t="n">
        <v>0</v>
      </c>
      <c r="Q719" t="n">
        <v>0</v>
      </c>
      <c r="R719" s="2" t="inlineStr"/>
    </row>
    <row r="720" ht="15" customHeight="1">
      <c r="A720" t="inlineStr">
        <is>
          <t>A 55666-2023</t>
        </is>
      </c>
      <c r="B720" s="1" t="n">
        <v>45239</v>
      </c>
      <c r="C720" s="1" t="n">
        <v>45730</v>
      </c>
      <c r="D720" t="inlineStr">
        <is>
          <t>JÄMTLANDS LÄN</t>
        </is>
      </c>
      <c r="E720" t="inlineStr">
        <is>
          <t>ÖSTERSUND</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56597-2023</t>
        </is>
      </c>
      <c r="B721" s="1" t="n">
        <v>45238</v>
      </c>
      <c r="C721" s="1" t="n">
        <v>45730</v>
      </c>
      <c r="D721" t="inlineStr">
        <is>
          <t>JÄMTLANDS LÄN</t>
        </is>
      </c>
      <c r="E721" t="inlineStr">
        <is>
          <t>ÖSTERSUND</t>
        </is>
      </c>
      <c r="G721" t="n">
        <v>5.1</v>
      </c>
      <c r="H721" t="n">
        <v>0</v>
      </c>
      <c r="I721" t="n">
        <v>0</v>
      </c>
      <c r="J721" t="n">
        <v>0</v>
      </c>
      <c r="K721" t="n">
        <v>0</v>
      </c>
      <c r="L721" t="n">
        <v>0</v>
      </c>
      <c r="M721" t="n">
        <v>0</v>
      </c>
      <c r="N721" t="n">
        <v>0</v>
      </c>
      <c r="O721" t="n">
        <v>0</v>
      </c>
      <c r="P721" t="n">
        <v>0</v>
      </c>
      <c r="Q721" t="n">
        <v>0</v>
      </c>
      <c r="R721" s="2" t="inlineStr"/>
    </row>
    <row r="722" ht="15" customHeight="1">
      <c r="A722" t="inlineStr">
        <is>
          <t>A 55678-2023</t>
        </is>
      </c>
      <c r="B722" s="1" t="n">
        <v>45239</v>
      </c>
      <c r="C722" s="1" t="n">
        <v>45730</v>
      </c>
      <c r="D722" t="inlineStr">
        <is>
          <t>JÄMTLANDS LÄN</t>
        </is>
      </c>
      <c r="E722" t="inlineStr">
        <is>
          <t>ÖSTERSUND</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55785-2023</t>
        </is>
      </c>
      <c r="B723" s="1" t="n">
        <v>45239</v>
      </c>
      <c r="C723" s="1" t="n">
        <v>45730</v>
      </c>
      <c r="D723" t="inlineStr">
        <is>
          <t>JÄMTLANDS LÄN</t>
        </is>
      </c>
      <c r="E723" t="inlineStr">
        <is>
          <t>ÖSTERSUND</t>
        </is>
      </c>
      <c r="F723" t="inlineStr">
        <is>
          <t>Övriga Aktiebolag</t>
        </is>
      </c>
      <c r="G723" t="n">
        <v>16.4</v>
      </c>
      <c r="H723" t="n">
        <v>0</v>
      </c>
      <c r="I723" t="n">
        <v>0</v>
      </c>
      <c r="J723" t="n">
        <v>0</v>
      </c>
      <c r="K723" t="n">
        <v>0</v>
      </c>
      <c r="L723" t="n">
        <v>0</v>
      </c>
      <c r="M723" t="n">
        <v>0</v>
      </c>
      <c r="N723" t="n">
        <v>0</v>
      </c>
      <c r="O723" t="n">
        <v>0</v>
      </c>
      <c r="P723" t="n">
        <v>0</v>
      </c>
      <c r="Q723" t="n">
        <v>0</v>
      </c>
      <c r="R723" s="2" t="inlineStr"/>
    </row>
    <row r="724" ht="15" customHeight="1">
      <c r="A724" t="inlineStr">
        <is>
          <t>A 55827-2023</t>
        </is>
      </c>
      <c r="B724" s="1" t="n">
        <v>45239</v>
      </c>
      <c r="C724" s="1" t="n">
        <v>45730</v>
      </c>
      <c r="D724" t="inlineStr">
        <is>
          <t>JÄMTLANDS LÄN</t>
        </is>
      </c>
      <c r="E724" t="inlineStr">
        <is>
          <t>ÖSTERSUND</t>
        </is>
      </c>
      <c r="F724" t="inlineStr">
        <is>
          <t>Övriga Aktiebolag</t>
        </is>
      </c>
      <c r="G724" t="n">
        <v>9.1</v>
      </c>
      <c r="H724" t="n">
        <v>0</v>
      </c>
      <c r="I724" t="n">
        <v>0</v>
      </c>
      <c r="J724" t="n">
        <v>0</v>
      </c>
      <c r="K724" t="n">
        <v>0</v>
      </c>
      <c r="L724" t="n">
        <v>0</v>
      </c>
      <c r="M724" t="n">
        <v>0</v>
      </c>
      <c r="N724" t="n">
        <v>0</v>
      </c>
      <c r="O724" t="n">
        <v>0</v>
      </c>
      <c r="P724" t="n">
        <v>0</v>
      </c>
      <c r="Q724" t="n">
        <v>0</v>
      </c>
      <c r="R724" s="2" t="inlineStr"/>
    </row>
    <row r="725" ht="15" customHeight="1">
      <c r="A725" t="inlineStr">
        <is>
          <t>A 56465-2023</t>
        </is>
      </c>
      <c r="B725" s="1" t="n">
        <v>45243</v>
      </c>
      <c r="C725" s="1" t="n">
        <v>45730</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56478-2023</t>
        </is>
      </c>
      <c r="B726" s="1" t="n">
        <v>45243</v>
      </c>
      <c r="C726" s="1" t="n">
        <v>45730</v>
      </c>
      <c r="D726" t="inlineStr">
        <is>
          <t>JÄMTLANDS LÄN</t>
        </is>
      </c>
      <c r="E726" t="inlineStr">
        <is>
          <t>ÖSTERSUND</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57863-2023</t>
        </is>
      </c>
      <c r="B727" s="1" t="n">
        <v>45244</v>
      </c>
      <c r="C727" s="1" t="n">
        <v>45730</v>
      </c>
      <c r="D727" t="inlineStr">
        <is>
          <t>JÄMTLANDS LÄN</t>
        </is>
      </c>
      <c r="E727" t="inlineStr">
        <is>
          <t>ÖSTERSUND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57398-2023</t>
        </is>
      </c>
      <c r="B728" s="1" t="n">
        <v>45245</v>
      </c>
      <c r="C728" s="1" t="n">
        <v>45730</v>
      </c>
      <c r="D728" t="inlineStr">
        <is>
          <t>JÄMTLANDS LÄN</t>
        </is>
      </c>
      <c r="E728" t="inlineStr">
        <is>
          <t>ÖSTERSUND</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58809-2023</t>
        </is>
      </c>
      <c r="B729" s="1" t="n">
        <v>45247</v>
      </c>
      <c r="C729" s="1" t="n">
        <v>45730</v>
      </c>
      <c r="D729" t="inlineStr">
        <is>
          <t>JÄMTLANDS LÄN</t>
        </is>
      </c>
      <c r="E729" t="inlineStr">
        <is>
          <t>ÖSTERSUND</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58818-2023</t>
        </is>
      </c>
      <c r="B730" s="1" t="n">
        <v>45247</v>
      </c>
      <c r="C730" s="1" t="n">
        <v>45730</v>
      </c>
      <c r="D730" t="inlineStr">
        <is>
          <t>JÄMTLANDS LÄN</t>
        </is>
      </c>
      <c r="E730" t="inlineStr">
        <is>
          <t>ÖSTERSUND</t>
        </is>
      </c>
      <c r="G730" t="n">
        <v>6.7</v>
      </c>
      <c r="H730" t="n">
        <v>0</v>
      </c>
      <c r="I730" t="n">
        <v>0</v>
      </c>
      <c r="J730" t="n">
        <v>0</v>
      </c>
      <c r="K730" t="n">
        <v>0</v>
      </c>
      <c r="L730" t="n">
        <v>0</v>
      </c>
      <c r="M730" t="n">
        <v>0</v>
      </c>
      <c r="N730" t="n">
        <v>0</v>
      </c>
      <c r="O730" t="n">
        <v>0</v>
      </c>
      <c r="P730" t="n">
        <v>0</v>
      </c>
      <c r="Q730" t="n">
        <v>0</v>
      </c>
      <c r="R730" s="2" t="inlineStr"/>
    </row>
    <row r="731" ht="15" customHeight="1">
      <c r="A731" t="inlineStr">
        <is>
          <t>A 57839-2023</t>
        </is>
      </c>
      <c r="B731" s="1" t="n">
        <v>45247</v>
      </c>
      <c r="C731" s="1" t="n">
        <v>45730</v>
      </c>
      <c r="D731" t="inlineStr">
        <is>
          <t>JÄMTLANDS LÄN</t>
        </is>
      </c>
      <c r="E731" t="inlineStr">
        <is>
          <t>ÖSTERSUND</t>
        </is>
      </c>
      <c r="G731" t="n">
        <v>6.1</v>
      </c>
      <c r="H731" t="n">
        <v>0</v>
      </c>
      <c r="I731" t="n">
        <v>0</v>
      </c>
      <c r="J731" t="n">
        <v>0</v>
      </c>
      <c r="K731" t="n">
        <v>0</v>
      </c>
      <c r="L731" t="n">
        <v>0</v>
      </c>
      <c r="M731" t="n">
        <v>0</v>
      </c>
      <c r="N731" t="n">
        <v>0</v>
      </c>
      <c r="O731" t="n">
        <v>0</v>
      </c>
      <c r="P731" t="n">
        <v>0</v>
      </c>
      <c r="Q731" t="n">
        <v>0</v>
      </c>
      <c r="R731" s="2" t="inlineStr"/>
    </row>
    <row r="732" ht="15" customHeight="1">
      <c r="A732" t="inlineStr">
        <is>
          <t>A 59021-2023</t>
        </is>
      </c>
      <c r="B732" s="1" t="n">
        <v>45250</v>
      </c>
      <c r="C732" s="1" t="n">
        <v>45730</v>
      </c>
      <c r="D732" t="inlineStr">
        <is>
          <t>JÄMTLANDS LÄN</t>
        </is>
      </c>
      <c r="E732" t="inlineStr">
        <is>
          <t>ÖSTERSUND</t>
        </is>
      </c>
      <c r="G732" t="n">
        <v>7</v>
      </c>
      <c r="H732" t="n">
        <v>0</v>
      </c>
      <c r="I732" t="n">
        <v>0</v>
      </c>
      <c r="J732" t="n">
        <v>0</v>
      </c>
      <c r="K732" t="n">
        <v>0</v>
      </c>
      <c r="L732" t="n">
        <v>0</v>
      </c>
      <c r="M732" t="n">
        <v>0</v>
      </c>
      <c r="N732" t="n">
        <v>0</v>
      </c>
      <c r="O732" t="n">
        <v>0</v>
      </c>
      <c r="P732" t="n">
        <v>0</v>
      </c>
      <c r="Q732" t="n">
        <v>0</v>
      </c>
      <c r="R732" s="2" t="inlineStr"/>
    </row>
    <row r="733" ht="15" customHeight="1">
      <c r="A733" t="inlineStr">
        <is>
          <t>A 59094-2023</t>
        </is>
      </c>
      <c r="B733" s="1" t="n">
        <v>45253</v>
      </c>
      <c r="C733" s="1" t="n">
        <v>45730</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59095-2023</t>
        </is>
      </c>
      <c r="B734" s="1" t="n">
        <v>45253</v>
      </c>
      <c r="C734" s="1" t="n">
        <v>45730</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59611-2023</t>
        </is>
      </c>
      <c r="B735" s="1" t="n">
        <v>45254</v>
      </c>
      <c r="C735" s="1" t="n">
        <v>45730</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59953-2023</t>
        </is>
      </c>
      <c r="B736" s="1" t="n">
        <v>45254</v>
      </c>
      <c r="C736" s="1" t="n">
        <v>45730</v>
      </c>
      <c r="D736" t="inlineStr">
        <is>
          <t>JÄMTLANDS LÄN</t>
        </is>
      </c>
      <c r="E736" t="inlineStr">
        <is>
          <t>ÖSTERSUND</t>
        </is>
      </c>
      <c r="G736" t="n">
        <v>4.6</v>
      </c>
      <c r="H736" t="n">
        <v>0</v>
      </c>
      <c r="I736" t="n">
        <v>0</v>
      </c>
      <c r="J736" t="n">
        <v>0</v>
      </c>
      <c r="K736" t="n">
        <v>0</v>
      </c>
      <c r="L736" t="n">
        <v>0</v>
      </c>
      <c r="M736" t="n">
        <v>0</v>
      </c>
      <c r="N736" t="n">
        <v>0</v>
      </c>
      <c r="O736" t="n">
        <v>0</v>
      </c>
      <c r="P736" t="n">
        <v>0</v>
      </c>
      <c r="Q736" t="n">
        <v>0</v>
      </c>
      <c r="R736" s="2" t="inlineStr"/>
    </row>
    <row r="737" ht="15" customHeight="1">
      <c r="A737" t="inlineStr">
        <is>
          <t>A 59694-2023</t>
        </is>
      </c>
      <c r="B737" s="1" t="n">
        <v>45256</v>
      </c>
      <c r="C737" s="1" t="n">
        <v>45730</v>
      </c>
      <c r="D737" t="inlineStr">
        <is>
          <t>JÄMTLANDS LÄN</t>
        </is>
      </c>
      <c r="E737" t="inlineStr">
        <is>
          <t>ÖSTERSUND</t>
        </is>
      </c>
      <c r="G737" t="n">
        <v>4.1</v>
      </c>
      <c r="H737" t="n">
        <v>0</v>
      </c>
      <c r="I737" t="n">
        <v>0</v>
      </c>
      <c r="J737" t="n">
        <v>0</v>
      </c>
      <c r="K737" t="n">
        <v>0</v>
      </c>
      <c r="L737" t="n">
        <v>0</v>
      </c>
      <c r="M737" t="n">
        <v>0</v>
      </c>
      <c r="N737" t="n">
        <v>0</v>
      </c>
      <c r="O737" t="n">
        <v>0</v>
      </c>
      <c r="P737" t="n">
        <v>0</v>
      </c>
      <c r="Q737" t="n">
        <v>0</v>
      </c>
      <c r="R737" s="2" t="inlineStr"/>
    </row>
    <row r="738" ht="15" customHeight="1">
      <c r="A738" t="inlineStr">
        <is>
          <t>A 59813-2023</t>
        </is>
      </c>
      <c r="B738" s="1" t="n">
        <v>45257</v>
      </c>
      <c r="C738" s="1" t="n">
        <v>45730</v>
      </c>
      <c r="D738" t="inlineStr">
        <is>
          <t>JÄMTLANDS LÄN</t>
        </is>
      </c>
      <c r="E738" t="inlineStr">
        <is>
          <t>ÖSTERSUND</t>
        </is>
      </c>
      <c r="G738" t="n">
        <v>3.8</v>
      </c>
      <c r="H738" t="n">
        <v>0</v>
      </c>
      <c r="I738" t="n">
        <v>0</v>
      </c>
      <c r="J738" t="n">
        <v>0</v>
      </c>
      <c r="K738" t="n">
        <v>0</v>
      </c>
      <c r="L738" t="n">
        <v>0</v>
      </c>
      <c r="M738" t="n">
        <v>0</v>
      </c>
      <c r="N738" t="n">
        <v>0</v>
      </c>
      <c r="O738" t="n">
        <v>0</v>
      </c>
      <c r="P738" t="n">
        <v>0</v>
      </c>
      <c r="Q738" t="n">
        <v>0</v>
      </c>
      <c r="R738" s="2" t="inlineStr"/>
    </row>
    <row r="739" ht="15" customHeight="1">
      <c r="A739" t="inlineStr">
        <is>
          <t>A 60029-2023</t>
        </is>
      </c>
      <c r="B739" s="1" t="n">
        <v>45258</v>
      </c>
      <c r="C739" s="1" t="n">
        <v>45730</v>
      </c>
      <c r="D739" t="inlineStr">
        <is>
          <t>JÄMTLANDS LÄN</t>
        </is>
      </c>
      <c r="E739" t="inlineStr">
        <is>
          <t>ÖSTERSUND</t>
        </is>
      </c>
      <c r="G739" t="n">
        <v>1.8</v>
      </c>
      <c r="H739" t="n">
        <v>0</v>
      </c>
      <c r="I739" t="n">
        <v>0</v>
      </c>
      <c r="J739" t="n">
        <v>0</v>
      </c>
      <c r="K739" t="n">
        <v>0</v>
      </c>
      <c r="L739" t="n">
        <v>0</v>
      </c>
      <c r="M739" t="n">
        <v>0</v>
      </c>
      <c r="N739" t="n">
        <v>0</v>
      </c>
      <c r="O739" t="n">
        <v>0</v>
      </c>
      <c r="P739" t="n">
        <v>0</v>
      </c>
      <c r="Q739" t="n">
        <v>0</v>
      </c>
      <c r="R739" s="2" t="inlineStr"/>
    </row>
    <row r="740" ht="15" customHeight="1">
      <c r="A740" t="inlineStr">
        <is>
          <t>A 60477-2023</t>
        </is>
      </c>
      <c r="B740" s="1" t="n">
        <v>45258</v>
      </c>
      <c r="C740" s="1" t="n">
        <v>45730</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60794-2023</t>
        </is>
      </c>
      <c r="B741" s="1" t="n">
        <v>45260</v>
      </c>
      <c r="C741" s="1" t="n">
        <v>45730</v>
      </c>
      <c r="D741" t="inlineStr">
        <is>
          <t>JÄMTLANDS LÄN</t>
        </is>
      </c>
      <c r="E741" t="inlineStr">
        <is>
          <t>ÖSTERSUND</t>
        </is>
      </c>
      <c r="G741" t="n">
        <v>3.6</v>
      </c>
      <c r="H741" t="n">
        <v>0</v>
      </c>
      <c r="I741" t="n">
        <v>0</v>
      </c>
      <c r="J741" t="n">
        <v>0</v>
      </c>
      <c r="K741" t="n">
        <v>0</v>
      </c>
      <c r="L741" t="n">
        <v>0</v>
      </c>
      <c r="M741" t="n">
        <v>0</v>
      </c>
      <c r="N741" t="n">
        <v>0</v>
      </c>
      <c r="O741" t="n">
        <v>0</v>
      </c>
      <c r="P741" t="n">
        <v>0</v>
      </c>
      <c r="Q741" t="n">
        <v>0</v>
      </c>
      <c r="R741" s="2" t="inlineStr"/>
    </row>
    <row r="742" ht="15" customHeight="1">
      <c r="A742" t="inlineStr">
        <is>
          <t>A 60780-2023</t>
        </is>
      </c>
      <c r="B742" s="1" t="n">
        <v>45260</v>
      </c>
      <c r="C742" s="1" t="n">
        <v>45730</v>
      </c>
      <c r="D742" t="inlineStr">
        <is>
          <t>JÄMTLANDS LÄN</t>
        </is>
      </c>
      <c r="E742" t="inlineStr">
        <is>
          <t>ÖSTERSUND</t>
        </is>
      </c>
      <c r="G742" t="n">
        <v>3.7</v>
      </c>
      <c r="H742" t="n">
        <v>0</v>
      </c>
      <c r="I742" t="n">
        <v>0</v>
      </c>
      <c r="J742" t="n">
        <v>0</v>
      </c>
      <c r="K742" t="n">
        <v>0</v>
      </c>
      <c r="L742" t="n">
        <v>0</v>
      </c>
      <c r="M742" t="n">
        <v>0</v>
      </c>
      <c r="N742" t="n">
        <v>0</v>
      </c>
      <c r="O742" t="n">
        <v>0</v>
      </c>
      <c r="P742" t="n">
        <v>0</v>
      </c>
      <c r="Q742" t="n">
        <v>0</v>
      </c>
      <c r="R742" s="2" t="inlineStr"/>
    </row>
    <row r="743" ht="15" customHeight="1">
      <c r="A743" t="inlineStr">
        <is>
          <t>A 61135-2023</t>
        </is>
      </c>
      <c r="B743" s="1" t="n">
        <v>45261</v>
      </c>
      <c r="C743" s="1" t="n">
        <v>45730</v>
      </c>
      <c r="D743" t="inlineStr">
        <is>
          <t>JÄMTLANDS LÄN</t>
        </is>
      </c>
      <c r="E743" t="inlineStr">
        <is>
          <t>ÖSTERSUND</t>
        </is>
      </c>
      <c r="G743" t="n">
        <v>7.3</v>
      </c>
      <c r="H743" t="n">
        <v>0</v>
      </c>
      <c r="I743" t="n">
        <v>0</v>
      </c>
      <c r="J743" t="n">
        <v>0</v>
      </c>
      <c r="K743" t="n">
        <v>0</v>
      </c>
      <c r="L743" t="n">
        <v>0</v>
      </c>
      <c r="M743" t="n">
        <v>0</v>
      </c>
      <c r="N743" t="n">
        <v>0</v>
      </c>
      <c r="O743" t="n">
        <v>0</v>
      </c>
      <c r="P743" t="n">
        <v>0</v>
      </c>
      <c r="Q743" t="n">
        <v>0</v>
      </c>
      <c r="R743" s="2" t="inlineStr"/>
    </row>
    <row r="744" ht="15" customHeight="1">
      <c r="A744" t="inlineStr">
        <is>
          <t>A 61535-2023</t>
        </is>
      </c>
      <c r="B744" s="1" t="n">
        <v>45261</v>
      </c>
      <c r="C744" s="1" t="n">
        <v>45730</v>
      </c>
      <c r="D744" t="inlineStr">
        <is>
          <t>JÄMTLANDS LÄN</t>
        </is>
      </c>
      <c r="E744" t="inlineStr">
        <is>
          <t>ÖSTERSUND</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61530-2023</t>
        </is>
      </c>
      <c r="B745" s="1" t="n">
        <v>45261</v>
      </c>
      <c r="C745" s="1" t="n">
        <v>45730</v>
      </c>
      <c r="D745" t="inlineStr">
        <is>
          <t>JÄMTLANDS LÄN</t>
        </is>
      </c>
      <c r="E745" t="inlineStr">
        <is>
          <t>ÖSTERSUND</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61635-2023</t>
        </is>
      </c>
      <c r="B746" s="1" t="n">
        <v>45261</v>
      </c>
      <c r="C746" s="1" t="n">
        <v>45730</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61506-2023</t>
        </is>
      </c>
      <c r="B747" s="1" t="n">
        <v>45264</v>
      </c>
      <c r="C747" s="1" t="n">
        <v>45730</v>
      </c>
      <c r="D747" t="inlineStr">
        <is>
          <t>JÄMTLANDS LÄN</t>
        </is>
      </c>
      <c r="E747" t="inlineStr">
        <is>
          <t>ÖSTERSUND</t>
        </is>
      </c>
      <c r="G747" t="n">
        <v>3</v>
      </c>
      <c r="H747" t="n">
        <v>0</v>
      </c>
      <c r="I747" t="n">
        <v>0</v>
      </c>
      <c r="J747" t="n">
        <v>0</v>
      </c>
      <c r="K747" t="n">
        <v>0</v>
      </c>
      <c r="L747" t="n">
        <v>0</v>
      </c>
      <c r="M747" t="n">
        <v>0</v>
      </c>
      <c r="N747" t="n">
        <v>0</v>
      </c>
      <c r="O747" t="n">
        <v>0</v>
      </c>
      <c r="P747" t="n">
        <v>0</v>
      </c>
      <c r="Q747" t="n">
        <v>0</v>
      </c>
      <c r="R747" s="2" t="inlineStr"/>
    </row>
    <row r="748" ht="15" customHeight="1">
      <c r="A748" t="inlineStr">
        <is>
          <t>A 61499-2023</t>
        </is>
      </c>
      <c r="B748" s="1" t="n">
        <v>45264</v>
      </c>
      <c r="C748" s="1" t="n">
        <v>45730</v>
      </c>
      <c r="D748" t="inlineStr">
        <is>
          <t>JÄMTLANDS LÄN</t>
        </is>
      </c>
      <c r="E748" t="inlineStr">
        <is>
          <t>ÖSTERSUND</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62052-2023</t>
        </is>
      </c>
      <c r="B749" s="1" t="n">
        <v>45265</v>
      </c>
      <c r="C749" s="1" t="n">
        <v>45730</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61791-2023</t>
        </is>
      </c>
      <c r="B750" s="1" t="n">
        <v>45265</v>
      </c>
      <c r="C750" s="1" t="n">
        <v>45730</v>
      </c>
      <c r="D750" t="inlineStr">
        <is>
          <t>JÄMTLANDS LÄN</t>
        </is>
      </c>
      <c r="E750" t="inlineStr">
        <is>
          <t>ÖSTERSUND</t>
        </is>
      </c>
      <c r="F750" t="inlineStr">
        <is>
          <t>SCA</t>
        </is>
      </c>
      <c r="G750" t="n">
        <v>11.4</v>
      </c>
      <c r="H750" t="n">
        <v>0</v>
      </c>
      <c r="I750" t="n">
        <v>0</v>
      </c>
      <c r="J750" t="n">
        <v>0</v>
      </c>
      <c r="K750" t="n">
        <v>0</v>
      </c>
      <c r="L750" t="n">
        <v>0</v>
      </c>
      <c r="M750" t="n">
        <v>0</v>
      </c>
      <c r="N750" t="n">
        <v>0</v>
      </c>
      <c r="O750" t="n">
        <v>0</v>
      </c>
      <c r="P750" t="n">
        <v>0</v>
      </c>
      <c r="Q750" t="n">
        <v>0</v>
      </c>
      <c r="R750" s="2" t="inlineStr"/>
    </row>
    <row r="751" ht="15" customHeight="1">
      <c r="A751" t="inlineStr">
        <is>
          <t>A 62835-2023</t>
        </is>
      </c>
      <c r="B751" s="1" t="n">
        <v>45271</v>
      </c>
      <c r="C751" s="1" t="n">
        <v>45730</v>
      </c>
      <c r="D751" t="inlineStr">
        <is>
          <t>JÄMTLANDS LÄN</t>
        </is>
      </c>
      <c r="E751" t="inlineStr">
        <is>
          <t>ÖSTERSUND</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62834-2023</t>
        </is>
      </c>
      <c r="B752" s="1" t="n">
        <v>45271</v>
      </c>
      <c r="C752" s="1" t="n">
        <v>45730</v>
      </c>
      <c r="D752" t="inlineStr">
        <is>
          <t>JÄMTLANDS LÄN</t>
        </is>
      </c>
      <c r="E752" t="inlineStr">
        <is>
          <t>ÖSTERSUND</t>
        </is>
      </c>
      <c r="F752" t="inlineStr">
        <is>
          <t>SCA</t>
        </is>
      </c>
      <c r="G752" t="n">
        <v>12.2</v>
      </c>
      <c r="H752" t="n">
        <v>0</v>
      </c>
      <c r="I752" t="n">
        <v>0</v>
      </c>
      <c r="J752" t="n">
        <v>0</v>
      </c>
      <c r="K752" t="n">
        <v>0</v>
      </c>
      <c r="L752" t="n">
        <v>0</v>
      </c>
      <c r="M752" t="n">
        <v>0</v>
      </c>
      <c r="N752" t="n">
        <v>0</v>
      </c>
      <c r="O752" t="n">
        <v>0</v>
      </c>
      <c r="P752" t="n">
        <v>0</v>
      </c>
      <c r="Q752" t="n">
        <v>0</v>
      </c>
      <c r="R752" s="2" t="inlineStr"/>
    </row>
    <row r="753" ht="15" customHeight="1">
      <c r="A753" t="inlineStr">
        <is>
          <t>A 63086-2023</t>
        </is>
      </c>
      <c r="B753" s="1" t="n">
        <v>45272</v>
      </c>
      <c r="C753" s="1" t="n">
        <v>45730</v>
      </c>
      <c r="D753" t="inlineStr">
        <is>
          <t>JÄMTLANDS LÄN</t>
        </is>
      </c>
      <c r="E753" t="inlineStr">
        <is>
          <t>ÖSTERSUND</t>
        </is>
      </c>
      <c r="F753" t="inlineStr">
        <is>
          <t>Övriga statliga verk och myndigheter</t>
        </is>
      </c>
      <c r="G753" t="n">
        <v>2.9</v>
      </c>
      <c r="H753" t="n">
        <v>0</v>
      </c>
      <c r="I753" t="n">
        <v>0</v>
      </c>
      <c r="J753" t="n">
        <v>0</v>
      </c>
      <c r="K753" t="n">
        <v>0</v>
      </c>
      <c r="L753" t="n">
        <v>0</v>
      </c>
      <c r="M753" t="n">
        <v>0</v>
      </c>
      <c r="N753" t="n">
        <v>0</v>
      </c>
      <c r="O753" t="n">
        <v>0</v>
      </c>
      <c r="P753" t="n">
        <v>0</v>
      </c>
      <c r="Q753" t="n">
        <v>0</v>
      </c>
      <c r="R753" s="2" t="inlineStr"/>
    </row>
    <row r="754" ht="15" customHeight="1">
      <c r="A754" t="inlineStr">
        <is>
          <t>A 63101-2023</t>
        </is>
      </c>
      <c r="B754" s="1" t="n">
        <v>45273</v>
      </c>
      <c r="C754" s="1" t="n">
        <v>45730</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63099-2023</t>
        </is>
      </c>
      <c r="B755" s="1" t="n">
        <v>45273</v>
      </c>
      <c r="C755" s="1" t="n">
        <v>45730</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63320-2023</t>
        </is>
      </c>
      <c r="B756" s="1" t="n">
        <v>45273</v>
      </c>
      <c r="C756" s="1" t="n">
        <v>45730</v>
      </c>
      <c r="D756" t="inlineStr">
        <is>
          <t>JÄMTLANDS LÄN</t>
        </is>
      </c>
      <c r="E756" t="inlineStr">
        <is>
          <t>ÖSTERSUND</t>
        </is>
      </c>
      <c r="G756" t="n">
        <v>11.3</v>
      </c>
      <c r="H756" t="n">
        <v>0</v>
      </c>
      <c r="I756" t="n">
        <v>0</v>
      </c>
      <c r="J756" t="n">
        <v>0</v>
      </c>
      <c r="K756" t="n">
        <v>0</v>
      </c>
      <c r="L756" t="n">
        <v>0</v>
      </c>
      <c r="M756" t="n">
        <v>0</v>
      </c>
      <c r="N756" t="n">
        <v>0</v>
      </c>
      <c r="O756" t="n">
        <v>0</v>
      </c>
      <c r="P756" t="n">
        <v>0</v>
      </c>
      <c r="Q756" t="n">
        <v>0</v>
      </c>
      <c r="R756" s="2" t="inlineStr"/>
    </row>
    <row r="757" ht="15" customHeight="1">
      <c r="A757" t="inlineStr">
        <is>
          <t>A 63739-2023</t>
        </is>
      </c>
      <c r="B757" s="1" t="n">
        <v>45277</v>
      </c>
      <c r="C757" s="1" t="n">
        <v>45730</v>
      </c>
      <c r="D757" t="inlineStr">
        <is>
          <t>JÄMTLANDS LÄN</t>
        </is>
      </c>
      <c r="E757" t="inlineStr">
        <is>
          <t>ÖSTERSUND</t>
        </is>
      </c>
      <c r="G757" t="n">
        <v>5.1</v>
      </c>
      <c r="H757" t="n">
        <v>0</v>
      </c>
      <c r="I757" t="n">
        <v>0</v>
      </c>
      <c r="J757" t="n">
        <v>0</v>
      </c>
      <c r="K757" t="n">
        <v>0</v>
      </c>
      <c r="L757" t="n">
        <v>0</v>
      </c>
      <c r="M757" t="n">
        <v>0</v>
      </c>
      <c r="N757" t="n">
        <v>0</v>
      </c>
      <c r="O757" t="n">
        <v>0</v>
      </c>
      <c r="P757" t="n">
        <v>0</v>
      </c>
      <c r="Q757" t="n">
        <v>0</v>
      </c>
      <c r="R757" s="2" t="inlineStr"/>
    </row>
    <row r="758" ht="15" customHeight="1">
      <c r="A758" t="inlineStr">
        <is>
          <t>A 63740-2023</t>
        </is>
      </c>
      <c r="B758" s="1" t="n">
        <v>45277</v>
      </c>
      <c r="C758" s="1" t="n">
        <v>45730</v>
      </c>
      <c r="D758" t="inlineStr">
        <is>
          <t>JÄMTLANDS LÄN</t>
        </is>
      </c>
      <c r="E758" t="inlineStr">
        <is>
          <t>ÖSTERSUND</t>
        </is>
      </c>
      <c r="G758" t="n">
        <v>3.9</v>
      </c>
      <c r="H758" t="n">
        <v>0</v>
      </c>
      <c r="I758" t="n">
        <v>0</v>
      </c>
      <c r="J758" t="n">
        <v>0</v>
      </c>
      <c r="K758" t="n">
        <v>0</v>
      </c>
      <c r="L758" t="n">
        <v>0</v>
      </c>
      <c r="M758" t="n">
        <v>0</v>
      </c>
      <c r="N758" t="n">
        <v>0</v>
      </c>
      <c r="O758" t="n">
        <v>0</v>
      </c>
      <c r="P758" t="n">
        <v>0</v>
      </c>
      <c r="Q758" t="n">
        <v>0</v>
      </c>
      <c r="R758" s="2" t="inlineStr"/>
    </row>
    <row r="759" ht="15" customHeight="1">
      <c r="A759" t="inlineStr">
        <is>
          <t>A 64233-2023</t>
        </is>
      </c>
      <c r="B759" s="1" t="n">
        <v>45279</v>
      </c>
      <c r="C759" s="1" t="n">
        <v>45730</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64267-2023</t>
        </is>
      </c>
      <c r="B760" s="1" t="n">
        <v>45279</v>
      </c>
      <c r="C760" s="1" t="n">
        <v>45730</v>
      </c>
      <c r="D760" t="inlineStr">
        <is>
          <t>JÄMTLANDS LÄN</t>
        </is>
      </c>
      <c r="E760" t="inlineStr">
        <is>
          <t>ÖSTERSUND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64314-2023</t>
        </is>
      </c>
      <c r="B761" s="1" t="n">
        <v>45280</v>
      </c>
      <c r="C761" s="1" t="n">
        <v>45730</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64309-2023</t>
        </is>
      </c>
      <c r="B762" s="1" t="n">
        <v>45280</v>
      </c>
      <c r="C762" s="1" t="n">
        <v>45730</v>
      </c>
      <c r="D762" t="inlineStr">
        <is>
          <t>JÄMTLANDS LÄN</t>
        </is>
      </c>
      <c r="E762" t="inlineStr">
        <is>
          <t>ÖSTERSUND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64811-2023</t>
        </is>
      </c>
      <c r="B763" s="1" t="n">
        <v>45281</v>
      </c>
      <c r="C763" s="1" t="n">
        <v>45730</v>
      </c>
      <c r="D763" t="inlineStr">
        <is>
          <t>JÄMTLANDS LÄN</t>
        </is>
      </c>
      <c r="E763" t="inlineStr">
        <is>
          <t>ÖSTERSUND</t>
        </is>
      </c>
      <c r="G763" t="n">
        <v>7.6</v>
      </c>
      <c r="H763" t="n">
        <v>0</v>
      </c>
      <c r="I763" t="n">
        <v>0</v>
      </c>
      <c r="J763" t="n">
        <v>0</v>
      </c>
      <c r="K763" t="n">
        <v>0</v>
      </c>
      <c r="L763" t="n">
        <v>0</v>
      </c>
      <c r="M763" t="n">
        <v>0</v>
      </c>
      <c r="N763" t="n">
        <v>0</v>
      </c>
      <c r="O763" t="n">
        <v>0</v>
      </c>
      <c r="P763" t="n">
        <v>0</v>
      </c>
      <c r="Q763" t="n">
        <v>0</v>
      </c>
      <c r="R763" s="2" t="inlineStr"/>
    </row>
    <row r="764" ht="15" customHeight="1">
      <c r="A764" t="inlineStr">
        <is>
          <t>A 64954-2023</t>
        </is>
      </c>
      <c r="B764" s="1" t="n">
        <v>45282</v>
      </c>
      <c r="C764" s="1" t="n">
        <v>45730</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64953-2023</t>
        </is>
      </c>
      <c r="B765" s="1" t="n">
        <v>45282</v>
      </c>
      <c r="C765" s="1" t="n">
        <v>45730</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440-2024</t>
        </is>
      </c>
      <c r="B766" s="1" t="n">
        <v>45296</v>
      </c>
      <c r="C766" s="1" t="n">
        <v>45730</v>
      </c>
      <c r="D766" t="inlineStr">
        <is>
          <t>JÄMTLANDS LÄN</t>
        </is>
      </c>
      <c r="E766" t="inlineStr">
        <is>
          <t>ÖSTERSUND</t>
        </is>
      </c>
      <c r="F766" t="inlineStr">
        <is>
          <t>Kommuner</t>
        </is>
      </c>
      <c r="G766" t="n">
        <v>10.1</v>
      </c>
      <c r="H766" t="n">
        <v>0</v>
      </c>
      <c r="I766" t="n">
        <v>0</v>
      </c>
      <c r="J766" t="n">
        <v>0</v>
      </c>
      <c r="K766" t="n">
        <v>0</v>
      </c>
      <c r="L766" t="n">
        <v>0</v>
      </c>
      <c r="M766" t="n">
        <v>0</v>
      </c>
      <c r="N766" t="n">
        <v>0</v>
      </c>
      <c r="O766" t="n">
        <v>0</v>
      </c>
      <c r="P766" t="n">
        <v>0</v>
      </c>
      <c r="Q766" t="n">
        <v>0</v>
      </c>
      <c r="R766" s="2" t="inlineStr"/>
    </row>
    <row r="767" ht="15" customHeight="1">
      <c r="A767" t="inlineStr">
        <is>
          <t>A 484-2024</t>
        </is>
      </c>
      <c r="B767" s="1" t="n">
        <v>45298</v>
      </c>
      <c r="C767" s="1" t="n">
        <v>45730</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485-2024</t>
        </is>
      </c>
      <c r="B768" s="1" t="n">
        <v>45298</v>
      </c>
      <c r="C768" s="1" t="n">
        <v>45730</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846-2024</t>
        </is>
      </c>
      <c r="B769" s="1" t="n">
        <v>45300</v>
      </c>
      <c r="C769" s="1" t="n">
        <v>45730</v>
      </c>
      <c r="D769" t="inlineStr">
        <is>
          <t>JÄMTLANDS LÄN</t>
        </is>
      </c>
      <c r="E769" t="inlineStr">
        <is>
          <t>ÖSTERSUND</t>
        </is>
      </c>
      <c r="G769" t="n">
        <v>2.8</v>
      </c>
      <c r="H769" t="n">
        <v>0</v>
      </c>
      <c r="I769" t="n">
        <v>0</v>
      </c>
      <c r="J769" t="n">
        <v>0</v>
      </c>
      <c r="K769" t="n">
        <v>0</v>
      </c>
      <c r="L769" t="n">
        <v>0</v>
      </c>
      <c r="M769" t="n">
        <v>0</v>
      </c>
      <c r="N769" t="n">
        <v>0</v>
      </c>
      <c r="O769" t="n">
        <v>0</v>
      </c>
      <c r="P769" t="n">
        <v>0</v>
      </c>
      <c r="Q769" t="n">
        <v>0</v>
      </c>
      <c r="R769" s="2" t="inlineStr"/>
    </row>
    <row r="770" ht="15" customHeight="1">
      <c r="A770" t="inlineStr">
        <is>
          <t>A 748-2024</t>
        </is>
      </c>
      <c r="B770" s="1" t="n">
        <v>45300</v>
      </c>
      <c r="C770" s="1" t="n">
        <v>45730</v>
      </c>
      <c r="D770" t="inlineStr">
        <is>
          <t>JÄMTLANDS LÄN</t>
        </is>
      </c>
      <c r="E770" t="inlineStr">
        <is>
          <t>ÖSTERSUND</t>
        </is>
      </c>
      <c r="G770" t="n">
        <v>3.3</v>
      </c>
      <c r="H770" t="n">
        <v>0</v>
      </c>
      <c r="I770" t="n">
        <v>0</v>
      </c>
      <c r="J770" t="n">
        <v>0</v>
      </c>
      <c r="K770" t="n">
        <v>0</v>
      </c>
      <c r="L770" t="n">
        <v>0</v>
      </c>
      <c r="M770" t="n">
        <v>0</v>
      </c>
      <c r="N770" t="n">
        <v>0</v>
      </c>
      <c r="O770" t="n">
        <v>0</v>
      </c>
      <c r="P770" t="n">
        <v>0</v>
      </c>
      <c r="Q770" t="n">
        <v>0</v>
      </c>
      <c r="R770" s="2" t="inlineStr"/>
    </row>
    <row r="771" ht="15" customHeight="1">
      <c r="A771" t="inlineStr">
        <is>
          <t>A 1159-2024</t>
        </is>
      </c>
      <c r="B771" s="1" t="n">
        <v>45302</v>
      </c>
      <c r="C771" s="1" t="n">
        <v>45730</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1669-2024</t>
        </is>
      </c>
      <c r="B772" s="1" t="n">
        <v>45306</v>
      </c>
      <c r="C772" s="1" t="n">
        <v>45730</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45730</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1873-2024</t>
        </is>
      </c>
      <c r="B774" s="1" t="n">
        <v>45307</v>
      </c>
      <c r="C774" s="1" t="n">
        <v>45730</v>
      </c>
      <c r="D774" t="inlineStr">
        <is>
          <t>JÄMTLANDS LÄN</t>
        </is>
      </c>
      <c r="E774" t="inlineStr">
        <is>
          <t>ÖSTERSUND</t>
        </is>
      </c>
      <c r="G774" t="n">
        <v>4.3</v>
      </c>
      <c r="H774" t="n">
        <v>0</v>
      </c>
      <c r="I774" t="n">
        <v>0</v>
      </c>
      <c r="J774" t="n">
        <v>0</v>
      </c>
      <c r="K774" t="n">
        <v>0</v>
      </c>
      <c r="L774" t="n">
        <v>0</v>
      </c>
      <c r="M774" t="n">
        <v>0</v>
      </c>
      <c r="N774" t="n">
        <v>0</v>
      </c>
      <c r="O774" t="n">
        <v>0</v>
      </c>
      <c r="P774" t="n">
        <v>0</v>
      </c>
      <c r="Q774" t="n">
        <v>0</v>
      </c>
      <c r="R774" s="2" t="inlineStr"/>
    </row>
    <row r="775" ht="15" customHeight="1">
      <c r="A775" t="inlineStr">
        <is>
          <t>A 2228-2024</t>
        </is>
      </c>
      <c r="B775" s="1" t="n">
        <v>45309</v>
      </c>
      <c r="C775" s="1" t="n">
        <v>45730</v>
      </c>
      <c r="D775" t="inlineStr">
        <is>
          <t>JÄMTLANDS LÄN</t>
        </is>
      </c>
      <c r="E775" t="inlineStr">
        <is>
          <t>ÖSTERSUND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2615-2024</t>
        </is>
      </c>
      <c r="B776" s="1" t="n">
        <v>45313</v>
      </c>
      <c r="C776" s="1" t="n">
        <v>45730</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2627-2024</t>
        </is>
      </c>
      <c r="B777" s="1" t="n">
        <v>45313</v>
      </c>
      <c r="C777" s="1" t="n">
        <v>45730</v>
      </c>
      <c r="D777" t="inlineStr">
        <is>
          <t>JÄMTLANDS LÄN</t>
        </is>
      </c>
      <c r="E777" t="inlineStr">
        <is>
          <t>ÖSTERSUND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2756-2024</t>
        </is>
      </c>
      <c r="B778" s="1" t="n">
        <v>45314</v>
      </c>
      <c r="C778" s="1" t="n">
        <v>45730</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2984-2024</t>
        </is>
      </c>
      <c r="B779" s="1" t="n">
        <v>45315</v>
      </c>
      <c r="C779" s="1" t="n">
        <v>45730</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2978-2024</t>
        </is>
      </c>
      <c r="B780" s="1" t="n">
        <v>45315</v>
      </c>
      <c r="C780" s="1" t="n">
        <v>45730</v>
      </c>
      <c r="D780" t="inlineStr">
        <is>
          <t>JÄMTLANDS LÄN</t>
        </is>
      </c>
      <c r="E780" t="inlineStr">
        <is>
          <t>ÖSTERSUND</t>
        </is>
      </c>
      <c r="G780" t="n">
        <v>1.7</v>
      </c>
      <c r="H780" t="n">
        <v>0</v>
      </c>
      <c r="I780" t="n">
        <v>0</v>
      </c>
      <c r="J780" t="n">
        <v>0</v>
      </c>
      <c r="K780" t="n">
        <v>0</v>
      </c>
      <c r="L780" t="n">
        <v>0</v>
      </c>
      <c r="M780" t="n">
        <v>0</v>
      </c>
      <c r="N780" t="n">
        <v>0</v>
      </c>
      <c r="O780" t="n">
        <v>0</v>
      </c>
      <c r="P780" t="n">
        <v>0</v>
      </c>
      <c r="Q780" t="n">
        <v>0</v>
      </c>
      <c r="R780" s="2" t="inlineStr"/>
    </row>
    <row r="781" ht="15" customHeight="1">
      <c r="A781" t="inlineStr">
        <is>
          <t>A 3186-2024</t>
        </is>
      </c>
      <c r="B781" s="1" t="n">
        <v>45316</v>
      </c>
      <c r="C781" s="1" t="n">
        <v>45730</v>
      </c>
      <c r="D781" t="inlineStr">
        <is>
          <t>JÄMTLANDS LÄN</t>
        </is>
      </c>
      <c r="E781" t="inlineStr">
        <is>
          <t>ÖSTERSUND</t>
        </is>
      </c>
      <c r="G781" t="n">
        <v>5.1</v>
      </c>
      <c r="H781" t="n">
        <v>0</v>
      </c>
      <c r="I781" t="n">
        <v>0</v>
      </c>
      <c r="J781" t="n">
        <v>0</v>
      </c>
      <c r="K781" t="n">
        <v>0</v>
      </c>
      <c r="L781" t="n">
        <v>0</v>
      </c>
      <c r="M781" t="n">
        <v>0</v>
      </c>
      <c r="N781" t="n">
        <v>0</v>
      </c>
      <c r="O781" t="n">
        <v>0</v>
      </c>
      <c r="P781" t="n">
        <v>0</v>
      </c>
      <c r="Q781" t="n">
        <v>0</v>
      </c>
      <c r="R781" s="2" t="inlineStr"/>
    </row>
    <row r="782" ht="15" customHeight="1">
      <c r="A782" t="inlineStr">
        <is>
          <t>A 3230-2024</t>
        </is>
      </c>
      <c r="B782" s="1" t="n">
        <v>45316</v>
      </c>
      <c r="C782" s="1" t="n">
        <v>45730</v>
      </c>
      <c r="D782" t="inlineStr">
        <is>
          <t>JÄMTLANDS LÄN</t>
        </is>
      </c>
      <c r="E782" t="inlineStr">
        <is>
          <t>ÖSTERSUND</t>
        </is>
      </c>
      <c r="G782" t="n">
        <v>4.4</v>
      </c>
      <c r="H782" t="n">
        <v>0</v>
      </c>
      <c r="I782" t="n">
        <v>0</v>
      </c>
      <c r="J782" t="n">
        <v>0</v>
      </c>
      <c r="K782" t="n">
        <v>0</v>
      </c>
      <c r="L782" t="n">
        <v>0</v>
      </c>
      <c r="M782" t="n">
        <v>0</v>
      </c>
      <c r="N782" t="n">
        <v>0</v>
      </c>
      <c r="O782" t="n">
        <v>0</v>
      </c>
      <c r="P782" t="n">
        <v>0</v>
      </c>
      <c r="Q782" t="n">
        <v>0</v>
      </c>
      <c r="R782" s="2" t="inlineStr"/>
    </row>
    <row r="783" ht="15" customHeight="1">
      <c r="A783" t="inlineStr">
        <is>
          <t>A 3270-2024</t>
        </is>
      </c>
      <c r="B783" s="1" t="n">
        <v>45316</v>
      </c>
      <c r="C783" s="1" t="n">
        <v>45730</v>
      </c>
      <c r="D783" t="inlineStr">
        <is>
          <t>JÄMTLANDS LÄN</t>
        </is>
      </c>
      <c r="E783" t="inlineStr">
        <is>
          <t>ÖSTERSUND</t>
        </is>
      </c>
      <c r="G783" t="n">
        <v>7.5</v>
      </c>
      <c r="H783" t="n">
        <v>0</v>
      </c>
      <c r="I783" t="n">
        <v>0</v>
      </c>
      <c r="J783" t="n">
        <v>0</v>
      </c>
      <c r="K783" t="n">
        <v>0</v>
      </c>
      <c r="L783" t="n">
        <v>0</v>
      </c>
      <c r="M783" t="n">
        <v>0</v>
      </c>
      <c r="N783" t="n">
        <v>0</v>
      </c>
      <c r="O783" t="n">
        <v>0</v>
      </c>
      <c r="P783" t="n">
        <v>0</v>
      </c>
      <c r="Q783" t="n">
        <v>0</v>
      </c>
      <c r="R783" s="2" t="inlineStr"/>
    </row>
    <row r="784" ht="15" customHeight="1">
      <c r="A784" t="inlineStr">
        <is>
          <t>A 3610-2024</t>
        </is>
      </c>
      <c r="B784" s="1" t="n">
        <v>45320</v>
      </c>
      <c r="C784" s="1" t="n">
        <v>45730</v>
      </c>
      <c r="D784" t="inlineStr">
        <is>
          <t>JÄMTLANDS LÄN</t>
        </is>
      </c>
      <c r="E784" t="inlineStr">
        <is>
          <t>ÖSTERSUND</t>
        </is>
      </c>
      <c r="G784" t="n">
        <v>6.2</v>
      </c>
      <c r="H784" t="n">
        <v>0</v>
      </c>
      <c r="I784" t="n">
        <v>0</v>
      </c>
      <c r="J784" t="n">
        <v>0</v>
      </c>
      <c r="K784" t="n">
        <v>0</v>
      </c>
      <c r="L784" t="n">
        <v>0</v>
      </c>
      <c r="M784" t="n">
        <v>0</v>
      </c>
      <c r="N784" t="n">
        <v>0</v>
      </c>
      <c r="O784" t="n">
        <v>0</v>
      </c>
      <c r="P784" t="n">
        <v>0</v>
      </c>
      <c r="Q784" t="n">
        <v>0</v>
      </c>
      <c r="R784" s="2" t="inlineStr"/>
    </row>
    <row r="785" ht="15" customHeight="1">
      <c r="A785" t="inlineStr">
        <is>
          <t>A 3844-2024</t>
        </is>
      </c>
      <c r="B785" s="1" t="n">
        <v>45321</v>
      </c>
      <c r="C785" s="1" t="n">
        <v>45730</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4176-2024</t>
        </is>
      </c>
      <c r="B786" s="1" t="n">
        <v>45323</v>
      </c>
      <c r="C786" s="1" t="n">
        <v>45730</v>
      </c>
      <c r="D786" t="inlineStr">
        <is>
          <t>JÄMTLANDS LÄN</t>
        </is>
      </c>
      <c r="E786" t="inlineStr">
        <is>
          <t>ÖSTERSUND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4350-2024</t>
        </is>
      </c>
      <c r="B787" s="1" t="n">
        <v>45324</v>
      </c>
      <c r="C787" s="1" t="n">
        <v>45730</v>
      </c>
      <c r="D787" t="inlineStr">
        <is>
          <t>JÄMTLANDS LÄN</t>
        </is>
      </c>
      <c r="E787" t="inlineStr">
        <is>
          <t>ÖSTERSUND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4707-2024</t>
        </is>
      </c>
      <c r="B788" s="1" t="n">
        <v>45328</v>
      </c>
      <c r="C788" s="1" t="n">
        <v>45730</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5455-2024</t>
        </is>
      </c>
      <c r="B789" s="1" t="n">
        <v>45331</v>
      </c>
      <c r="C789" s="1" t="n">
        <v>45730</v>
      </c>
      <c r="D789" t="inlineStr">
        <is>
          <t>JÄMTLANDS LÄN</t>
        </is>
      </c>
      <c r="E789" t="inlineStr">
        <is>
          <t>ÖSTERSUND</t>
        </is>
      </c>
      <c r="G789" t="n">
        <v>4.8</v>
      </c>
      <c r="H789" t="n">
        <v>0</v>
      </c>
      <c r="I789" t="n">
        <v>0</v>
      </c>
      <c r="J789" t="n">
        <v>0</v>
      </c>
      <c r="K789" t="n">
        <v>0</v>
      </c>
      <c r="L789" t="n">
        <v>0</v>
      </c>
      <c r="M789" t="n">
        <v>0</v>
      </c>
      <c r="N789" t="n">
        <v>0</v>
      </c>
      <c r="O789" t="n">
        <v>0</v>
      </c>
      <c r="P789" t="n">
        <v>0</v>
      </c>
      <c r="Q789" t="n">
        <v>0</v>
      </c>
      <c r="R789" s="2" t="inlineStr"/>
    </row>
    <row r="790" ht="15" customHeight="1">
      <c r="A790" t="inlineStr">
        <is>
          <t>A 5920-2024</t>
        </is>
      </c>
      <c r="B790" s="1" t="n">
        <v>45335</v>
      </c>
      <c r="C790" s="1" t="n">
        <v>45730</v>
      </c>
      <c r="D790" t="inlineStr">
        <is>
          <t>JÄMTLANDS LÄN</t>
        </is>
      </c>
      <c r="E790" t="inlineStr">
        <is>
          <t>ÖSTERSUND</t>
        </is>
      </c>
      <c r="F790" t="inlineStr">
        <is>
          <t>SCA</t>
        </is>
      </c>
      <c r="G790" t="n">
        <v>17.8</v>
      </c>
      <c r="H790" t="n">
        <v>0</v>
      </c>
      <c r="I790" t="n">
        <v>0</v>
      </c>
      <c r="J790" t="n">
        <v>0</v>
      </c>
      <c r="K790" t="n">
        <v>0</v>
      </c>
      <c r="L790" t="n">
        <v>0</v>
      </c>
      <c r="M790" t="n">
        <v>0</v>
      </c>
      <c r="N790" t="n">
        <v>0</v>
      </c>
      <c r="O790" t="n">
        <v>0</v>
      </c>
      <c r="P790" t="n">
        <v>0</v>
      </c>
      <c r="Q790" t="n">
        <v>0</v>
      </c>
      <c r="R790" s="2" t="inlineStr"/>
    </row>
    <row r="791" ht="15" customHeight="1">
      <c r="A791" t="inlineStr">
        <is>
          <t>A 6048-2024</t>
        </is>
      </c>
      <c r="B791" s="1" t="n">
        <v>45336</v>
      </c>
      <c r="C791" s="1" t="n">
        <v>45730</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6056-2024</t>
        </is>
      </c>
      <c r="B792" s="1" t="n">
        <v>45336</v>
      </c>
      <c r="C792" s="1" t="n">
        <v>45730</v>
      </c>
      <c r="D792" t="inlineStr">
        <is>
          <t>JÄMTLANDS LÄN</t>
        </is>
      </c>
      <c r="E792" t="inlineStr">
        <is>
          <t>ÖSTERSUND</t>
        </is>
      </c>
      <c r="G792" t="n">
        <v>3.9</v>
      </c>
      <c r="H792" t="n">
        <v>0</v>
      </c>
      <c r="I792" t="n">
        <v>0</v>
      </c>
      <c r="J792" t="n">
        <v>0</v>
      </c>
      <c r="K792" t="n">
        <v>0</v>
      </c>
      <c r="L792" t="n">
        <v>0</v>
      </c>
      <c r="M792" t="n">
        <v>0</v>
      </c>
      <c r="N792" t="n">
        <v>0</v>
      </c>
      <c r="O792" t="n">
        <v>0</v>
      </c>
      <c r="P792" t="n">
        <v>0</v>
      </c>
      <c r="Q792" t="n">
        <v>0</v>
      </c>
      <c r="R792" s="2" t="inlineStr"/>
    </row>
    <row r="793" ht="15" customHeight="1">
      <c r="A793" t="inlineStr">
        <is>
          <t>A 6053-2024</t>
        </is>
      </c>
      <c r="B793" s="1" t="n">
        <v>45336</v>
      </c>
      <c r="C793" s="1" t="n">
        <v>45730</v>
      </c>
      <c r="D793" t="inlineStr">
        <is>
          <t>JÄMTLANDS LÄN</t>
        </is>
      </c>
      <c r="E793" t="inlineStr">
        <is>
          <t>ÖSTERSUND</t>
        </is>
      </c>
      <c r="G793" t="n">
        <v>1.4</v>
      </c>
      <c r="H793" t="n">
        <v>0</v>
      </c>
      <c r="I793" t="n">
        <v>0</v>
      </c>
      <c r="J793" t="n">
        <v>0</v>
      </c>
      <c r="K793" t="n">
        <v>0</v>
      </c>
      <c r="L793" t="n">
        <v>0</v>
      </c>
      <c r="M793" t="n">
        <v>0</v>
      </c>
      <c r="N793" t="n">
        <v>0</v>
      </c>
      <c r="O793" t="n">
        <v>0</v>
      </c>
      <c r="P793" t="n">
        <v>0</v>
      </c>
      <c r="Q793" t="n">
        <v>0</v>
      </c>
      <c r="R793" s="2" t="inlineStr"/>
    </row>
    <row r="794" ht="15" customHeight="1">
      <c r="A794" t="inlineStr">
        <is>
          <t>A 6351-2024</t>
        </is>
      </c>
      <c r="B794" s="1" t="n">
        <v>45338</v>
      </c>
      <c r="C794" s="1" t="n">
        <v>45730</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6353-2024</t>
        </is>
      </c>
      <c r="B795" s="1" t="n">
        <v>45338</v>
      </c>
      <c r="C795" s="1" t="n">
        <v>45730</v>
      </c>
      <c r="D795" t="inlineStr">
        <is>
          <t>JÄMTLANDS LÄN</t>
        </is>
      </c>
      <c r="E795" t="inlineStr">
        <is>
          <t>ÖSTERSUND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6376-2024</t>
        </is>
      </c>
      <c r="B796" s="1" t="n">
        <v>45338</v>
      </c>
      <c r="C796" s="1" t="n">
        <v>45730</v>
      </c>
      <c r="D796" t="inlineStr">
        <is>
          <t>JÄMTLANDS LÄN</t>
        </is>
      </c>
      <c r="E796" t="inlineStr">
        <is>
          <t>ÖSTERSUND</t>
        </is>
      </c>
      <c r="G796" t="n">
        <v>4.6</v>
      </c>
      <c r="H796" t="n">
        <v>0</v>
      </c>
      <c r="I796" t="n">
        <v>0</v>
      </c>
      <c r="J796" t="n">
        <v>0</v>
      </c>
      <c r="K796" t="n">
        <v>0</v>
      </c>
      <c r="L796" t="n">
        <v>0</v>
      </c>
      <c r="M796" t="n">
        <v>0</v>
      </c>
      <c r="N796" t="n">
        <v>0</v>
      </c>
      <c r="O796" t="n">
        <v>0</v>
      </c>
      <c r="P796" t="n">
        <v>0</v>
      </c>
      <c r="Q796" t="n">
        <v>0</v>
      </c>
      <c r="R796" s="2" t="inlineStr"/>
    </row>
    <row r="797" ht="15" customHeight="1">
      <c r="A797" t="inlineStr">
        <is>
          <t>A 6402-2024</t>
        </is>
      </c>
      <c r="B797" s="1" t="n">
        <v>45338</v>
      </c>
      <c r="C797" s="1" t="n">
        <v>45730</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6481-2024</t>
        </is>
      </c>
      <c r="B798" s="1" t="n">
        <v>45338</v>
      </c>
      <c r="C798" s="1" t="n">
        <v>45730</v>
      </c>
      <c r="D798" t="inlineStr">
        <is>
          <t>JÄMTLANDS LÄN</t>
        </is>
      </c>
      <c r="E798" t="inlineStr">
        <is>
          <t>ÖSTERSUND</t>
        </is>
      </c>
      <c r="F798" t="inlineStr">
        <is>
          <t>SCA</t>
        </is>
      </c>
      <c r="G798" t="n">
        <v>21.3</v>
      </c>
      <c r="H798" t="n">
        <v>0</v>
      </c>
      <c r="I798" t="n">
        <v>0</v>
      </c>
      <c r="J798" t="n">
        <v>0</v>
      </c>
      <c r="K798" t="n">
        <v>0</v>
      </c>
      <c r="L798" t="n">
        <v>0</v>
      </c>
      <c r="M798" t="n">
        <v>0</v>
      </c>
      <c r="N798" t="n">
        <v>0</v>
      </c>
      <c r="O798" t="n">
        <v>0</v>
      </c>
      <c r="P798" t="n">
        <v>0</v>
      </c>
      <c r="Q798" t="n">
        <v>0</v>
      </c>
      <c r="R798" s="2" t="inlineStr"/>
    </row>
    <row r="799" ht="15" customHeight="1">
      <c r="A799" t="inlineStr">
        <is>
          <t>A 6877-2024</t>
        </is>
      </c>
      <c r="B799" s="1" t="n">
        <v>45342</v>
      </c>
      <c r="C799" s="1" t="n">
        <v>45730</v>
      </c>
      <c r="D799" t="inlineStr">
        <is>
          <t>JÄMTLANDS LÄN</t>
        </is>
      </c>
      <c r="E799" t="inlineStr">
        <is>
          <t>ÖSTERSUND</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7233-2024</t>
        </is>
      </c>
      <c r="B800" s="1" t="n">
        <v>45344</v>
      </c>
      <c r="C800" s="1" t="n">
        <v>45730</v>
      </c>
      <c r="D800" t="inlineStr">
        <is>
          <t>JÄMTLANDS LÄN</t>
        </is>
      </c>
      <c r="E800" t="inlineStr">
        <is>
          <t>ÖSTERSUND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7224-2024</t>
        </is>
      </c>
      <c r="B801" s="1" t="n">
        <v>45344</v>
      </c>
      <c r="C801" s="1" t="n">
        <v>45730</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7228-2024</t>
        </is>
      </c>
      <c r="B802" s="1" t="n">
        <v>45344</v>
      </c>
      <c r="C802" s="1" t="n">
        <v>45730</v>
      </c>
      <c r="D802" t="inlineStr">
        <is>
          <t>JÄMTLANDS LÄN</t>
        </is>
      </c>
      <c r="E802" t="inlineStr">
        <is>
          <t>ÖSTERSUND</t>
        </is>
      </c>
      <c r="G802" t="n">
        <v>3</v>
      </c>
      <c r="H802" t="n">
        <v>0</v>
      </c>
      <c r="I802" t="n">
        <v>0</v>
      </c>
      <c r="J802" t="n">
        <v>0</v>
      </c>
      <c r="K802" t="n">
        <v>0</v>
      </c>
      <c r="L802" t="n">
        <v>0</v>
      </c>
      <c r="M802" t="n">
        <v>0</v>
      </c>
      <c r="N802" t="n">
        <v>0</v>
      </c>
      <c r="O802" t="n">
        <v>0</v>
      </c>
      <c r="P802" t="n">
        <v>0</v>
      </c>
      <c r="Q802" t="n">
        <v>0</v>
      </c>
      <c r="R802" s="2" t="inlineStr"/>
    </row>
    <row r="803" ht="15" customHeight="1">
      <c r="A803" t="inlineStr">
        <is>
          <t>A 7484-2024</t>
        </is>
      </c>
      <c r="B803" s="1" t="n">
        <v>45346</v>
      </c>
      <c r="C803" s="1" t="n">
        <v>45730</v>
      </c>
      <c r="D803" t="inlineStr">
        <is>
          <t>JÄMTLANDS LÄN</t>
        </is>
      </c>
      <c r="E803" t="inlineStr">
        <is>
          <t>ÖSTERSUND</t>
        </is>
      </c>
      <c r="G803" t="n">
        <v>5.4</v>
      </c>
      <c r="H803" t="n">
        <v>0</v>
      </c>
      <c r="I803" t="n">
        <v>0</v>
      </c>
      <c r="J803" t="n">
        <v>0</v>
      </c>
      <c r="K803" t="n">
        <v>0</v>
      </c>
      <c r="L803" t="n">
        <v>0</v>
      </c>
      <c r="M803" t="n">
        <v>0</v>
      </c>
      <c r="N803" t="n">
        <v>0</v>
      </c>
      <c r="O803" t="n">
        <v>0</v>
      </c>
      <c r="P803" t="n">
        <v>0</v>
      </c>
      <c r="Q803" t="n">
        <v>0</v>
      </c>
      <c r="R803" s="2" t="inlineStr"/>
    </row>
    <row r="804" ht="15" customHeight="1">
      <c r="A804" t="inlineStr">
        <is>
          <t>A 8166-2024</t>
        </is>
      </c>
      <c r="B804" s="1" t="n">
        <v>45349</v>
      </c>
      <c r="C804" s="1" t="n">
        <v>45730</v>
      </c>
      <c r="D804" t="inlineStr">
        <is>
          <t>JÄMTLANDS LÄN</t>
        </is>
      </c>
      <c r="E804" t="inlineStr">
        <is>
          <t>ÖSTERSUND</t>
        </is>
      </c>
      <c r="G804" t="n">
        <v>2.7</v>
      </c>
      <c r="H804" t="n">
        <v>0</v>
      </c>
      <c r="I804" t="n">
        <v>0</v>
      </c>
      <c r="J804" t="n">
        <v>0</v>
      </c>
      <c r="K804" t="n">
        <v>0</v>
      </c>
      <c r="L804" t="n">
        <v>0</v>
      </c>
      <c r="M804" t="n">
        <v>0</v>
      </c>
      <c r="N804" t="n">
        <v>0</v>
      </c>
      <c r="O804" t="n">
        <v>0</v>
      </c>
      <c r="P804" t="n">
        <v>0</v>
      </c>
      <c r="Q804" t="n">
        <v>0</v>
      </c>
      <c r="R804" s="2" t="inlineStr"/>
    </row>
    <row r="805" ht="15" customHeight="1">
      <c r="A805" t="inlineStr">
        <is>
          <t>A 9109-2024</t>
        </is>
      </c>
      <c r="B805" s="1" t="n">
        <v>45358</v>
      </c>
      <c r="C805" s="1" t="n">
        <v>45730</v>
      </c>
      <c r="D805" t="inlineStr">
        <is>
          <t>JÄMTLANDS LÄN</t>
        </is>
      </c>
      <c r="E805" t="inlineStr">
        <is>
          <t>ÖSTERSUND</t>
        </is>
      </c>
      <c r="G805" t="n">
        <v>17.1</v>
      </c>
      <c r="H805" t="n">
        <v>0</v>
      </c>
      <c r="I805" t="n">
        <v>0</v>
      </c>
      <c r="J805" t="n">
        <v>0</v>
      </c>
      <c r="K805" t="n">
        <v>0</v>
      </c>
      <c r="L805" t="n">
        <v>0</v>
      </c>
      <c r="M805" t="n">
        <v>0</v>
      </c>
      <c r="N805" t="n">
        <v>0</v>
      </c>
      <c r="O805" t="n">
        <v>0</v>
      </c>
      <c r="P805" t="n">
        <v>0</v>
      </c>
      <c r="Q805" t="n">
        <v>0</v>
      </c>
      <c r="R805" s="2" t="inlineStr"/>
    </row>
    <row r="806" ht="15" customHeight="1">
      <c r="A806" t="inlineStr">
        <is>
          <t>A 9151-2024</t>
        </is>
      </c>
      <c r="B806" s="1" t="n">
        <v>45358</v>
      </c>
      <c r="C806" s="1" t="n">
        <v>45730</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9859-2024</t>
        </is>
      </c>
      <c r="B807" s="1" t="n">
        <v>45363</v>
      </c>
      <c r="C807" s="1" t="n">
        <v>45730</v>
      </c>
      <c r="D807" t="inlineStr">
        <is>
          <t>JÄMTLANDS LÄN</t>
        </is>
      </c>
      <c r="E807" t="inlineStr">
        <is>
          <t>ÖSTERSUND</t>
        </is>
      </c>
      <c r="G807" t="n">
        <v>5.5</v>
      </c>
      <c r="H807" t="n">
        <v>0</v>
      </c>
      <c r="I807" t="n">
        <v>0</v>
      </c>
      <c r="J807" t="n">
        <v>0</v>
      </c>
      <c r="K807" t="n">
        <v>0</v>
      </c>
      <c r="L807" t="n">
        <v>0</v>
      </c>
      <c r="M807" t="n">
        <v>0</v>
      </c>
      <c r="N807" t="n">
        <v>0</v>
      </c>
      <c r="O807" t="n">
        <v>0</v>
      </c>
      <c r="P807" t="n">
        <v>0</v>
      </c>
      <c r="Q807" t="n">
        <v>0</v>
      </c>
      <c r="R807" s="2" t="inlineStr"/>
    </row>
    <row r="808" ht="15" customHeight="1">
      <c r="A808" t="inlineStr">
        <is>
          <t>A 10064-2024</t>
        </is>
      </c>
      <c r="B808" s="1" t="n">
        <v>45364</v>
      </c>
      <c r="C808" s="1" t="n">
        <v>45730</v>
      </c>
      <c r="D808" t="inlineStr">
        <is>
          <t>JÄMTLANDS LÄN</t>
        </is>
      </c>
      <c r="E808" t="inlineStr">
        <is>
          <t>ÖSTERSUND</t>
        </is>
      </c>
      <c r="G808" t="n">
        <v>13.9</v>
      </c>
      <c r="H808" t="n">
        <v>0</v>
      </c>
      <c r="I808" t="n">
        <v>0</v>
      </c>
      <c r="J808" t="n">
        <v>0</v>
      </c>
      <c r="K808" t="n">
        <v>0</v>
      </c>
      <c r="L808" t="n">
        <v>0</v>
      </c>
      <c r="M808" t="n">
        <v>0</v>
      </c>
      <c r="N808" t="n">
        <v>0</v>
      </c>
      <c r="O808" t="n">
        <v>0</v>
      </c>
      <c r="P808" t="n">
        <v>0</v>
      </c>
      <c r="Q808" t="n">
        <v>0</v>
      </c>
      <c r="R808" s="2" t="inlineStr"/>
    </row>
    <row r="809" ht="15" customHeight="1">
      <c r="A809" t="inlineStr">
        <is>
          <t>A 10619-2024</t>
        </is>
      </c>
      <c r="B809" s="1" t="n">
        <v>45367</v>
      </c>
      <c r="C809" s="1" t="n">
        <v>45730</v>
      </c>
      <c r="D809" t="inlineStr">
        <is>
          <t>JÄMTLANDS LÄN</t>
        </is>
      </c>
      <c r="E809" t="inlineStr">
        <is>
          <t>ÖSTERSUND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11052-2024</t>
        </is>
      </c>
      <c r="B810" s="1" t="n">
        <v>45370</v>
      </c>
      <c r="C810" s="1" t="n">
        <v>45730</v>
      </c>
      <c r="D810" t="inlineStr">
        <is>
          <t>JÄMTLANDS LÄN</t>
        </is>
      </c>
      <c r="E810" t="inlineStr">
        <is>
          <t>ÖSTERSUND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11768-2024</t>
        </is>
      </c>
      <c r="B811" s="1" t="n">
        <v>45373</v>
      </c>
      <c r="C811" s="1" t="n">
        <v>45730</v>
      </c>
      <c r="D811" t="inlineStr">
        <is>
          <t>JÄMTLANDS LÄN</t>
        </is>
      </c>
      <c r="E811" t="inlineStr">
        <is>
          <t>ÖSTERSUND</t>
        </is>
      </c>
      <c r="F811" t="inlineStr">
        <is>
          <t>SCA</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11877-2024</t>
        </is>
      </c>
      <c r="B812" s="1" t="n">
        <v>45376</v>
      </c>
      <c r="C812" s="1" t="n">
        <v>45730</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11931-2024</t>
        </is>
      </c>
      <c r="B813" s="1" t="n">
        <v>45376</v>
      </c>
      <c r="C813" s="1" t="n">
        <v>45730</v>
      </c>
      <c r="D813" t="inlineStr">
        <is>
          <t>JÄMTLANDS LÄN</t>
        </is>
      </c>
      <c r="E813" t="inlineStr">
        <is>
          <t>ÖSTERSUND</t>
        </is>
      </c>
      <c r="G813" t="n">
        <v>1.6</v>
      </c>
      <c r="H813" t="n">
        <v>0</v>
      </c>
      <c r="I813" t="n">
        <v>0</v>
      </c>
      <c r="J813" t="n">
        <v>0</v>
      </c>
      <c r="K813" t="n">
        <v>0</v>
      </c>
      <c r="L813" t="n">
        <v>0</v>
      </c>
      <c r="M813" t="n">
        <v>0</v>
      </c>
      <c r="N813" t="n">
        <v>0</v>
      </c>
      <c r="O813" t="n">
        <v>0</v>
      </c>
      <c r="P813" t="n">
        <v>0</v>
      </c>
      <c r="Q813" t="n">
        <v>0</v>
      </c>
      <c r="R813" s="2" t="inlineStr"/>
    </row>
    <row r="814" ht="15" customHeight="1">
      <c r="A814" t="inlineStr">
        <is>
          <t>A 14142-2024</t>
        </is>
      </c>
      <c r="B814" s="1" t="n">
        <v>45392</v>
      </c>
      <c r="C814" s="1" t="n">
        <v>45730</v>
      </c>
      <c r="D814" t="inlineStr">
        <is>
          <t>JÄMTLANDS LÄN</t>
        </is>
      </c>
      <c r="E814" t="inlineStr">
        <is>
          <t>ÖSTERSUND</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16068-2024</t>
        </is>
      </c>
      <c r="B815" s="1" t="n">
        <v>45406</v>
      </c>
      <c r="C815" s="1" t="n">
        <v>45730</v>
      </c>
      <c r="D815" t="inlineStr">
        <is>
          <t>JÄMTLANDS LÄN</t>
        </is>
      </c>
      <c r="E815" t="inlineStr">
        <is>
          <t>ÖSTERSUND</t>
        </is>
      </c>
      <c r="F815" t="inlineStr">
        <is>
          <t>SCA</t>
        </is>
      </c>
      <c r="G815" t="n">
        <v>35.6</v>
      </c>
      <c r="H815" t="n">
        <v>0</v>
      </c>
      <c r="I815" t="n">
        <v>0</v>
      </c>
      <c r="J815" t="n">
        <v>0</v>
      </c>
      <c r="K815" t="n">
        <v>0</v>
      </c>
      <c r="L815" t="n">
        <v>0</v>
      </c>
      <c r="M815" t="n">
        <v>0</v>
      </c>
      <c r="N815" t="n">
        <v>0</v>
      </c>
      <c r="O815" t="n">
        <v>0</v>
      </c>
      <c r="P815" t="n">
        <v>0</v>
      </c>
      <c r="Q815" t="n">
        <v>0</v>
      </c>
      <c r="R815" s="2" t="inlineStr"/>
    </row>
    <row r="816" ht="15" customHeight="1">
      <c r="A816" t="inlineStr">
        <is>
          <t>A 16065-2024</t>
        </is>
      </c>
      <c r="B816" s="1" t="n">
        <v>45406</v>
      </c>
      <c r="C816" s="1" t="n">
        <v>45730</v>
      </c>
      <c r="D816" t="inlineStr">
        <is>
          <t>JÄMTLANDS LÄN</t>
        </is>
      </c>
      <c r="E816" t="inlineStr">
        <is>
          <t>ÖSTERSUND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16459-2024</t>
        </is>
      </c>
      <c r="B817" s="1" t="n">
        <v>45407</v>
      </c>
      <c r="C817" s="1" t="n">
        <v>45730</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16689-2024</t>
        </is>
      </c>
      <c r="B818" s="1" t="n">
        <v>45408</v>
      </c>
      <c r="C818" s="1" t="n">
        <v>45730</v>
      </c>
      <c r="D818" t="inlineStr">
        <is>
          <t>JÄMTLANDS LÄN</t>
        </is>
      </c>
      <c r="E818" t="inlineStr">
        <is>
          <t>ÖSTERSUND</t>
        </is>
      </c>
      <c r="G818" t="n">
        <v>0.6</v>
      </c>
      <c r="H818" t="n">
        <v>0</v>
      </c>
      <c r="I818" t="n">
        <v>0</v>
      </c>
      <c r="J818" t="n">
        <v>0</v>
      </c>
      <c r="K818" t="n">
        <v>0</v>
      </c>
      <c r="L818" t="n">
        <v>0</v>
      </c>
      <c r="M818" t="n">
        <v>0</v>
      </c>
      <c r="N818" t="n">
        <v>0</v>
      </c>
      <c r="O818" t="n">
        <v>0</v>
      </c>
      <c r="P818" t="n">
        <v>0</v>
      </c>
      <c r="Q818" t="n">
        <v>0</v>
      </c>
      <c r="R818" s="2" t="inlineStr"/>
    </row>
    <row r="819" ht="15" customHeight="1">
      <c r="A819" t="inlineStr">
        <is>
          <t>A 17188-2024</t>
        </is>
      </c>
      <c r="B819" s="1" t="n">
        <v>45413</v>
      </c>
      <c r="C819" s="1" t="n">
        <v>45730</v>
      </c>
      <c r="D819" t="inlineStr">
        <is>
          <t>JÄMTLANDS LÄN</t>
        </is>
      </c>
      <c r="E819" t="inlineStr">
        <is>
          <t>ÖSTERSUND</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17062-2024</t>
        </is>
      </c>
      <c r="B820" s="1" t="n">
        <v>45412</v>
      </c>
      <c r="C820" s="1" t="n">
        <v>45730</v>
      </c>
      <c r="D820" t="inlineStr">
        <is>
          <t>JÄMTLANDS LÄN</t>
        </is>
      </c>
      <c r="E820" t="inlineStr">
        <is>
          <t>ÖSTERSUND</t>
        </is>
      </c>
      <c r="G820" t="n">
        <v>8</v>
      </c>
      <c r="H820" t="n">
        <v>0</v>
      </c>
      <c r="I820" t="n">
        <v>0</v>
      </c>
      <c r="J820" t="n">
        <v>0</v>
      </c>
      <c r="K820" t="n">
        <v>0</v>
      </c>
      <c r="L820" t="n">
        <v>0</v>
      </c>
      <c r="M820" t="n">
        <v>0</v>
      </c>
      <c r="N820" t="n">
        <v>0</v>
      </c>
      <c r="O820" t="n">
        <v>0</v>
      </c>
      <c r="P820" t="n">
        <v>0</v>
      </c>
      <c r="Q820" t="n">
        <v>0</v>
      </c>
      <c r="R820" s="2" t="inlineStr"/>
    </row>
    <row r="821" ht="15" customHeight="1">
      <c r="A821" t="inlineStr">
        <is>
          <t>A 17066-2024</t>
        </is>
      </c>
      <c r="B821" s="1" t="n">
        <v>45412</v>
      </c>
      <c r="C821" s="1" t="n">
        <v>45730</v>
      </c>
      <c r="D821" t="inlineStr">
        <is>
          <t>JÄMTLANDS LÄN</t>
        </is>
      </c>
      <c r="E821" t="inlineStr">
        <is>
          <t>ÖSTERSUND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17547-2024</t>
        </is>
      </c>
      <c r="B822" s="1" t="n">
        <v>45415</v>
      </c>
      <c r="C822" s="1" t="n">
        <v>45730</v>
      </c>
      <c r="D822" t="inlineStr">
        <is>
          <t>JÄMTLANDS LÄN</t>
        </is>
      </c>
      <c r="E822" t="inlineStr">
        <is>
          <t>ÖSTERSUND</t>
        </is>
      </c>
      <c r="G822" t="n">
        <v>2.1</v>
      </c>
      <c r="H822" t="n">
        <v>0</v>
      </c>
      <c r="I822" t="n">
        <v>0</v>
      </c>
      <c r="J822" t="n">
        <v>0</v>
      </c>
      <c r="K822" t="n">
        <v>0</v>
      </c>
      <c r="L822" t="n">
        <v>0</v>
      </c>
      <c r="M822" t="n">
        <v>0</v>
      </c>
      <c r="N822" t="n">
        <v>0</v>
      </c>
      <c r="O822" t="n">
        <v>0</v>
      </c>
      <c r="P822" t="n">
        <v>0</v>
      </c>
      <c r="Q822" t="n">
        <v>0</v>
      </c>
      <c r="R822" s="2" t="inlineStr"/>
    </row>
    <row r="823" ht="15" customHeight="1">
      <c r="A823" t="inlineStr">
        <is>
          <t>A 17760-2024</t>
        </is>
      </c>
      <c r="B823" s="1" t="n">
        <v>45418</v>
      </c>
      <c r="C823" s="1" t="n">
        <v>45730</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17709-2024</t>
        </is>
      </c>
      <c r="B824" s="1" t="n">
        <v>45418</v>
      </c>
      <c r="C824" s="1" t="n">
        <v>45730</v>
      </c>
      <c r="D824" t="inlineStr">
        <is>
          <t>JÄMTLANDS LÄN</t>
        </is>
      </c>
      <c r="E824" t="inlineStr">
        <is>
          <t>ÖSTERSUND</t>
        </is>
      </c>
      <c r="G824" t="n">
        <v>2.9</v>
      </c>
      <c r="H824" t="n">
        <v>0</v>
      </c>
      <c r="I824" t="n">
        <v>0</v>
      </c>
      <c r="J824" t="n">
        <v>0</v>
      </c>
      <c r="K824" t="n">
        <v>0</v>
      </c>
      <c r="L824" t="n">
        <v>0</v>
      </c>
      <c r="M824" t="n">
        <v>0</v>
      </c>
      <c r="N824" t="n">
        <v>0</v>
      </c>
      <c r="O824" t="n">
        <v>0</v>
      </c>
      <c r="P824" t="n">
        <v>0</v>
      </c>
      <c r="Q824" t="n">
        <v>0</v>
      </c>
      <c r="R824" s="2" t="inlineStr"/>
    </row>
    <row r="825" ht="15" customHeight="1">
      <c r="A825" t="inlineStr">
        <is>
          <t>A 18627-2024</t>
        </is>
      </c>
      <c r="B825" s="1" t="n">
        <v>45426</v>
      </c>
      <c r="C825" s="1" t="n">
        <v>45730</v>
      </c>
      <c r="D825" t="inlineStr">
        <is>
          <t>JÄMTLANDS LÄN</t>
        </is>
      </c>
      <c r="E825" t="inlineStr">
        <is>
          <t>ÖSTERSUND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18643-2024</t>
        </is>
      </c>
      <c r="B826" s="1" t="n">
        <v>45426</v>
      </c>
      <c r="C826" s="1" t="n">
        <v>45730</v>
      </c>
      <c r="D826" t="inlineStr">
        <is>
          <t>JÄMTLANDS LÄN</t>
        </is>
      </c>
      <c r="E826" t="inlineStr">
        <is>
          <t>ÖSTERSUND</t>
        </is>
      </c>
      <c r="F826" t="inlineStr">
        <is>
          <t>SCA</t>
        </is>
      </c>
      <c r="G826" t="n">
        <v>10.3</v>
      </c>
      <c r="H826" t="n">
        <v>0</v>
      </c>
      <c r="I826" t="n">
        <v>0</v>
      </c>
      <c r="J826" t="n">
        <v>0</v>
      </c>
      <c r="K826" t="n">
        <v>0</v>
      </c>
      <c r="L826" t="n">
        <v>0</v>
      </c>
      <c r="M826" t="n">
        <v>0</v>
      </c>
      <c r="N826" t="n">
        <v>0</v>
      </c>
      <c r="O826" t="n">
        <v>0</v>
      </c>
      <c r="P826" t="n">
        <v>0</v>
      </c>
      <c r="Q826" t="n">
        <v>0</v>
      </c>
      <c r="R826" s="2" t="inlineStr"/>
    </row>
    <row r="827" ht="15" customHeight="1">
      <c r="A827" t="inlineStr">
        <is>
          <t>A 18624-2024</t>
        </is>
      </c>
      <c r="B827" s="1" t="n">
        <v>45426</v>
      </c>
      <c r="C827" s="1" t="n">
        <v>45730</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19112-2024</t>
        </is>
      </c>
      <c r="B828" s="1" t="n">
        <v>45427</v>
      </c>
      <c r="C828" s="1" t="n">
        <v>45730</v>
      </c>
      <c r="D828" t="inlineStr">
        <is>
          <t>JÄMTLANDS LÄN</t>
        </is>
      </c>
      <c r="E828" t="inlineStr">
        <is>
          <t>ÖSTERSUND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19037-2024</t>
        </is>
      </c>
      <c r="B829" s="1" t="n">
        <v>45427</v>
      </c>
      <c r="C829" s="1" t="n">
        <v>45730</v>
      </c>
      <c r="D829" t="inlineStr">
        <is>
          <t>JÄMTLANDS LÄN</t>
        </is>
      </c>
      <c r="E829" t="inlineStr">
        <is>
          <t>ÖSTERSUND</t>
        </is>
      </c>
      <c r="G829" t="n">
        <v>2</v>
      </c>
      <c r="H829" t="n">
        <v>0</v>
      </c>
      <c r="I829" t="n">
        <v>0</v>
      </c>
      <c r="J829" t="n">
        <v>0</v>
      </c>
      <c r="K829" t="n">
        <v>0</v>
      </c>
      <c r="L829" t="n">
        <v>0</v>
      </c>
      <c r="M829" t="n">
        <v>0</v>
      </c>
      <c r="N829" t="n">
        <v>0</v>
      </c>
      <c r="O829" t="n">
        <v>0</v>
      </c>
      <c r="P829" t="n">
        <v>0</v>
      </c>
      <c r="Q829" t="n">
        <v>0</v>
      </c>
      <c r="R829" s="2" t="inlineStr"/>
    </row>
    <row r="830" ht="15" customHeight="1">
      <c r="A830" t="inlineStr">
        <is>
          <t>A 19138-2024</t>
        </is>
      </c>
      <c r="B830" s="1" t="n">
        <v>45428</v>
      </c>
      <c r="C830" s="1" t="n">
        <v>45730</v>
      </c>
      <c r="D830" t="inlineStr">
        <is>
          <t>JÄMTLANDS LÄN</t>
        </is>
      </c>
      <c r="E830" t="inlineStr">
        <is>
          <t>ÖSTERSUND</t>
        </is>
      </c>
      <c r="G830" t="n">
        <v>13.6</v>
      </c>
      <c r="H830" t="n">
        <v>0</v>
      </c>
      <c r="I830" t="n">
        <v>0</v>
      </c>
      <c r="J830" t="n">
        <v>0</v>
      </c>
      <c r="K830" t="n">
        <v>0</v>
      </c>
      <c r="L830" t="n">
        <v>0</v>
      </c>
      <c r="M830" t="n">
        <v>0</v>
      </c>
      <c r="N830" t="n">
        <v>0</v>
      </c>
      <c r="O830" t="n">
        <v>0</v>
      </c>
      <c r="P830" t="n">
        <v>0</v>
      </c>
      <c r="Q830" t="n">
        <v>0</v>
      </c>
      <c r="R830" s="2" t="inlineStr"/>
    </row>
    <row r="831" ht="15" customHeight="1">
      <c r="A831" t="inlineStr">
        <is>
          <t>A 19233-2024</t>
        </is>
      </c>
      <c r="B831" s="1" t="n">
        <v>45428</v>
      </c>
      <c r="C831" s="1" t="n">
        <v>45730</v>
      </c>
      <c r="D831" t="inlineStr">
        <is>
          <t>JÄMTLANDS LÄN</t>
        </is>
      </c>
      <c r="E831" t="inlineStr">
        <is>
          <t>ÖSTERSUND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19408-2024</t>
        </is>
      </c>
      <c r="B832" s="1" t="n">
        <v>45428</v>
      </c>
      <c r="C832" s="1" t="n">
        <v>45730</v>
      </c>
      <c r="D832" t="inlineStr">
        <is>
          <t>JÄMTLANDS LÄN</t>
        </is>
      </c>
      <c r="E832" t="inlineStr">
        <is>
          <t>ÖSTERSUND</t>
        </is>
      </c>
      <c r="G832" t="n">
        <v>11.1</v>
      </c>
      <c r="H832" t="n">
        <v>0</v>
      </c>
      <c r="I832" t="n">
        <v>0</v>
      </c>
      <c r="J832" t="n">
        <v>0</v>
      </c>
      <c r="K832" t="n">
        <v>0</v>
      </c>
      <c r="L832" t="n">
        <v>0</v>
      </c>
      <c r="M832" t="n">
        <v>0</v>
      </c>
      <c r="N832" t="n">
        <v>0</v>
      </c>
      <c r="O832" t="n">
        <v>0</v>
      </c>
      <c r="P832" t="n">
        <v>0</v>
      </c>
      <c r="Q832" t="n">
        <v>0</v>
      </c>
      <c r="R832" s="2" t="inlineStr"/>
    </row>
    <row r="833" ht="15" customHeight="1">
      <c r="A833" t="inlineStr">
        <is>
          <t>A 19323-2024</t>
        </is>
      </c>
      <c r="B833" s="1" t="n">
        <v>45429</v>
      </c>
      <c r="C833" s="1" t="n">
        <v>45730</v>
      </c>
      <c r="D833" t="inlineStr">
        <is>
          <t>JÄMTLANDS LÄN</t>
        </is>
      </c>
      <c r="E833" t="inlineStr">
        <is>
          <t>ÖSTERSUND</t>
        </is>
      </c>
      <c r="F833" t="inlineStr">
        <is>
          <t>Kommuner</t>
        </is>
      </c>
      <c r="G833" t="n">
        <v>0.2</v>
      </c>
      <c r="H833" t="n">
        <v>0</v>
      </c>
      <c r="I833" t="n">
        <v>0</v>
      </c>
      <c r="J833" t="n">
        <v>0</v>
      </c>
      <c r="K833" t="n">
        <v>0</v>
      </c>
      <c r="L833" t="n">
        <v>0</v>
      </c>
      <c r="M833" t="n">
        <v>0</v>
      </c>
      <c r="N833" t="n">
        <v>0</v>
      </c>
      <c r="O833" t="n">
        <v>0</v>
      </c>
      <c r="P833" t="n">
        <v>0</v>
      </c>
      <c r="Q833" t="n">
        <v>0</v>
      </c>
      <c r="R833" s="2" t="inlineStr"/>
    </row>
    <row r="834" ht="15" customHeight="1">
      <c r="A834" t="inlineStr">
        <is>
          <t>A 19566-2024</t>
        </is>
      </c>
      <c r="B834" s="1" t="n">
        <v>45430</v>
      </c>
      <c r="C834" s="1" t="n">
        <v>45730</v>
      </c>
      <c r="D834" t="inlineStr">
        <is>
          <t>JÄMTLANDS LÄN</t>
        </is>
      </c>
      <c r="E834" t="inlineStr">
        <is>
          <t>ÖSTERSUND</t>
        </is>
      </c>
      <c r="G834" t="n">
        <v>0</v>
      </c>
      <c r="H834" t="n">
        <v>0</v>
      </c>
      <c r="I834" t="n">
        <v>0</v>
      </c>
      <c r="J834" t="n">
        <v>0</v>
      </c>
      <c r="K834" t="n">
        <v>0</v>
      </c>
      <c r="L834" t="n">
        <v>0</v>
      </c>
      <c r="M834" t="n">
        <v>0</v>
      </c>
      <c r="N834" t="n">
        <v>0</v>
      </c>
      <c r="O834" t="n">
        <v>0</v>
      </c>
      <c r="P834" t="n">
        <v>0</v>
      </c>
      <c r="Q834" t="n">
        <v>0</v>
      </c>
      <c r="R834" s="2" t="inlineStr"/>
    </row>
    <row r="835" ht="15" customHeight="1">
      <c r="A835" t="inlineStr">
        <is>
          <t>A 19570-2024</t>
        </is>
      </c>
      <c r="B835" s="1" t="n">
        <v>45430</v>
      </c>
      <c r="C835" s="1" t="n">
        <v>45730</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19725-2024</t>
        </is>
      </c>
      <c r="B836" s="1" t="n">
        <v>45432</v>
      </c>
      <c r="C836" s="1" t="n">
        <v>45730</v>
      </c>
      <c r="D836" t="inlineStr">
        <is>
          <t>JÄMTLANDS LÄN</t>
        </is>
      </c>
      <c r="E836" t="inlineStr">
        <is>
          <t>ÖSTERSUND</t>
        </is>
      </c>
      <c r="G836" t="n">
        <v>7.2</v>
      </c>
      <c r="H836" t="n">
        <v>0</v>
      </c>
      <c r="I836" t="n">
        <v>0</v>
      </c>
      <c r="J836" t="n">
        <v>0</v>
      </c>
      <c r="K836" t="n">
        <v>0</v>
      </c>
      <c r="L836" t="n">
        <v>0</v>
      </c>
      <c r="M836" t="n">
        <v>0</v>
      </c>
      <c r="N836" t="n">
        <v>0</v>
      </c>
      <c r="O836" t="n">
        <v>0</v>
      </c>
      <c r="P836" t="n">
        <v>0</v>
      </c>
      <c r="Q836" t="n">
        <v>0</v>
      </c>
      <c r="R836" s="2" t="inlineStr"/>
    </row>
    <row r="837" ht="15" customHeight="1">
      <c r="A837" t="inlineStr">
        <is>
          <t>A 20068-2024</t>
        </is>
      </c>
      <c r="B837" s="1" t="n">
        <v>45434</v>
      </c>
      <c r="C837" s="1" t="n">
        <v>45730</v>
      </c>
      <c r="D837" t="inlineStr">
        <is>
          <t>JÄMTLANDS LÄN</t>
        </is>
      </c>
      <c r="E837" t="inlineStr">
        <is>
          <t>ÖSTERSUND</t>
        </is>
      </c>
      <c r="G837" t="n">
        <v>10.2</v>
      </c>
      <c r="H837" t="n">
        <v>0</v>
      </c>
      <c r="I837" t="n">
        <v>0</v>
      </c>
      <c r="J837" t="n">
        <v>0</v>
      </c>
      <c r="K837" t="n">
        <v>0</v>
      </c>
      <c r="L837" t="n">
        <v>0</v>
      </c>
      <c r="M837" t="n">
        <v>0</v>
      </c>
      <c r="N837" t="n">
        <v>0</v>
      </c>
      <c r="O837" t="n">
        <v>0</v>
      </c>
      <c r="P837" t="n">
        <v>0</v>
      </c>
      <c r="Q837" t="n">
        <v>0</v>
      </c>
      <c r="R837" s="2" t="inlineStr"/>
    </row>
    <row r="838" ht="15" customHeight="1">
      <c r="A838" t="inlineStr">
        <is>
          <t>A 20400-2024</t>
        </is>
      </c>
      <c r="B838" s="1" t="n">
        <v>45435</v>
      </c>
      <c r="C838" s="1" t="n">
        <v>45730</v>
      </c>
      <c r="D838" t="inlineStr">
        <is>
          <t>JÄMTLANDS LÄN</t>
        </is>
      </c>
      <c r="E838" t="inlineStr">
        <is>
          <t>ÖSTERSUND</t>
        </is>
      </c>
      <c r="G838" t="n">
        <v>0.9</v>
      </c>
      <c r="H838" t="n">
        <v>0</v>
      </c>
      <c r="I838" t="n">
        <v>0</v>
      </c>
      <c r="J838" t="n">
        <v>0</v>
      </c>
      <c r="K838" t="n">
        <v>0</v>
      </c>
      <c r="L838" t="n">
        <v>0</v>
      </c>
      <c r="M838" t="n">
        <v>0</v>
      </c>
      <c r="N838" t="n">
        <v>0</v>
      </c>
      <c r="O838" t="n">
        <v>0</v>
      </c>
      <c r="P838" t="n">
        <v>0</v>
      </c>
      <c r="Q838" t="n">
        <v>0</v>
      </c>
      <c r="R838" s="2" t="inlineStr"/>
    </row>
    <row r="839" ht="15" customHeight="1">
      <c r="A839" t="inlineStr">
        <is>
          <t>A 20632-2024</t>
        </is>
      </c>
      <c r="B839" s="1" t="n">
        <v>45436</v>
      </c>
      <c r="C839" s="1" t="n">
        <v>45730</v>
      </c>
      <c r="D839" t="inlineStr">
        <is>
          <t>JÄMTLANDS LÄN</t>
        </is>
      </c>
      <c r="E839" t="inlineStr">
        <is>
          <t>ÖSTERSUND</t>
        </is>
      </c>
      <c r="G839" t="n">
        <v>5.6</v>
      </c>
      <c r="H839" t="n">
        <v>0</v>
      </c>
      <c r="I839" t="n">
        <v>0</v>
      </c>
      <c r="J839" t="n">
        <v>0</v>
      </c>
      <c r="K839" t="n">
        <v>0</v>
      </c>
      <c r="L839" t="n">
        <v>0</v>
      </c>
      <c r="M839" t="n">
        <v>0</v>
      </c>
      <c r="N839" t="n">
        <v>0</v>
      </c>
      <c r="O839" t="n">
        <v>0</v>
      </c>
      <c r="P839" t="n">
        <v>0</v>
      </c>
      <c r="Q839" t="n">
        <v>0</v>
      </c>
      <c r="R839" s="2" t="inlineStr"/>
    </row>
    <row r="840" ht="15" customHeight="1">
      <c r="A840" t="inlineStr">
        <is>
          <t>A 20629-2024</t>
        </is>
      </c>
      <c r="B840" s="1" t="n">
        <v>45436</v>
      </c>
      <c r="C840" s="1" t="n">
        <v>45730</v>
      </c>
      <c r="D840" t="inlineStr">
        <is>
          <t>JÄMTLANDS LÄN</t>
        </is>
      </c>
      <c r="E840" t="inlineStr">
        <is>
          <t>ÖSTERSUND</t>
        </is>
      </c>
      <c r="G840" t="n">
        <v>2.3</v>
      </c>
      <c r="H840" t="n">
        <v>0</v>
      </c>
      <c r="I840" t="n">
        <v>0</v>
      </c>
      <c r="J840" t="n">
        <v>0</v>
      </c>
      <c r="K840" t="n">
        <v>0</v>
      </c>
      <c r="L840" t="n">
        <v>0</v>
      </c>
      <c r="M840" t="n">
        <v>0</v>
      </c>
      <c r="N840" t="n">
        <v>0</v>
      </c>
      <c r="O840" t="n">
        <v>0</v>
      </c>
      <c r="P840" t="n">
        <v>0</v>
      </c>
      <c r="Q840" t="n">
        <v>0</v>
      </c>
      <c r="R840" s="2" t="inlineStr"/>
    </row>
    <row r="841" ht="15" customHeight="1">
      <c r="A841" t="inlineStr">
        <is>
          <t>A 20736-2024</t>
        </is>
      </c>
      <c r="B841" s="1" t="n">
        <v>45436</v>
      </c>
      <c r="C841" s="1" t="n">
        <v>45730</v>
      </c>
      <c r="D841" t="inlineStr">
        <is>
          <t>JÄMTLANDS LÄN</t>
        </is>
      </c>
      <c r="E841" t="inlineStr">
        <is>
          <t>ÖSTERSUND</t>
        </is>
      </c>
      <c r="G841" t="n">
        <v>5.3</v>
      </c>
      <c r="H841" t="n">
        <v>0</v>
      </c>
      <c r="I841" t="n">
        <v>0</v>
      </c>
      <c r="J841" t="n">
        <v>0</v>
      </c>
      <c r="K841" t="n">
        <v>0</v>
      </c>
      <c r="L841" t="n">
        <v>0</v>
      </c>
      <c r="M841" t="n">
        <v>0</v>
      </c>
      <c r="N841" t="n">
        <v>0</v>
      </c>
      <c r="O841" t="n">
        <v>0</v>
      </c>
      <c r="P841" t="n">
        <v>0</v>
      </c>
      <c r="Q841" t="n">
        <v>0</v>
      </c>
      <c r="R841" s="2" t="inlineStr"/>
    </row>
    <row r="842" ht="15" customHeight="1">
      <c r="A842" t="inlineStr">
        <is>
          <t>A 21094-2024</t>
        </is>
      </c>
      <c r="B842" s="1" t="n">
        <v>45440</v>
      </c>
      <c r="C842" s="1" t="n">
        <v>45730</v>
      </c>
      <c r="D842" t="inlineStr">
        <is>
          <t>JÄMTLANDS LÄN</t>
        </is>
      </c>
      <c r="E842" t="inlineStr">
        <is>
          <t>ÖSTERSUND</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21093-2024</t>
        </is>
      </c>
      <c r="B843" s="1" t="n">
        <v>45440</v>
      </c>
      <c r="C843" s="1" t="n">
        <v>45730</v>
      </c>
      <c r="D843" t="inlineStr">
        <is>
          <t>JÄMTLANDS LÄN</t>
        </is>
      </c>
      <c r="E843" t="inlineStr">
        <is>
          <t>ÖSTERSUND</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21373-2024</t>
        </is>
      </c>
      <c r="B844" s="1" t="n">
        <v>45441</v>
      </c>
      <c r="C844" s="1" t="n">
        <v>45730</v>
      </c>
      <c r="D844" t="inlineStr">
        <is>
          <t>JÄMTLANDS LÄN</t>
        </is>
      </c>
      <c r="E844" t="inlineStr">
        <is>
          <t>ÖSTERSUND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21822-2024</t>
        </is>
      </c>
      <c r="B845" s="1" t="n">
        <v>45442</v>
      </c>
      <c r="C845" s="1" t="n">
        <v>45730</v>
      </c>
      <c r="D845" t="inlineStr">
        <is>
          <t>JÄMTLANDS LÄN</t>
        </is>
      </c>
      <c r="E845" t="inlineStr">
        <is>
          <t>ÖSTERSUND</t>
        </is>
      </c>
      <c r="G845" t="n">
        <v>5.1</v>
      </c>
      <c r="H845" t="n">
        <v>0</v>
      </c>
      <c r="I845" t="n">
        <v>0</v>
      </c>
      <c r="J845" t="n">
        <v>0</v>
      </c>
      <c r="K845" t="n">
        <v>0</v>
      </c>
      <c r="L845" t="n">
        <v>0</v>
      </c>
      <c r="M845" t="n">
        <v>0</v>
      </c>
      <c r="N845" t="n">
        <v>0</v>
      </c>
      <c r="O845" t="n">
        <v>0</v>
      </c>
      <c r="P845" t="n">
        <v>0</v>
      </c>
      <c r="Q845" t="n">
        <v>0</v>
      </c>
      <c r="R845" s="2" t="inlineStr"/>
    </row>
    <row r="846" ht="15" customHeight="1">
      <c r="A846" t="inlineStr">
        <is>
          <t>A 21667-2024</t>
        </is>
      </c>
      <c r="B846" s="1" t="n">
        <v>45442</v>
      </c>
      <c r="C846" s="1" t="n">
        <v>45730</v>
      </c>
      <c r="D846" t="inlineStr">
        <is>
          <t>JÄMTLANDS LÄN</t>
        </is>
      </c>
      <c r="E846" t="inlineStr">
        <is>
          <t>ÖSTERSUND</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22123-2024</t>
        </is>
      </c>
      <c r="B847" s="1" t="n">
        <v>45444</v>
      </c>
      <c r="C847" s="1" t="n">
        <v>45730</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22478-2024</t>
        </is>
      </c>
      <c r="B848" s="1" t="n">
        <v>45447</v>
      </c>
      <c r="C848" s="1" t="n">
        <v>45730</v>
      </c>
      <c r="D848" t="inlineStr">
        <is>
          <t>JÄMTLANDS LÄN</t>
        </is>
      </c>
      <c r="E848" t="inlineStr">
        <is>
          <t>ÖSTERSUND</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23124-2024</t>
        </is>
      </c>
      <c r="B849" s="1" t="n">
        <v>45450</v>
      </c>
      <c r="C849" s="1" t="n">
        <v>45730</v>
      </c>
      <c r="D849" t="inlineStr">
        <is>
          <t>JÄMTLANDS LÄN</t>
        </is>
      </c>
      <c r="E849" t="inlineStr">
        <is>
          <t>ÖSTERSUND</t>
        </is>
      </c>
      <c r="G849" t="n">
        <v>5.8</v>
      </c>
      <c r="H849" t="n">
        <v>0</v>
      </c>
      <c r="I849" t="n">
        <v>0</v>
      </c>
      <c r="J849" t="n">
        <v>0</v>
      </c>
      <c r="K849" t="n">
        <v>0</v>
      </c>
      <c r="L849" t="n">
        <v>0</v>
      </c>
      <c r="M849" t="n">
        <v>0</v>
      </c>
      <c r="N849" t="n">
        <v>0</v>
      </c>
      <c r="O849" t="n">
        <v>0</v>
      </c>
      <c r="P849" t="n">
        <v>0</v>
      </c>
      <c r="Q849" t="n">
        <v>0</v>
      </c>
      <c r="R849" s="2" t="inlineStr"/>
    </row>
    <row r="850" ht="15" customHeight="1">
      <c r="A850" t="inlineStr">
        <is>
          <t>A 23191-2024</t>
        </is>
      </c>
      <c r="B850" s="1" t="n">
        <v>45450</v>
      </c>
      <c r="C850" s="1" t="n">
        <v>45730</v>
      </c>
      <c r="D850" t="inlineStr">
        <is>
          <t>JÄMTLANDS LÄN</t>
        </is>
      </c>
      <c r="E850" t="inlineStr">
        <is>
          <t>ÖSTERSUND</t>
        </is>
      </c>
      <c r="G850" t="n">
        <v>7</v>
      </c>
      <c r="H850" t="n">
        <v>0</v>
      </c>
      <c r="I850" t="n">
        <v>0</v>
      </c>
      <c r="J850" t="n">
        <v>0</v>
      </c>
      <c r="K850" t="n">
        <v>0</v>
      </c>
      <c r="L850" t="n">
        <v>0</v>
      </c>
      <c r="M850" t="n">
        <v>0</v>
      </c>
      <c r="N850" t="n">
        <v>0</v>
      </c>
      <c r="O850" t="n">
        <v>0</v>
      </c>
      <c r="P850" t="n">
        <v>0</v>
      </c>
      <c r="Q850" t="n">
        <v>0</v>
      </c>
      <c r="R850" s="2" t="inlineStr"/>
    </row>
    <row r="851" ht="15" customHeight="1">
      <c r="A851" t="inlineStr">
        <is>
          <t>A 23492-2024</t>
        </is>
      </c>
      <c r="B851" s="1" t="n">
        <v>45453</v>
      </c>
      <c r="C851" s="1" t="n">
        <v>45730</v>
      </c>
      <c r="D851" t="inlineStr">
        <is>
          <t>JÄMTLANDS LÄN</t>
        </is>
      </c>
      <c r="E851" t="inlineStr">
        <is>
          <t>ÖSTERSUND</t>
        </is>
      </c>
      <c r="G851" t="n">
        <v>9.1</v>
      </c>
      <c r="H851" t="n">
        <v>0</v>
      </c>
      <c r="I851" t="n">
        <v>0</v>
      </c>
      <c r="J851" t="n">
        <v>0</v>
      </c>
      <c r="K851" t="n">
        <v>0</v>
      </c>
      <c r="L851" t="n">
        <v>0</v>
      </c>
      <c r="M851" t="n">
        <v>0</v>
      </c>
      <c r="N851" t="n">
        <v>0</v>
      </c>
      <c r="O851" t="n">
        <v>0</v>
      </c>
      <c r="P851" t="n">
        <v>0</v>
      </c>
      <c r="Q851" t="n">
        <v>0</v>
      </c>
      <c r="R851" s="2" t="inlineStr"/>
    </row>
    <row r="852" ht="15" customHeight="1">
      <c r="A852" t="inlineStr">
        <is>
          <t>A 24246-2024</t>
        </is>
      </c>
      <c r="B852" s="1" t="n">
        <v>45457</v>
      </c>
      <c r="C852" s="1" t="n">
        <v>45730</v>
      </c>
      <c r="D852" t="inlineStr">
        <is>
          <t>JÄMTLANDS LÄN</t>
        </is>
      </c>
      <c r="E852" t="inlineStr">
        <is>
          <t>ÖSTERSUND</t>
        </is>
      </c>
      <c r="G852" t="n">
        <v>5.3</v>
      </c>
      <c r="H852" t="n">
        <v>0</v>
      </c>
      <c r="I852" t="n">
        <v>0</v>
      </c>
      <c r="J852" t="n">
        <v>0</v>
      </c>
      <c r="K852" t="n">
        <v>0</v>
      </c>
      <c r="L852" t="n">
        <v>0</v>
      </c>
      <c r="M852" t="n">
        <v>0</v>
      </c>
      <c r="N852" t="n">
        <v>0</v>
      </c>
      <c r="O852" t="n">
        <v>0</v>
      </c>
      <c r="P852" t="n">
        <v>0</v>
      </c>
      <c r="Q852" t="n">
        <v>0</v>
      </c>
      <c r="R852" s="2" t="inlineStr"/>
    </row>
    <row r="853" ht="15" customHeight="1">
      <c r="A853" t="inlineStr">
        <is>
          <t>A 24781-2024</t>
        </is>
      </c>
      <c r="B853" s="1" t="n">
        <v>45460</v>
      </c>
      <c r="C853" s="1" t="n">
        <v>45730</v>
      </c>
      <c r="D853" t="inlineStr">
        <is>
          <t>JÄMTLANDS LÄN</t>
        </is>
      </c>
      <c r="E853" t="inlineStr">
        <is>
          <t>ÖSTERSUND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24786-2024</t>
        </is>
      </c>
      <c r="B854" s="1" t="n">
        <v>45460</v>
      </c>
      <c r="C854" s="1" t="n">
        <v>45730</v>
      </c>
      <c r="D854" t="inlineStr">
        <is>
          <t>JÄMTLANDS LÄN</t>
        </is>
      </c>
      <c r="E854" t="inlineStr">
        <is>
          <t>ÖSTERSUND</t>
        </is>
      </c>
      <c r="G854" t="n">
        <v>0.1</v>
      </c>
      <c r="H854" t="n">
        <v>0</v>
      </c>
      <c r="I854" t="n">
        <v>0</v>
      </c>
      <c r="J854" t="n">
        <v>0</v>
      </c>
      <c r="K854" t="n">
        <v>0</v>
      </c>
      <c r="L854" t="n">
        <v>0</v>
      </c>
      <c r="M854" t="n">
        <v>0</v>
      </c>
      <c r="N854" t="n">
        <v>0</v>
      </c>
      <c r="O854" t="n">
        <v>0</v>
      </c>
      <c r="P854" t="n">
        <v>0</v>
      </c>
      <c r="Q854" t="n">
        <v>0</v>
      </c>
      <c r="R854" s="2" t="inlineStr"/>
    </row>
    <row r="855" ht="15" customHeight="1">
      <c r="A855" t="inlineStr">
        <is>
          <t>A 24605-2024</t>
        </is>
      </c>
      <c r="B855" s="1" t="n">
        <v>45460</v>
      </c>
      <c r="C855" s="1" t="n">
        <v>45730</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25388-2024</t>
        </is>
      </c>
      <c r="B856" s="1" t="n">
        <v>45463</v>
      </c>
      <c r="C856" s="1" t="n">
        <v>45730</v>
      </c>
      <c r="D856" t="inlineStr">
        <is>
          <t>JÄMTLANDS LÄN</t>
        </is>
      </c>
      <c r="E856" t="inlineStr">
        <is>
          <t>ÖSTERSUND</t>
        </is>
      </c>
      <c r="G856" t="n">
        <v>2.7</v>
      </c>
      <c r="H856" t="n">
        <v>0</v>
      </c>
      <c r="I856" t="n">
        <v>0</v>
      </c>
      <c r="J856" t="n">
        <v>0</v>
      </c>
      <c r="K856" t="n">
        <v>0</v>
      </c>
      <c r="L856" t="n">
        <v>0</v>
      </c>
      <c r="M856" t="n">
        <v>0</v>
      </c>
      <c r="N856" t="n">
        <v>0</v>
      </c>
      <c r="O856" t="n">
        <v>0</v>
      </c>
      <c r="P856" t="n">
        <v>0</v>
      </c>
      <c r="Q856" t="n">
        <v>0</v>
      </c>
      <c r="R856" s="2" t="inlineStr"/>
    </row>
    <row r="857" ht="15" customHeight="1">
      <c r="A857" t="inlineStr">
        <is>
          <t>A 25385-2024</t>
        </is>
      </c>
      <c r="B857" s="1" t="n">
        <v>45463</v>
      </c>
      <c r="C857" s="1" t="n">
        <v>45730</v>
      </c>
      <c r="D857" t="inlineStr">
        <is>
          <t>JÄMTLANDS LÄN</t>
        </is>
      </c>
      <c r="E857" t="inlineStr">
        <is>
          <t>ÖSTERSUND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25187-2024</t>
        </is>
      </c>
      <c r="B858" s="1" t="n">
        <v>45462</v>
      </c>
      <c r="C858" s="1" t="n">
        <v>45730</v>
      </c>
      <c r="D858" t="inlineStr">
        <is>
          <t>JÄMTLANDS LÄN</t>
        </is>
      </c>
      <c r="E858" t="inlineStr">
        <is>
          <t>ÖSTERSUND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26202-2024</t>
        </is>
      </c>
      <c r="B859" s="1" t="n">
        <v>45468</v>
      </c>
      <c r="C859" s="1" t="n">
        <v>45730</v>
      </c>
      <c r="D859" t="inlineStr">
        <is>
          <t>JÄMTLANDS LÄN</t>
        </is>
      </c>
      <c r="E859" t="inlineStr">
        <is>
          <t>ÖSTERSUND</t>
        </is>
      </c>
      <c r="G859" t="n">
        <v>6.7</v>
      </c>
      <c r="H859" t="n">
        <v>0</v>
      </c>
      <c r="I859" t="n">
        <v>0</v>
      </c>
      <c r="J859" t="n">
        <v>0</v>
      </c>
      <c r="K859" t="n">
        <v>0</v>
      </c>
      <c r="L859" t="n">
        <v>0</v>
      </c>
      <c r="M859" t="n">
        <v>0</v>
      </c>
      <c r="N859" t="n">
        <v>0</v>
      </c>
      <c r="O859" t="n">
        <v>0</v>
      </c>
      <c r="P859" t="n">
        <v>0</v>
      </c>
      <c r="Q859" t="n">
        <v>0</v>
      </c>
      <c r="R859" s="2" t="inlineStr"/>
    </row>
    <row r="860" ht="15" customHeight="1">
      <c r="A860" t="inlineStr">
        <is>
          <t>A 27906-2024</t>
        </is>
      </c>
      <c r="B860" s="1" t="n">
        <v>45476</v>
      </c>
      <c r="C860" s="1" t="n">
        <v>45730</v>
      </c>
      <c r="D860" t="inlineStr">
        <is>
          <t>JÄMTLANDS LÄN</t>
        </is>
      </c>
      <c r="E860" t="inlineStr">
        <is>
          <t>ÖSTERSUND</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27689-2024</t>
        </is>
      </c>
      <c r="B861" s="1" t="n">
        <v>45475</v>
      </c>
      <c r="C861" s="1" t="n">
        <v>45730</v>
      </c>
      <c r="D861" t="inlineStr">
        <is>
          <t>JÄMTLANDS LÄN</t>
        </is>
      </c>
      <c r="E861" t="inlineStr">
        <is>
          <t>ÖSTERSUND</t>
        </is>
      </c>
      <c r="G861" t="n">
        <v>0.6</v>
      </c>
      <c r="H861" t="n">
        <v>0</v>
      </c>
      <c r="I861" t="n">
        <v>0</v>
      </c>
      <c r="J861" t="n">
        <v>0</v>
      </c>
      <c r="K861" t="n">
        <v>0</v>
      </c>
      <c r="L861" t="n">
        <v>0</v>
      </c>
      <c r="M861" t="n">
        <v>0</v>
      </c>
      <c r="N861" t="n">
        <v>0</v>
      </c>
      <c r="O861" t="n">
        <v>0</v>
      </c>
      <c r="P861" t="n">
        <v>0</v>
      </c>
      <c r="Q861" t="n">
        <v>0</v>
      </c>
      <c r="R861" s="2" t="inlineStr"/>
    </row>
    <row r="862" ht="15" customHeight="1">
      <c r="A862" t="inlineStr">
        <is>
          <t>A 27764-2024</t>
        </is>
      </c>
      <c r="B862" s="1" t="n">
        <v>45475</v>
      </c>
      <c r="C862" s="1" t="n">
        <v>45730</v>
      </c>
      <c r="D862" t="inlineStr">
        <is>
          <t>JÄMTLANDS LÄN</t>
        </is>
      </c>
      <c r="E862" t="inlineStr">
        <is>
          <t>ÖSTERSUND</t>
        </is>
      </c>
      <c r="G862" t="n">
        <v>2.8</v>
      </c>
      <c r="H862" t="n">
        <v>0</v>
      </c>
      <c r="I862" t="n">
        <v>0</v>
      </c>
      <c r="J862" t="n">
        <v>0</v>
      </c>
      <c r="K862" t="n">
        <v>0</v>
      </c>
      <c r="L862" t="n">
        <v>0</v>
      </c>
      <c r="M862" t="n">
        <v>0</v>
      </c>
      <c r="N862" t="n">
        <v>0</v>
      </c>
      <c r="O862" t="n">
        <v>0</v>
      </c>
      <c r="P862" t="n">
        <v>0</v>
      </c>
      <c r="Q862" t="n">
        <v>0</v>
      </c>
      <c r="R862" s="2" t="inlineStr"/>
    </row>
    <row r="863" ht="15" customHeight="1">
      <c r="A863" t="inlineStr">
        <is>
          <t>A 27779-2024</t>
        </is>
      </c>
      <c r="B863" s="1" t="n">
        <v>45475</v>
      </c>
      <c r="C863" s="1" t="n">
        <v>45730</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28277-2024</t>
        </is>
      </c>
      <c r="B864" s="1" t="n">
        <v>45477</v>
      </c>
      <c r="C864" s="1" t="n">
        <v>45730</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28179-2024</t>
        </is>
      </c>
      <c r="B865" s="1" t="n">
        <v>45477</v>
      </c>
      <c r="C865" s="1" t="n">
        <v>45730</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28180-2024</t>
        </is>
      </c>
      <c r="B866" s="1" t="n">
        <v>45477</v>
      </c>
      <c r="C866" s="1" t="n">
        <v>45730</v>
      </c>
      <c r="D866" t="inlineStr">
        <is>
          <t>JÄMTLANDS LÄN</t>
        </is>
      </c>
      <c r="E866" t="inlineStr">
        <is>
          <t>ÖSTERSUND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28181-2024</t>
        </is>
      </c>
      <c r="B867" s="1" t="n">
        <v>45477</v>
      </c>
      <c r="C867" s="1" t="n">
        <v>45730</v>
      </c>
      <c r="D867" t="inlineStr">
        <is>
          <t>JÄMTLANDS LÄN</t>
        </is>
      </c>
      <c r="E867" t="inlineStr">
        <is>
          <t>ÖSTERSUND</t>
        </is>
      </c>
      <c r="G867" t="n">
        <v>0.7</v>
      </c>
      <c r="H867" t="n">
        <v>0</v>
      </c>
      <c r="I867" t="n">
        <v>0</v>
      </c>
      <c r="J867" t="n">
        <v>0</v>
      </c>
      <c r="K867" t="n">
        <v>0</v>
      </c>
      <c r="L867" t="n">
        <v>0</v>
      </c>
      <c r="M867" t="n">
        <v>0</v>
      </c>
      <c r="N867" t="n">
        <v>0</v>
      </c>
      <c r="O867" t="n">
        <v>0</v>
      </c>
      <c r="P867" t="n">
        <v>0</v>
      </c>
      <c r="Q867" t="n">
        <v>0</v>
      </c>
      <c r="R867" s="2" t="inlineStr"/>
    </row>
    <row r="868" ht="15" customHeight="1">
      <c r="A868" t="inlineStr">
        <is>
          <t>A 28543-2024</t>
        </is>
      </c>
      <c r="B868" s="1" t="n">
        <v>45478</v>
      </c>
      <c r="C868" s="1" t="n">
        <v>45730</v>
      </c>
      <c r="D868" t="inlineStr">
        <is>
          <t>JÄMTLANDS LÄN</t>
        </is>
      </c>
      <c r="E868" t="inlineStr">
        <is>
          <t>ÖSTERSUND</t>
        </is>
      </c>
      <c r="G868" t="n">
        <v>5.6</v>
      </c>
      <c r="H868" t="n">
        <v>0</v>
      </c>
      <c r="I868" t="n">
        <v>0</v>
      </c>
      <c r="J868" t="n">
        <v>0</v>
      </c>
      <c r="K868" t="n">
        <v>0</v>
      </c>
      <c r="L868" t="n">
        <v>0</v>
      </c>
      <c r="M868" t="n">
        <v>0</v>
      </c>
      <c r="N868" t="n">
        <v>0</v>
      </c>
      <c r="O868" t="n">
        <v>0</v>
      </c>
      <c r="P868" t="n">
        <v>0</v>
      </c>
      <c r="Q868" t="n">
        <v>0</v>
      </c>
      <c r="R868" s="2" t="inlineStr"/>
    </row>
    <row r="869" ht="15" customHeight="1">
      <c r="A869" t="inlineStr">
        <is>
          <t>A 29496-2024</t>
        </is>
      </c>
      <c r="B869" s="1" t="n">
        <v>45484</v>
      </c>
      <c r="C869" s="1" t="n">
        <v>45730</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30539-2024</t>
        </is>
      </c>
      <c r="B870" s="1" t="n">
        <v>45492</v>
      </c>
      <c r="C870" s="1" t="n">
        <v>45730</v>
      </c>
      <c r="D870" t="inlineStr">
        <is>
          <t>JÄMTLANDS LÄN</t>
        </is>
      </c>
      <c r="E870" t="inlineStr">
        <is>
          <t>ÖSTERSUND</t>
        </is>
      </c>
      <c r="G870" t="n">
        <v>4.9</v>
      </c>
      <c r="H870" t="n">
        <v>0</v>
      </c>
      <c r="I870" t="n">
        <v>0</v>
      </c>
      <c r="J870" t="n">
        <v>0</v>
      </c>
      <c r="K870" t="n">
        <v>0</v>
      </c>
      <c r="L870" t="n">
        <v>0</v>
      </c>
      <c r="M870" t="n">
        <v>0</v>
      </c>
      <c r="N870" t="n">
        <v>0</v>
      </c>
      <c r="O870" t="n">
        <v>0</v>
      </c>
      <c r="P870" t="n">
        <v>0</v>
      </c>
      <c r="Q870" t="n">
        <v>0</v>
      </c>
      <c r="R870" s="2" t="inlineStr"/>
    </row>
    <row r="871" ht="15" customHeight="1">
      <c r="A871" t="inlineStr">
        <is>
          <t>A 30821-2024</t>
        </is>
      </c>
      <c r="B871" s="1" t="n">
        <v>45497</v>
      </c>
      <c r="C871" s="1" t="n">
        <v>45730</v>
      </c>
      <c r="D871" t="inlineStr">
        <is>
          <t>JÄMTLANDS LÄN</t>
        </is>
      </c>
      <c r="E871" t="inlineStr">
        <is>
          <t>ÖSTERSUND</t>
        </is>
      </c>
      <c r="G871" t="n">
        <v>3.4</v>
      </c>
      <c r="H871" t="n">
        <v>0</v>
      </c>
      <c r="I871" t="n">
        <v>0</v>
      </c>
      <c r="J871" t="n">
        <v>0</v>
      </c>
      <c r="K871" t="n">
        <v>0</v>
      </c>
      <c r="L871" t="n">
        <v>0</v>
      </c>
      <c r="M871" t="n">
        <v>0</v>
      </c>
      <c r="N871" t="n">
        <v>0</v>
      </c>
      <c r="O871" t="n">
        <v>0</v>
      </c>
      <c r="P871" t="n">
        <v>0</v>
      </c>
      <c r="Q871" t="n">
        <v>0</v>
      </c>
      <c r="R871" s="2" t="inlineStr"/>
    </row>
    <row r="872" ht="15" customHeight="1">
      <c r="A872" t="inlineStr">
        <is>
          <t>A 31464-2024</t>
        </is>
      </c>
      <c r="B872" s="1" t="n">
        <v>45506</v>
      </c>
      <c r="C872" s="1" t="n">
        <v>45730</v>
      </c>
      <c r="D872" t="inlineStr">
        <is>
          <t>JÄMTLANDS LÄN</t>
        </is>
      </c>
      <c r="E872" t="inlineStr">
        <is>
          <t>ÖSTERSUND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31446-2024</t>
        </is>
      </c>
      <c r="B873" s="1" t="n">
        <v>45506</v>
      </c>
      <c r="C873" s="1" t="n">
        <v>45730</v>
      </c>
      <c r="D873" t="inlineStr">
        <is>
          <t>JÄMTLANDS LÄN</t>
        </is>
      </c>
      <c r="E873" t="inlineStr">
        <is>
          <t>ÖSTERSUND</t>
        </is>
      </c>
      <c r="G873" t="n">
        <v>5.5</v>
      </c>
      <c r="H873" t="n">
        <v>0</v>
      </c>
      <c r="I873" t="n">
        <v>0</v>
      </c>
      <c r="J873" t="n">
        <v>0</v>
      </c>
      <c r="K873" t="n">
        <v>0</v>
      </c>
      <c r="L873" t="n">
        <v>0</v>
      </c>
      <c r="M873" t="n">
        <v>0</v>
      </c>
      <c r="N873" t="n">
        <v>0</v>
      </c>
      <c r="O873" t="n">
        <v>0</v>
      </c>
      <c r="P873" t="n">
        <v>0</v>
      </c>
      <c r="Q873" t="n">
        <v>0</v>
      </c>
      <c r="R873" s="2" t="inlineStr"/>
    </row>
    <row r="874" ht="15" customHeight="1">
      <c r="A874" t="inlineStr">
        <is>
          <t>A 31445-2024</t>
        </is>
      </c>
      <c r="B874" s="1" t="n">
        <v>45506</v>
      </c>
      <c r="C874" s="1" t="n">
        <v>45730</v>
      </c>
      <c r="D874" t="inlineStr">
        <is>
          <t>JÄMTLANDS LÄN</t>
        </is>
      </c>
      <c r="E874" t="inlineStr">
        <is>
          <t>ÖSTERSUND</t>
        </is>
      </c>
      <c r="G874" t="n">
        <v>0.8</v>
      </c>
      <c r="H874" t="n">
        <v>0</v>
      </c>
      <c r="I874" t="n">
        <v>0</v>
      </c>
      <c r="J874" t="n">
        <v>0</v>
      </c>
      <c r="K874" t="n">
        <v>0</v>
      </c>
      <c r="L874" t="n">
        <v>0</v>
      </c>
      <c r="M874" t="n">
        <v>0</v>
      </c>
      <c r="N874" t="n">
        <v>0</v>
      </c>
      <c r="O874" t="n">
        <v>0</v>
      </c>
      <c r="P874" t="n">
        <v>0</v>
      </c>
      <c r="Q874" t="n">
        <v>0</v>
      </c>
      <c r="R874" s="2" t="inlineStr"/>
    </row>
    <row r="875" ht="15" customHeight="1">
      <c r="A875" t="inlineStr">
        <is>
          <t>A 32224-2024</t>
        </is>
      </c>
      <c r="B875" s="1" t="n">
        <v>45512</v>
      </c>
      <c r="C875" s="1" t="n">
        <v>45730</v>
      </c>
      <c r="D875" t="inlineStr">
        <is>
          <t>JÄMTLANDS LÄN</t>
        </is>
      </c>
      <c r="E875" t="inlineStr">
        <is>
          <t>ÖSTERSUND</t>
        </is>
      </c>
      <c r="G875" t="n">
        <v>1</v>
      </c>
      <c r="H875" t="n">
        <v>0</v>
      </c>
      <c r="I875" t="n">
        <v>0</v>
      </c>
      <c r="J875" t="n">
        <v>0</v>
      </c>
      <c r="K875" t="n">
        <v>0</v>
      </c>
      <c r="L875" t="n">
        <v>0</v>
      </c>
      <c r="M875" t="n">
        <v>0</v>
      </c>
      <c r="N875" t="n">
        <v>0</v>
      </c>
      <c r="O875" t="n">
        <v>0</v>
      </c>
      <c r="P875" t="n">
        <v>0</v>
      </c>
      <c r="Q875" t="n">
        <v>0</v>
      </c>
      <c r="R875" s="2" t="inlineStr"/>
    </row>
    <row r="876" ht="15" customHeight="1">
      <c r="A876" t="inlineStr">
        <is>
          <t>A 32225-2024</t>
        </is>
      </c>
      <c r="B876" s="1" t="n">
        <v>45512</v>
      </c>
      <c r="C876" s="1" t="n">
        <v>45730</v>
      </c>
      <c r="D876" t="inlineStr">
        <is>
          <t>JÄMTLANDS LÄN</t>
        </is>
      </c>
      <c r="E876" t="inlineStr">
        <is>
          <t>ÖSTERSUND</t>
        </is>
      </c>
      <c r="G876" t="n">
        <v>2</v>
      </c>
      <c r="H876" t="n">
        <v>0</v>
      </c>
      <c r="I876" t="n">
        <v>0</v>
      </c>
      <c r="J876" t="n">
        <v>0</v>
      </c>
      <c r="K876" t="n">
        <v>0</v>
      </c>
      <c r="L876" t="n">
        <v>0</v>
      </c>
      <c r="M876" t="n">
        <v>0</v>
      </c>
      <c r="N876" t="n">
        <v>0</v>
      </c>
      <c r="O876" t="n">
        <v>0</v>
      </c>
      <c r="P876" t="n">
        <v>0</v>
      </c>
      <c r="Q876" t="n">
        <v>0</v>
      </c>
      <c r="R876" s="2" t="inlineStr"/>
    </row>
    <row r="877" ht="15" customHeight="1">
      <c r="A877" t="inlineStr">
        <is>
          <t>A 33091-2024</t>
        </is>
      </c>
      <c r="B877" s="1" t="n">
        <v>45517</v>
      </c>
      <c r="C877" s="1" t="n">
        <v>45730</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33015-2024</t>
        </is>
      </c>
      <c r="B878" s="1" t="n">
        <v>45517</v>
      </c>
      <c r="C878" s="1" t="n">
        <v>45730</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33621-2024</t>
        </is>
      </c>
      <c r="B879" s="1" t="n">
        <v>45520</v>
      </c>
      <c r="C879" s="1" t="n">
        <v>45730</v>
      </c>
      <c r="D879" t="inlineStr">
        <is>
          <t>JÄMTLANDS LÄN</t>
        </is>
      </c>
      <c r="E879" t="inlineStr">
        <is>
          <t>ÖSTERSUND</t>
        </is>
      </c>
      <c r="G879" t="n">
        <v>2.1</v>
      </c>
      <c r="H879" t="n">
        <v>0</v>
      </c>
      <c r="I879" t="n">
        <v>0</v>
      </c>
      <c r="J879" t="n">
        <v>0</v>
      </c>
      <c r="K879" t="n">
        <v>0</v>
      </c>
      <c r="L879" t="n">
        <v>0</v>
      </c>
      <c r="M879" t="n">
        <v>0</v>
      </c>
      <c r="N879" t="n">
        <v>0</v>
      </c>
      <c r="O879" t="n">
        <v>0</v>
      </c>
      <c r="P879" t="n">
        <v>0</v>
      </c>
      <c r="Q879" t="n">
        <v>0</v>
      </c>
      <c r="R879" s="2" t="inlineStr"/>
    </row>
    <row r="880" ht="15" customHeight="1">
      <c r="A880" t="inlineStr">
        <is>
          <t>A 33779-2024</t>
        </is>
      </c>
      <c r="B880" s="1" t="n">
        <v>45520</v>
      </c>
      <c r="C880" s="1" t="n">
        <v>45730</v>
      </c>
      <c r="D880" t="inlineStr">
        <is>
          <t>JÄMTLANDS LÄN</t>
        </is>
      </c>
      <c r="E880" t="inlineStr">
        <is>
          <t>ÖSTERSUND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34112-2024</t>
        </is>
      </c>
      <c r="B881" s="1" t="n">
        <v>45524</v>
      </c>
      <c r="C881" s="1" t="n">
        <v>45730</v>
      </c>
      <c r="D881" t="inlineStr">
        <is>
          <t>JÄMTLANDS LÄN</t>
        </is>
      </c>
      <c r="E881" t="inlineStr">
        <is>
          <t>ÖSTERSUND</t>
        </is>
      </c>
      <c r="G881" t="n">
        <v>1.2</v>
      </c>
      <c r="H881" t="n">
        <v>0</v>
      </c>
      <c r="I881" t="n">
        <v>0</v>
      </c>
      <c r="J881" t="n">
        <v>0</v>
      </c>
      <c r="K881" t="n">
        <v>0</v>
      </c>
      <c r="L881" t="n">
        <v>0</v>
      </c>
      <c r="M881" t="n">
        <v>0</v>
      </c>
      <c r="N881" t="n">
        <v>0</v>
      </c>
      <c r="O881" t="n">
        <v>0</v>
      </c>
      <c r="P881" t="n">
        <v>0</v>
      </c>
      <c r="Q881" t="n">
        <v>0</v>
      </c>
      <c r="R881" s="2" t="inlineStr"/>
    </row>
    <row r="882" ht="15" customHeight="1">
      <c r="A882" t="inlineStr">
        <is>
          <t>A 34118-2024</t>
        </is>
      </c>
      <c r="B882" s="1" t="n">
        <v>45524</v>
      </c>
      <c r="C882" s="1" t="n">
        <v>45730</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34470-2024</t>
        </is>
      </c>
      <c r="B883" s="1" t="n">
        <v>45525</v>
      </c>
      <c r="C883" s="1" t="n">
        <v>45730</v>
      </c>
      <c r="D883" t="inlineStr">
        <is>
          <t>JÄMTLANDS LÄN</t>
        </is>
      </c>
      <c r="E883" t="inlineStr">
        <is>
          <t>ÖSTERSUND</t>
        </is>
      </c>
      <c r="G883" t="n">
        <v>7.6</v>
      </c>
      <c r="H883" t="n">
        <v>0</v>
      </c>
      <c r="I883" t="n">
        <v>0</v>
      </c>
      <c r="J883" t="n">
        <v>0</v>
      </c>
      <c r="K883" t="n">
        <v>0</v>
      </c>
      <c r="L883" t="n">
        <v>0</v>
      </c>
      <c r="M883" t="n">
        <v>0</v>
      </c>
      <c r="N883" t="n">
        <v>0</v>
      </c>
      <c r="O883" t="n">
        <v>0</v>
      </c>
      <c r="P883" t="n">
        <v>0</v>
      </c>
      <c r="Q883" t="n">
        <v>0</v>
      </c>
      <c r="R883" s="2" t="inlineStr"/>
    </row>
    <row r="884" ht="15" customHeight="1">
      <c r="A884" t="inlineStr">
        <is>
          <t>A 34507-2024</t>
        </is>
      </c>
      <c r="B884" s="1" t="n">
        <v>45525</v>
      </c>
      <c r="C884" s="1" t="n">
        <v>45730</v>
      </c>
      <c r="D884" t="inlineStr">
        <is>
          <t>JÄMTLANDS LÄN</t>
        </is>
      </c>
      <c r="E884" t="inlineStr">
        <is>
          <t>ÖSTERSUND</t>
        </is>
      </c>
      <c r="G884" t="n">
        <v>0.6</v>
      </c>
      <c r="H884" t="n">
        <v>0</v>
      </c>
      <c r="I884" t="n">
        <v>0</v>
      </c>
      <c r="J884" t="n">
        <v>0</v>
      </c>
      <c r="K884" t="n">
        <v>0</v>
      </c>
      <c r="L884" t="n">
        <v>0</v>
      </c>
      <c r="M884" t="n">
        <v>0</v>
      </c>
      <c r="N884" t="n">
        <v>0</v>
      </c>
      <c r="O884" t="n">
        <v>0</v>
      </c>
      <c r="P884" t="n">
        <v>0</v>
      </c>
      <c r="Q884" t="n">
        <v>0</v>
      </c>
      <c r="R884" s="2" t="inlineStr"/>
    </row>
    <row r="885" ht="15" customHeight="1">
      <c r="A885" t="inlineStr">
        <is>
          <t>A 35984-2024</t>
        </is>
      </c>
      <c r="B885" s="1" t="n">
        <v>45533</v>
      </c>
      <c r="C885" s="1" t="n">
        <v>45730</v>
      </c>
      <c r="D885" t="inlineStr">
        <is>
          <t>JÄMTLANDS LÄN</t>
        </is>
      </c>
      <c r="E885" t="inlineStr">
        <is>
          <t>ÖSTERSUND</t>
        </is>
      </c>
      <c r="G885" t="n">
        <v>2.9</v>
      </c>
      <c r="H885" t="n">
        <v>0</v>
      </c>
      <c r="I885" t="n">
        <v>0</v>
      </c>
      <c r="J885" t="n">
        <v>0</v>
      </c>
      <c r="K885" t="n">
        <v>0</v>
      </c>
      <c r="L885" t="n">
        <v>0</v>
      </c>
      <c r="M885" t="n">
        <v>0</v>
      </c>
      <c r="N885" t="n">
        <v>0</v>
      </c>
      <c r="O885" t="n">
        <v>0</v>
      </c>
      <c r="P885" t="n">
        <v>0</v>
      </c>
      <c r="Q885" t="n">
        <v>0</v>
      </c>
      <c r="R885" s="2" t="inlineStr"/>
    </row>
    <row r="886" ht="15" customHeight="1">
      <c r="A886" t="inlineStr">
        <is>
          <t>A 36465-2024</t>
        </is>
      </c>
      <c r="B886" s="1" t="n">
        <v>45537</v>
      </c>
      <c r="C886" s="1" t="n">
        <v>45730</v>
      </c>
      <c r="D886" t="inlineStr">
        <is>
          <t>JÄMTLANDS LÄN</t>
        </is>
      </c>
      <c r="E886" t="inlineStr">
        <is>
          <t>ÖSTERSUND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36469-2024</t>
        </is>
      </c>
      <c r="B887" s="1" t="n">
        <v>45537</v>
      </c>
      <c r="C887" s="1" t="n">
        <v>45730</v>
      </c>
      <c r="D887" t="inlineStr">
        <is>
          <t>JÄMTLANDS LÄN</t>
        </is>
      </c>
      <c r="E887" t="inlineStr">
        <is>
          <t>ÖSTERSUND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37270-2024</t>
        </is>
      </c>
      <c r="B888" s="1" t="n">
        <v>45540</v>
      </c>
      <c r="C888" s="1" t="n">
        <v>45730</v>
      </c>
      <c r="D888" t="inlineStr">
        <is>
          <t>JÄMTLANDS LÄN</t>
        </is>
      </c>
      <c r="E888" t="inlineStr">
        <is>
          <t>ÖSTERSUND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37685-2024</t>
        </is>
      </c>
      <c r="B889" s="1" t="n">
        <v>45541</v>
      </c>
      <c r="C889" s="1" t="n">
        <v>45730</v>
      </c>
      <c r="D889" t="inlineStr">
        <is>
          <t>JÄMTLANDS LÄN</t>
        </is>
      </c>
      <c r="E889" t="inlineStr">
        <is>
          <t>ÖSTERSUND</t>
        </is>
      </c>
      <c r="F889" t="inlineStr">
        <is>
          <t>SCA</t>
        </is>
      </c>
      <c r="G889" t="n">
        <v>11.2</v>
      </c>
      <c r="H889" t="n">
        <v>0</v>
      </c>
      <c r="I889" t="n">
        <v>0</v>
      </c>
      <c r="J889" t="n">
        <v>0</v>
      </c>
      <c r="K889" t="n">
        <v>0</v>
      </c>
      <c r="L889" t="n">
        <v>0</v>
      </c>
      <c r="M889" t="n">
        <v>0</v>
      </c>
      <c r="N889" t="n">
        <v>0</v>
      </c>
      <c r="O889" t="n">
        <v>0</v>
      </c>
      <c r="P889" t="n">
        <v>0</v>
      </c>
      <c r="Q889" t="n">
        <v>0</v>
      </c>
      <c r="R889" s="2" t="inlineStr"/>
    </row>
    <row r="890" ht="15" customHeight="1">
      <c r="A890" t="inlineStr">
        <is>
          <t>A 38926-2024</t>
        </is>
      </c>
      <c r="B890" s="1" t="n">
        <v>45547</v>
      </c>
      <c r="C890" s="1" t="n">
        <v>45730</v>
      </c>
      <c r="D890" t="inlineStr">
        <is>
          <t>JÄMTLANDS LÄN</t>
        </is>
      </c>
      <c r="E890" t="inlineStr">
        <is>
          <t>ÖSTERSUND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38920-2024</t>
        </is>
      </c>
      <c r="B891" s="1" t="n">
        <v>45547</v>
      </c>
      <c r="C891" s="1" t="n">
        <v>45730</v>
      </c>
      <c r="D891" t="inlineStr">
        <is>
          <t>JÄMTLANDS LÄN</t>
        </is>
      </c>
      <c r="E891" t="inlineStr">
        <is>
          <t>ÖSTERSUND</t>
        </is>
      </c>
      <c r="G891" t="n">
        <v>1.9</v>
      </c>
      <c r="H891" t="n">
        <v>0</v>
      </c>
      <c r="I891" t="n">
        <v>0</v>
      </c>
      <c r="J891" t="n">
        <v>0</v>
      </c>
      <c r="K891" t="n">
        <v>0</v>
      </c>
      <c r="L891" t="n">
        <v>0</v>
      </c>
      <c r="M891" t="n">
        <v>0</v>
      </c>
      <c r="N891" t="n">
        <v>0</v>
      </c>
      <c r="O891" t="n">
        <v>0</v>
      </c>
      <c r="P891" t="n">
        <v>0</v>
      </c>
      <c r="Q891" t="n">
        <v>0</v>
      </c>
      <c r="R891" s="2" t="inlineStr"/>
    </row>
    <row r="892" ht="15" customHeight="1">
      <c r="A892" t="inlineStr">
        <is>
          <t>A 38924-2024</t>
        </is>
      </c>
      <c r="B892" s="1" t="n">
        <v>45547</v>
      </c>
      <c r="C892" s="1" t="n">
        <v>45730</v>
      </c>
      <c r="D892" t="inlineStr">
        <is>
          <t>JÄMTLANDS LÄN</t>
        </is>
      </c>
      <c r="E892" t="inlineStr">
        <is>
          <t>ÖSTERSUND</t>
        </is>
      </c>
      <c r="G892" t="n">
        <v>3.5</v>
      </c>
      <c r="H892" t="n">
        <v>0</v>
      </c>
      <c r="I892" t="n">
        <v>0</v>
      </c>
      <c r="J892" t="n">
        <v>0</v>
      </c>
      <c r="K892" t="n">
        <v>0</v>
      </c>
      <c r="L892" t="n">
        <v>0</v>
      </c>
      <c r="M892" t="n">
        <v>0</v>
      </c>
      <c r="N892" t="n">
        <v>0</v>
      </c>
      <c r="O892" t="n">
        <v>0</v>
      </c>
      <c r="P892" t="n">
        <v>0</v>
      </c>
      <c r="Q892" t="n">
        <v>0</v>
      </c>
      <c r="R892" s="2" t="inlineStr"/>
    </row>
    <row r="893" ht="15" customHeight="1">
      <c r="A893" t="inlineStr">
        <is>
          <t>A 39065-2024</t>
        </is>
      </c>
      <c r="B893" s="1" t="n">
        <v>45548</v>
      </c>
      <c r="C893" s="1" t="n">
        <v>45730</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39510-2024</t>
        </is>
      </c>
      <c r="B894" s="1" t="n">
        <v>45551</v>
      </c>
      <c r="C894" s="1" t="n">
        <v>45730</v>
      </c>
      <c r="D894" t="inlineStr">
        <is>
          <t>JÄMTLANDS LÄN</t>
        </is>
      </c>
      <c r="E894" t="inlineStr">
        <is>
          <t>ÖSTERSUND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39509-2024</t>
        </is>
      </c>
      <c r="B895" s="1" t="n">
        <v>45551</v>
      </c>
      <c r="C895" s="1" t="n">
        <v>45730</v>
      </c>
      <c r="D895" t="inlineStr">
        <is>
          <t>JÄMTLANDS LÄN</t>
        </is>
      </c>
      <c r="E895" t="inlineStr">
        <is>
          <t>ÖSTERSUND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39915-2024</t>
        </is>
      </c>
      <c r="B896" s="1" t="n">
        <v>45553</v>
      </c>
      <c r="C896" s="1" t="n">
        <v>45730</v>
      </c>
      <c r="D896" t="inlineStr">
        <is>
          <t>JÄMTLANDS LÄN</t>
        </is>
      </c>
      <c r="E896" t="inlineStr">
        <is>
          <t>ÖSTERSUND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39975-2024</t>
        </is>
      </c>
      <c r="B897" s="1" t="n">
        <v>45553</v>
      </c>
      <c r="C897" s="1" t="n">
        <v>45730</v>
      </c>
      <c r="D897" t="inlineStr">
        <is>
          <t>JÄMTLANDS LÄN</t>
        </is>
      </c>
      <c r="E897" t="inlineStr">
        <is>
          <t>ÖSTERSUND</t>
        </is>
      </c>
      <c r="G897" t="n">
        <v>3.8</v>
      </c>
      <c r="H897" t="n">
        <v>0</v>
      </c>
      <c r="I897" t="n">
        <v>0</v>
      </c>
      <c r="J897" t="n">
        <v>0</v>
      </c>
      <c r="K897" t="n">
        <v>0</v>
      </c>
      <c r="L897" t="n">
        <v>0</v>
      </c>
      <c r="M897" t="n">
        <v>0</v>
      </c>
      <c r="N897" t="n">
        <v>0</v>
      </c>
      <c r="O897" t="n">
        <v>0</v>
      </c>
      <c r="P897" t="n">
        <v>0</v>
      </c>
      <c r="Q897" t="n">
        <v>0</v>
      </c>
      <c r="R897" s="2" t="inlineStr"/>
    </row>
    <row r="898" ht="15" customHeight="1">
      <c r="A898" t="inlineStr">
        <is>
          <t>A 40672-2024</t>
        </is>
      </c>
      <c r="B898" s="1" t="n">
        <v>45557</v>
      </c>
      <c r="C898" s="1" t="n">
        <v>45730</v>
      </c>
      <c r="D898" t="inlineStr">
        <is>
          <t>JÄMTLANDS LÄN</t>
        </is>
      </c>
      <c r="E898" t="inlineStr">
        <is>
          <t>ÖSTERSUND</t>
        </is>
      </c>
      <c r="G898" t="n">
        <v>5.2</v>
      </c>
      <c r="H898" t="n">
        <v>0</v>
      </c>
      <c r="I898" t="n">
        <v>0</v>
      </c>
      <c r="J898" t="n">
        <v>0</v>
      </c>
      <c r="K898" t="n">
        <v>0</v>
      </c>
      <c r="L898" t="n">
        <v>0</v>
      </c>
      <c r="M898" t="n">
        <v>0</v>
      </c>
      <c r="N898" t="n">
        <v>0</v>
      </c>
      <c r="O898" t="n">
        <v>0</v>
      </c>
      <c r="P898" t="n">
        <v>0</v>
      </c>
      <c r="Q898" t="n">
        <v>0</v>
      </c>
      <c r="R898" s="2" t="inlineStr"/>
    </row>
    <row r="899" ht="15" customHeight="1">
      <c r="A899" t="inlineStr">
        <is>
          <t>A 40983-2024</t>
        </is>
      </c>
      <c r="B899" s="1" t="n">
        <v>45558</v>
      </c>
      <c r="C899" s="1" t="n">
        <v>45730</v>
      </c>
      <c r="D899" t="inlineStr">
        <is>
          <t>JÄMTLANDS LÄN</t>
        </is>
      </c>
      <c r="E899" t="inlineStr">
        <is>
          <t>ÖSTERSUND</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41280-2024</t>
        </is>
      </c>
      <c r="B900" s="1" t="n">
        <v>45559</v>
      </c>
      <c r="C900" s="1" t="n">
        <v>45730</v>
      </c>
      <c r="D900" t="inlineStr">
        <is>
          <t>JÄMTLANDS LÄN</t>
        </is>
      </c>
      <c r="E900" t="inlineStr">
        <is>
          <t>ÖSTERSUND</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41483-2024</t>
        </is>
      </c>
      <c r="B901" s="1" t="n">
        <v>45560</v>
      </c>
      <c r="C901" s="1" t="n">
        <v>45730</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41780-2024</t>
        </is>
      </c>
      <c r="B902" s="1" t="n">
        <v>45561</v>
      </c>
      <c r="C902" s="1" t="n">
        <v>45730</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42550-2024</t>
        </is>
      </c>
      <c r="B903" s="1" t="n">
        <v>45565</v>
      </c>
      <c r="C903" s="1" t="n">
        <v>45730</v>
      </c>
      <c r="D903" t="inlineStr">
        <is>
          <t>JÄMTLANDS LÄN</t>
        </is>
      </c>
      <c r="E903" t="inlineStr">
        <is>
          <t>ÖSTERSUND</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42547-2024</t>
        </is>
      </c>
      <c r="B904" s="1" t="n">
        <v>45565</v>
      </c>
      <c r="C904" s="1" t="n">
        <v>45730</v>
      </c>
      <c r="D904" t="inlineStr">
        <is>
          <t>JÄMTLANDS LÄN</t>
        </is>
      </c>
      <c r="E904" t="inlineStr">
        <is>
          <t>ÖSTERSUND</t>
        </is>
      </c>
      <c r="F904" t="inlineStr">
        <is>
          <t>Övriga Aktiebolag</t>
        </is>
      </c>
      <c r="G904" t="n">
        <v>7.1</v>
      </c>
      <c r="H904" t="n">
        <v>0</v>
      </c>
      <c r="I904" t="n">
        <v>0</v>
      </c>
      <c r="J904" t="n">
        <v>0</v>
      </c>
      <c r="K904" t="n">
        <v>0</v>
      </c>
      <c r="L904" t="n">
        <v>0</v>
      </c>
      <c r="M904" t="n">
        <v>0</v>
      </c>
      <c r="N904" t="n">
        <v>0</v>
      </c>
      <c r="O904" t="n">
        <v>0</v>
      </c>
      <c r="P904" t="n">
        <v>0</v>
      </c>
      <c r="Q904" t="n">
        <v>0</v>
      </c>
      <c r="R904" s="2" t="inlineStr"/>
    </row>
    <row r="905" ht="15" customHeight="1">
      <c r="A905" t="inlineStr">
        <is>
          <t>A 43082-2024</t>
        </is>
      </c>
      <c r="B905" s="1" t="n">
        <v>45567</v>
      </c>
      <c r="C905" s="1" t="n">
        <v>45730</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43118-2024</t>
        </is>
      </c>
      <c r="B906" s="1" t="n">
        <v>45567</v>
      </c>
      <c r="C906" s="1" t="n">
        <v>45730</v>
      </c>
      <c r="D906" t="inlineStr">
        <is>
          <t>JÄMTLANDS LÄN</t>
        </is>
      </c>
      <c r="E906" t="inlineStr">
        <is>
          <t>ÖSTERSUND</t>
        </is>
      </c>
      <c r="G906" t="n">
        <v>5.1</v>
      </c>
      <c r="H906" t="n">
        <v>0</v>
      </c>
      <c r="I906" t="n">
        <v>0</v>
      </c>
      <c r="J906" t="n">
        <v>0</v>
      </c>
      <c r="K906" t="n">
        <v>0</v>
      </c>
      <c r="L906" t="n">
        <v>0</v>
      </c>
      <c r="M906" t="n">
        <v>0</v>
      </c>
      <c r="N906" t="n">
        <v>0</v>
      </c>
      <c r="O906" t="n">
        <v>0</v>
      </c>
      <c r="P906" t="n">
        <v>0</v>
      </c>
      <c r="Q906" t="n">
        <v>0</v>
      </c>
      <c r="R906" s="2" t="inlineStr"/>
    </row>
    <row r="907" ht="15" customHeight="1">
      <c r="A907" t="inlineStr">
        <is>
          <t>A 43016-2024</t>
        </is>
      </c>
      <c r="B907" s="1" t="n">
        <v>45567</v>
      </c>
      <c r="C907" s="1" t="n">
        <v>45730</v>
      </c>
      <c r="D907" t="inlineStr">
        <is>
          <t>JÄMTLANDS LÄN</t>
        </is>
      </c>
      <c r="E907" t="inlineStr">
        <is>
          <t>ÖSTERSUND</t>
        </is>
      </c>
      <c r="G907" t="n">
        <v>5.3</v>
      </c>
      <c r="H907" t="n">
        <v>0</v>
      </c>
      <c r="I907" t="n">
        <v>0</v>
      </c>
      <c r="J907" t="n">
        <v>0</v>
      </c>
      <c r="K907" t="n">
        <v>0</v>
      </c>
      <c r="L907" t="n">
        <v>0</v>
      </c>
      <c r="M907" t="n">
        <v>0</v>
      </c>
      <c r="N907" t="n">
        <v>0</v>
      </c>
      <c r="O907" t="n">
        <v>0</v>
      </c>
      <c r="P907" t="n">
        <v>0</v>
      </c>
      <c r="Q907" t="n">
        <v>0</v>
      </c>
      <c r="R907" s="2" t="inlineStr"/>
    </row>
    <row r="908" ht="15" customHeight="1">
      <c r="A908" t="inlineStr">
        <is>
          <t>A 43148-2024</t>
        </is>
      </c>
      <c r="B908" s="1" t="n">
        <v>45567</v>
      </c>
      <c r="C908" s="1" t="n">
        <v>45730</v>
      </c>
      <c r="D908" t="inlineStr">
        <is>
          <t>JÄMTLANDS LÄN</t>
        </is>
      </c>
      <c r="E908" t="inlineStr">
        <is>
          <t>ÖSTERSUND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43557-2024</t>
        </is>
      </c>
      <c r="B909" s="1" t="n">
        <v>45569</v>
      </c>
      <c r="C909" s="1" t="n">
        <v>45730</v>
      </c>
      <c r="D909" t="inlineStr">
        <is>
          <t>JÄMTLANDS LÄN</t>
        </is>
      </c>
      <c r="E909" t="inlineStr">
        <is>
          <t>ÖSTERSUND</t>
        </is>
      </c>
      <c r="G909" t="n">
        <v>3.6</v>
      </c>
      <c r="H909" t="n">
        <v>0</v>
      </c>
      <c r="I909" t="n">
        <v>0</v>
      </c>
      <c r="J909" t="n">
        <v>0</v>
      </c>
      <c r="K909" t="n">
        <v>0</v>
      </c>
      <c r="L909" t="n">
        <v>0</v>
      </c>
      <c r="M909" t="n">
        <v>0</v>
      </c>
      <c r="N909" t="n">
        <v>0</v>
      </c>
      <c r="O909" t="n">
        <v>0</v>
      </c>
      <c r="P909" t="n">
        <v>0</v>
      </c>
      <c r="Q909" t="n">
        <v>0</v>
      </c>
      <c r="R909" s="2" t="inlineStr"/>
    </row>
    <row r="910" ht="15" customHeight="1">
      <c r="A910" t="inlineStr">
        <is>
          <t>A 43560-2024</t>
        </is>
      </c>
      <c r="B910" s="1" t="n">
        <v>45569</v>
      </c>
      <c r="C910" s="1" t="n">
        <v>45730</v>
      </c>
      <c r="D910" t="inlineStr">
        <is>
          <t>JÄMTLANDS LÄN</t>
        </is>
      </c>
      <c r="E910" t="inlineStr">
        <is>
          <t>ÖSTERSUND</t>
        </is>
      </c>
      <c r="G910" t="n">
        <v>2.7</v>
      </c>
      <c r="H910" t="n">
        <v>0</v>
      </c>
      <c r="I910" t="n">
        <v>0</v>
      </c>
      <c r="J910" t="n">
        <v>0</v>
      </c>
      <c r="K910" t="n">
        <v>0</v>
      </c>
      <c r="L910" t="n">
        <v>0</v>
      </c>
      <c r="M910" t="n">
        <v>0</v>
      </c>
      <c r="N910" t="n">
        <v>0</v>
      </c>
      <c r="O910" t="n">
        <v>0</v>
      </c>
      <c r="P910" t="n">
        <v>0</v>
      </c>
      <c r="Q910" t="n">
        <v>0</v>
      </c>
      <c r="R910" s="2" t="inlineStr"/>
    </row>
    <row r="911" ht="15" customHeight="1">
      <c r="A911" t="inlineStr">
        <is>
          <t>A 44048-2024</t>
        </is>
      </c>
      <c r="B911" s="1" t="n">
        <v>45572</v>
      </c>
      <c r="C911" s="1" t="n">
        <v>45730</v>
      </c>
      <c r="D911" t="inlineStr">
        <is>
          <t>JÄMTLANDS LÄN</t>
        </is>
      </c>
      <c r="E911" t="inlineStr">
        <is>
          <t>ÖSTERSUND</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44489-2024</t>
        </is>
      </c>
      <c r="B912" s="1" t="n">
        <v>45574</v>
      </c>
      <c r="C912" s="1" t="n">
        <v>45730</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44707-2024</t>
        </is>
      </c>
      <c r="B913" s="1" t="n">
        <v>45574</v>
      </c>
      <c r="C913" s="1" t="n">
        <v>45730</v>
      </c>
      <c r="D913" t="inlineStr">
        <is>
          <t>JÄMTLANDS LÄN</t>
        </is>
      </c>
      <c r="E913" t="inlineStr">
        <is>
          <t>ÖSTERSUND</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45341-2024</t>
        </is>
      </c>
      <c r="B914" s="1" t="n">
        <v>45576</v>
      </c>
      <c r="C914" s="1" t="n">
        <v>45730</v>
      </c>
      <c r="D914" t="inlineStr">
        <is>
          <t>JÄMTLANDS LÄN</t>
        </is>
      </c>
      <c r="E914" t="inlineStr">
        <is>
          <t>ÖSTERSUND</t>
        </is>
      </c>
      <c r="G914" t="n">
        <v>5.9</v>
      </c>
      <c r="H914" t="n">
        <v>0</v>
      </c>
      <c r="I914" t="n">
        <v>0</v>
      </c>
      <c r="J914" t="n">
        <v>0</v>
      </c>
      <c r="K914" t="n">
        <v>0</v>
      </c>
      <c r="L914" t="n">
        <v>0</v>
      </c>
      <c r="M914" t="n">
        <v>0</v>
      </c>
      <c r="N914" t="n">
        <v>0</v>
      </c>
      <c r="O914" t="n">
        <v>0</v>
      </c>
      <c r="P914" t="n">
        <v>0</v>
      </c>
      <c r="Q914" t="n">
        <v>0</v>
      </c>
      <c r="R914" s="2" t="inlineStr"/>
    </row>
    <row r="915" ht="15" customHeight="1">
      <c r="A915" t="inlineStr">
        <is>
          <t>A 45338-2024</t>
        </is>
      </c>
      <c r="B915" s="1" t="n">
        <v>45576</v>
      </c>
      <c r="C915" s="1" t="n">
        <v>45730</v>
      </c>
      <c r="D915" t="inlineStr">
        <is>
          <t>JÄMTLANDS LÄN</t>
        </is>
      </c>
      <c r="E915" t="inlineStr">
        <is>
          <t>ÖSTERSUND</t>
        </is>
      </c>
      <c r="G915" t="n">
        <v>1.4</v>
      </c>
      <c r="H915" t="n">
        <v>0</v>
      </c>
      <c r="I915" t="n">
        <v>0</v>
      </c>
      <c r="J915" t="n">
        <v>0</v>
      </c>
      <c r="K915" t="n">
        <v>0</v>
      </c>
      <c r="L915" t="n">
        <v>0</v>
      </c>
      <c r="M915" t="n">
        <v>0</v>
      </c>
      <c r="N915" t="n">
        <v>0</v>
      </c>
      <c r="O915" t="n">
        <v>0</v>
      </c>
      <c r="P915" t="n">
        <v>0</v>
      </c>
      <c r="Q915" t="n">
        <v>0</v>
      </c>
      <c r="R915" s="2" t="inlineStr"/>
    </row>
    <row r="916" ht="15" customHeight="1">
      <c r="A916" t="inlineStr">
        <is>
          <t>A 45340-2024</t>
        </is>
      </c>
      <c r="B916" s="1" t="n">
        <v>45576</v>
      </c>
      <c r="C916" s="1" t="n">
        <v>45730</v>
      </c>
      <c r="D916" t="inlineStr">
        <is>
          <t>JÄMTLANDS LÄN</t>
        </is>
      </c>
      <c r="E916" t="inlineStr">
        <is>
          <t>ÖSTERSUND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45610-2024</t>
        </is>
      </c>
      <c r="B917" s="1" t="n">
        <v>45579</v>
      </c>
      <c r="C917" s="1" t="n">
        <v>45730</v>
      </c>
      <c r="D917" t="inlineStr">
        <is>
          <t>JÄMTLANDS LÄN</t>
        </is>
      </c>
      <c r="E917" t="inlineStr">
        <is>
          <t>ÖSTERSUND</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45742-2024</t>
        </is>
      </c>
      <c r="B918" s="1" t="n">
        <v>45579</v>
      </c>
      <c r="C918" s="1" t="n">
        <v>45730</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45895-2024</t>
        </is>
      </c>
      <c r="B919" s="1" t="n">
        <v>45580</v>
      </c>
      <c r="C919" s="1" t="n">
        <v>45730</v>
      </c>
      <c r="D919" t="inlineStr">
        <is>
          <t>JÄMTLANDS LÄN</t>
        </is>
      </c>
      <c r="E919" t="inlineStr">
        <is>
          <t>ÖSTERSUND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45856-2024</t>
        </is>
      </c>
      <c r="B920" s="1" t="n">
        <v>45580</v>
      </c>
      <c r="C920" s="1" t="n">
        <v>45730</v>
      </c>
      <c r="D920" t="inlineStr">
        <is>
          <t>JÄMTLANDS LÄN</t>
        </is>
      </c>
      <c r="E920" t="inlineStr">
        <is>
          <t>ÖSTERSUND</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46732-2024</t>
        </is>
      </c>
      <c r="B921" s="1" t="n">
        <v>45583</v>
      </c>
      <c r="C921" s="1" t="n">
        <v>45730</v>
      </c>
      <c r="D921" t="inlineStr">
        <is>
          <t>JÄMTLANDS LÄN</t>
        </is>
      </c>
      <c r="E921" t="inlineStr">
        <is>
          <t>ÖSTERSUND</t>
        </is>
      </c>
      <c r="G921" t="n">
        <v>3.3</v>
      </c>
      <c r="H921" t="n">
        <v>0</v>
      </c>
      <c r="I921" t="n">
        <v>0</v>
      </c>
      <c r="J921" t="n">
        <v>0</v>
      </c>
      <c r="K921" t="n">
        <v>0</v>
      </c>
      <c r="L921" t="n">
        <v>0</v>
      </c>
      <c r="M921" t="n">
        <v>0</v>
      </c>
      <c r="N921" t="n">
        <v>0</v>
      </c>
      <c r="O921" t="n">
        <v>0</v>
      </c>
      <c r="P921" t="n">
        <v>0</v>
      </c>
      <c r="Q921" t="n">
        <v>0</v>
      </c>
      <c r="R921" s="2" t="inlineStr"/>
    </row>
    <row r="922" ht="15" customHeight="1">
      <c r="A922" t="inlineStr">
        <is>
          <t>A 47245-2024</t>
        </is>
      </c>
      <c r="B922" s="1" t="n">
        <v>45586</v>
      </c>
      <c r="C922" s="1" t="n">
        <v>45730</v>
      </c>
      <c r="D922" t="inlineStr">
        <is>
          <t>JÄMTLANDS LÄN</t>
        </is>
      </c>
      <c r="E922" t="inlineStr">
        <is>
          <t>ÖSTERSUND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47022-2024</t>
        </is>
      </c>
      <c r="B923" s="1" t="n">
        <v>45586</v>
      </c>
      <c r="C923" s="1" t="n">
        <v>45730</v>
      </c>
      <c r="D923" t="inlineStr">
        <is>
          <t>JÄMTLANDS LÄN</t>
        </is>
      </c>
      <c r="E923" t="inlineStr">
        <is>
          <t>ÖSTERSUND</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47357-2024</t>
        </is>
      </c>
      <c r="B924" s="1" t="n">
        <v>45587</v>
      </c>
      <c r="C924" s="1" t="n">
        <v>45730</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47804-2024</t>
        </is>
      </c>
      <c r="B925" s="1" t="n">
        <v>45588</v>
      </c>
      <c r="C925" s="1" t="n">
        <v>45730</v>
      </c>
      <c r="D925" t="inlineStr">
        <is>
          <t>JÄMTLANDS LÄN</t>
        </is>
      </c>
      <c r="E925" t="inlineStr">
        <is>
          <t>ÖSTERSUND</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47630-2024</t>
        </is>
      </c>
      <c r="B926" s="1" t="n">
        <v>45588</v>
      </c>
      <c r="C926" s="1" t="n">
        <v>45730</v>
      </c>
      <c r="D926" t="inlineStr">
        <is>
          <t>JÄMTLANDS LÄN</t>
        </is>
      </c>
      <c r="E926" t="inlineStr">
        <is>
          <t>ÖSTERSUND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47628-2024</t>
        </is>
      </c>
      <c r="B927" s="1" t="n">
        <v>45588</v>
      </c>
      <c r="C927" s="1" t="n">
        <v>45730</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47789-2024</t>
        </is>
      </c>
      <c r="B928" s="1" t="n">
        <v>45588</v>
      </c>
      <c r="C928" s="1" t="n">
        <v>45730</v>
      </c>
      <c r="D928" t="inlineStr">
        <is>
          <t>JÄMTLANDS LÄN</t>
        </is>
      </c>
      <c r="E928" t="inlineStr">
        <is>
          <t>ÖSTERSUND</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47805-2024</t>
        </is>
      </c>
      <c r="B929" s="1" t="n">
        <v>45588</v>
      </c>
      <c r="C929" s="1" t="n">
        <v>45730</v>
      </c>
      <c r="D929" t="inlineStr">
        <is>
          <t>JÄMTLANDS LÄN</t>
        </is>
      </c>
      <c r="E929" t="inlineStr">
        <is>
          <t>ÖSTERSUND</t>
        </is>
      </c>
      <c r="G929" t="n">
        <v>7.4</v>
      </c>
      <c r="H929" t="n">
        <v>0</v>
      </c>
      <c r="I929" t="n">
        <v>0</v>
      </c>
      <c r="J929" t="n">
        <v>0</v>
      </c>
      <c r="K929" t="n">
        <v>0</v>
      </c>
      <c r="L929" t="n">
        <v>0</v>
      </c>
      <c r="M929" t="n">
        <v>0</v>
      </c>
      <c r="N929" t="n">
        <v>0</v>
      </c>
      <c r="O929" t="n">
        <v>0</v>
      </c>
      <c r="P929" t="n">
        <v>0</v>
      </c>
      <c r="Q929" t="n">
        <v>0</v>
      </c>
      <c r="R929" s="2" t="inlineStr"/>
    </row>
    <row r="930" ht="15" customHeight="1">
      <c r="A930" t="inlineStr">
        <is>
          <t>A 47627-2024</t>
        </is>
      </c>
      <c r="B930" s="1" t="n">
        <v>45588</v>
      </c>
      <c r="C930" s="1" t="n">
        <v>45730</v>
      </c>
      <c r="D930" t="inlineStr">
        <is>
          <t>JÄMTLANDS LÄN</t>
        </is>
      </c>
      <c r="E930" t="inlineStr">
        <is>
          <t>ÖSTERSUND</t>
        </is>
      </c>
      <c r="G930" t="n">
        <v>0.8</v>
      </c>
      <c r="H930" t="n">
        <v>0</v>
      </c>
      <c r="I930" t="n">
        <v>0</v>
      </c>
      <c r="J930" t="n">
        <v>0</v>
      </c>
      <c r="K930" t="n">
        <v>0</v>
      </c>
      <c r="L930" t="n">
        <v>0</v>
      </c>
      <c r="M930" t="n">
        <v>0</v>
      </c>
      <c r="N930" t="n">
        <v>0</v>
      </c>
      <c r="O930" t="n">
        <v>0</v>
      </c>
      <c r="P930" t="n">
        <v>0</v>
      </c>
      <c r="Q930" t="n">
        <v>0</v>
      </c>
      <c r="R930" s="2" t="inlineStr"/>
    </row>
    <row r="931" ht="15" customHeight="1">
      <c r="A931" t="inlineStr">
        <is>
          <t>A 48131-2024</t>
        </is>
      </c>
      <c r="B931" s="1" t="n">
        <v>45589</v>
      </c>
      <c r="C931" s="1" t="n">
        <v>45730</v>
      </c>
      <c r="D931" t="inlineStr">
        <is>
          <t>JÄMTLANDS LÄN</t>
        </is>
      </c>
      <c r="E931" t="inlineStr">
        <is>
          <t>ÖSTERSUND</t>
        </is>
      </c>
      <c r="G931" t="n">
        <v>2.6</v>
      </c>
      <c r="H931" t="n">
        <v>0</v>
      </c>
      <c r="I931" t="n">
        <v>0</v>
      </c>
      <c r="J931" t="n">
        <v>0</v>
      </c>
      <c r="K931" t="n">
        <v>0</v>
      </c>
      <c r="L931" t="n">
        <v>0</v>
      </c>
      <c r="M931" t="n">
        <v>0</v>
      </c>
      <c r="N931" t="n">
        <v>0</v>
      </c>
      <c r="O931" t="n">
        <v>0</v>
      </c>
      <c r="P931" t="n">
        <v>0</v>
      </c>
      <c r="Q931" t="n">
        <v>0</v>
      </c>
      <c r="R931" s="2" t="inlineStr"/>
    </row>
    <row r="932" ht="15" customHeight="1">
      <c r="A932" t="inlineStr">
        <is>
          <t>A 48106-2024</t>
        </is>
      </c>
      <c r="B932" s="1" t="n">
        <v>45589</v>
      </c>
      <c r="C932" s="1" t="n">
        <v>45730</v>
      </c>
      <c r="D932" t="inlineStr">
        <is>
          <t>JÄMTLANDS LÄN</t>
        </is>
      </c>
      <c r="E932" t="inlineStr">
        <is>
          <t>ÖSTERSUND</t>
        </is>
      </c>
      <c r="G932" t="n">
        <v>3.5</v>
      </c>
      <c r="H932" t="n">
        <v>0</v>
      </c>
      <c r="I932" t="n">
        <v>0</v>
      </c>
      <c r="J932" t="n">
        <v>0</v>
      </c>
      <c r="K932" t="n">
        <v>0</v>
      </c>
      <c r="L932" t="n">
        <v>0</v>
      </c>
      <c r="M932" t="n">
        <v>0</v>
      </c>
      <c r="N932" t="n">
        <v>0</v>
      </c>
      <c r="O932" t="n">
        <v>0</v>
      </c>
      <c r="P932" t="n">
        <v>0</v>
      </c>
      <c r="Q932" t="n">
        <v>0</v>
      </c>
      <c r="R932" s="2" t="inlineStr"/>
    </row>
    <row r="933" ht="15" customHeight="1">
      <c r="A933" t="inlineStr">
        <is>
          <t>A 48421-2024</t>
        </is>
      </c>
      <c r="B933" s="1" t="n">
        <v>45590</v>
      </c>
      <c r="C933" s="1" t="n">
        <v>45730</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48422-2024</t>
        </is>
      </c>
      <c r="B934" s="1" t="n">
        <v>45590</v>
      </c>
      <c r="C934" s="1" t="n">
        <v>45730</v>
      </c>
      <c r="D934" t="inlineStr">
        <is>
          <t>JÄMTLANDS LÄN</t>
        </is>
      </c>
      <c r="E934" t="inlineStr">
        <is>
          <t>ÖSTERSUND</t>
        </is>
      </c>
      <c r="G934" t="n">
        <v>14.6</v>
      </c>
      <c r="H934" t="n">
        <v>0</v>
      </c>
      <c r="I934" t="n">
        <v>0</v>
      </c>
      <c r="J934" t="n">
        <v>0</v>
      </c>
      <c r="K934" t="n">
        <v>0</v>
      </c>
      <c r="L934" t="n">
        <v>0</v>
      </c>
      <c r="M934" t="n">
        <v>0</v>
      </c>
      <c r="N934" t="n">
        <v>0</v>
      </c>
      <c r="O934" t="n">
        <v>0</v>
      </c>
      <c r="P934" t="n">
        <v>0</v>
      </c>
      <c r="Q934" t="n">
        <v>0</v>
      </c>
      <c r="R934" s="2" t="inlineStr"/>
    </row>
    <row r="935" ht="15" customHeight="1">
      <c r="A935" t="inlineStr">
        <is>
          <t>A 48696-2024</t>
        </is>
      </c>
      <c r="B935" s="1" t="n">
        <v>45593</v>
      </c>
      <c r="C935" s="1" t="n">
        <v>45730</v>
      </c>
      <c r="D935" t="inlineStr">
        <is>
          <t>JÄMTLANDS LÄN</t>
        </is>
      </c>
      <c r="E935" t="inlineStr">
        <is>
          <t>ÖSTERSUND</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48737-2024</t>
        </is>
      </c>
      <c r="B936" s="1" t="n">
        <v>45593</v>
      </c>
      <c r="C936" s="1" t="n">
        <v>45730</v>
      </c>
      <c r="D936" t="inlineStr">
        <is>
          <t>JÄMTLANDS LÄN</t>
        </is>
      </c>
      <c r="E936" t="inlineStr">
        <is>
          <t>ÖSTERSUND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49192-2024</t>
        </is>
      </c>
      <c r="B937" s="1" t="n">
        <v>45595</v>
      </c>
      <c r="C937" s="1" t="n">
        <v>45730</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49240-2024</t>
        </is>
      </c>
      <c r="B938" s="1" t="n">
        <v>45595</v>
      </c>
      <c r="C938" s="1" t="n">
        <v>45730</v>
      </c>
      <c r="D938" t="inlineStr">
        <is>
          <t>JÄMTLANDS LÄN</t>
        </is>
      </c>
      <c r="E938" t="inlineStr">
        <is>
          <t>ÖSTERSUND</t>
        </is>
      </c>
      <c r="G938" t="n">
        <v>5.1</v>
      </c>
      <c r="H938" t="n">
        <v>0</v>
      </c>
      <c r="I938" t="n">
        <v>0</v>
      </c>
      <c r="J938" t="n">
        <v>0</v>
      </c>
      <c r="K938" t="n">
        <v>0</v>
      </c>
      <c r="L938" t="n">
        <v>0</v>
      </c>
      <c r="M938" t="n">
        <v>0</v>
      </c>
      <c r="N938" t="n">
        <v>0</v>
      </c>
      <c r="O938" t="n">
        <v>0</v>
      </c>
      <c r="P938" t="n">
        <v>0</v>
      </c>
      <c r="Q938" t="n">
        <v>0</v>
      </c>
      <c r="R938" s="2" t="inlineStr"/>
    </row>
    <row r="939" ht="15" customHeight="1">
      <c r="A939" t="inlineStr">
        <is>
          <t>A 49546-2024</t>
        </is>
      </c>
      <c r="B939" s="1" t="n">
        <v>45596</v>
      </c>
      <c r="C939" s="1" t="n">
        <v>45730</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49592-2024</t>
        </is>
      </c>
      <c r="B940" s="1" t="n">
        <v>45596</v>
      </c>
      <c r="C940" s="1" t="n">
        <v>45730</v>
      </c>
      <c r="D940" t="inlineStr">
        <is>
          <t>JÄMTLANDS LÄN</t>
        </is>
      </c>
      <c r="E940" t="inlineStr">
        <is>
          <t>ÖSTERSUND</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49788-2024</t>
        </is>
      </c>
      <c r="B941" s="1" t="n">
        <v>45597</v>
      </c>
      <c r="C941" s="1" t="n">
        <v>45730</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50088-2024</t>
        </is>
      </c>
      <c r="B942" s="1" t="n">
        <v>45600</v>
      </c>
      <c r="C942" s="1" t="n">
        <v>45730</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50218-2024</t>
        </is>
      </c>
      <c r="B943" s="1" t="n">
        <v>45600</v>
      </c>
      <c r="C943" s="1" t="n">
        <v>45730</v>
      </c>
      <c r="D943" t="inlineStr">
        <is>
          <t>JÄMTLANDS LÄN</t>
        </is>
      </c>
      <c r="E943" t="inlineStr">
        <is>
          <t>ÖSTERSUND</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50560-2024</t>
        </is>
      </c>
      <c r="B944" s="1" t="n">
        <v>45601</v>
      </c>
      <c r="C944" s="1" t="n">
        <v>45730</v>
      </c>
      <c r="D944" t="inlineStr">
        <is>
          <t>JÄMTLANDS LÄN</t>
        </is>
      </c>
      <c r="E944" t="inlineStr">
        <is>
          <t>ÖSTERSUND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50860-2024</t>
        </is>
      </c>
      <c r="B945" s="1" t="n">
        <v>45602</v>
      </c>
      <c r="C945" s="1" t="n">
        <v>45730</v>
      </c>
      <c r="D945" t="inlineStr">
        <is>
          <t>JÄMTLANDS LÄN</t>
        </is>
      </c>
      <c r="E945" t="inlineStr">
        <is>
          <t>ÖSTERSUND</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50861-2024</t>
        </is>
      </c>
      <c r="B946" s="1" t="n">
        <v>45602</v>
      </c>
      <c r="C946" s="1" t="n">
        <v>45730</v>
      </c>
      <c r="D946" t="inlineStr">
        <is>
          <t>JÄMTLANDS LÄN</t>
        </is>
      </c>
      <c r="E946" t="inlineStr">
        <is>
          <t>ÖSTERSUND</t>
        </is>
      </c>
      <c r="G946" t="n">
        <v>5</v>
      </c>
      <c r="H946" t="n">
        <v>0</v>
      </c>
      <c r="I946" t="n">
        <v>0</v>
      </c>
      <c r="J946" t="n">
        <v>0</v>
      </c>
      <c r="K946" t="n">
        <v>0</v>
      </c>
      <c r="L946" t="n">
        <v>0</v>
      </c>
      <c r="M946" t="n">
        <v>0</v>
      </c>
      <c r="N946" t="n">
        <v>0</v>
      </c>
      <c r="O946" t="n">
        <v>0</v>
      </c>
      <c r="P946" t="n">
        <v>0</v>
      </c>
      <c r="Q946" t="n">
        <v>0</v>
      </c>
      <c r="R946" s="2" t="inlineStr"/>
    </row>
    <row r="947" ht="15" customHeight="1">
      <c r="A947" t="inlineStr">
        <is>
          <t>A 50971-2024</t>
        </is>
      </c>
      <c r="B947" s="1" t="n">
        <v>45603</v>
      </c>
      <c r="C947" s="1" t="n">
        <v>45730</v>
      </c>
      <c r="D947" t="inlineStr">
        <is>
          <t>JÄMTLANDS LÄN</t>
        </is>
      </c>
      <c r="E947" t="inlineStr">
        <is>
          <t>ÖSTERSUND</t>
        </is>
      </c>
      <c r="G947" t="n">
        <v>3.2</v>
      </c>
      <c r="H947" t="n">
        <v>0</v>
      </c>
      <c r="I947" t="n">
        <v>0</v>
      </c>
      <c r="J947" t="n">
        <v>0</v>
      </c>
      <c r="K947" t="n">
        <v>0</v>
      </c>
      <c r="L947" t="n">
        <v>0</v>
      </c>
      <c r="M947" t="n">
        <v>0</v>
      </c>
      <c r="N947" t="n">
        <v>0</v>
      </c>
      <c r="O947" t="n">
        <v>0</v>
      </c>
      <c r="P947" t="n">
        <v>0</v>
      </c>
      <c r="Q947" t="n">
        <v>0</v>
      </c>
      <c r="R947" s="2" t="inlineStr"/>
    </row>
    <row r="948" ht="15" customHeight="1">
      <c r="A948" t="inlineStr">
        <is>
          <t>A 51379-2024</t>
        </is>
      </c>
      <c r="B948" s="1" t="n">
        <v>45604</v>
      </c>
      <c r="C948" s="1" t="n">
        <v>45730</v>
      </c>
      <c r="D948" t="inlineStr">
        <is>
          <t>JÄMTLANDS LÄN</t>
        </is>
      </c>
      <c r="E948" t="inlineStr">
        <is>
          <t>ÖSTERSUND</t>
        </is>
      </c>
      <c r="G948" t="n">
        <v>2</v>
      </c>
      <c r="H948" t="n">
        <v>0</v>
      </c>
      <c r="I948" t="n">
        <v>0</v>
      </c>
      <c r="J948" t="n">
        <v>0</v>
      </c>
      <c r="K948" t="n">
        <v>0</v>
      </c>
      <c r="L948" t="n">
        <v>0</v>
      </c>
      <c r="M948" t="n">
        <v>0</v>
      </c>
      <c r="N948" t="n">
        <v>0</v>
      </c>
      <c r="O948" t="n">
        <v>0</v>
      </c>
      <c r="P948" t="n">
        <v>0</v>
      </c>
      <c r="Q948" t="n">
        <v>0</v>
      </c>
      <c r="R948" s="2" t="inlineStr"/>
    </row>
    <row r="949" ht="15" customHeight="1">
      <c r="A949" t="inlineStr">
        <is>
          <t>A 51856-2024</t>
        </is>
      </c>
      <c r="B949" s="1" t="n">
        <v>45607</v>
      </c>
      <c r="C949" s="1" t="n">
        <v>45730</v>
      </c>
      <c r="D949" t="inlineStr">
        <is>
          <t>JÄMTLANDS LÄN</t>
        </is>
      </c>
      <c r="E949" t="inlineStr">
        <is>
          <t>ÖSTERSUND</t>
        </is>
      </c>
      <c r="G949" t="n">
        <v>13.5</v>
      </c>
      <c r="H949" t="n">
        <v>0</v>
      </c>
      <c r="I949" t="n">
        <v>0</v>
      </c>
      <c r="J949" t="n">
        <v>0</v>
      </c>
      <c r="K949" t="n">
        <v>0</v>
      </c>
      <c r="L949" t="n">
        <v>0</v>
      </c>
      <c r="M949" t="n">
        <v>0</v>
      </c>
      <c r="N949" t="n">
        <v>0</v>
      </c>
      <c r="O949" t="n">
        <v>0</v>
      </c>
      <c r="P949" t="n">
        <v>0</v>
      </c>
      <c r="Q949" t="n">
        <v>0</v>
      </c>
      <c r="R949" s="2" t="inlineStr"/>
    </row>
    <row r="950" ht="15" customHeight="1">
      <c r="A950" t="inlineStr">
        <is>
          <t>A 51865-2024</t>
        </is>
      </c>
      <c r="B950" s="1" t="n">
        <v>45607</v>
      </c>
      <c r="C950" s="1" t="n">
        <v>45730</v>
      </c>
      <c r="D950" t="inlineStr">
        <is>
          <t>JÄMTLANDS LÄN</t>
        </is>
      </c>
      <c r="E950" t="inlineStr">
        <is>
          <t>ÖSTERSUND</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51818-2024</t>
        </is>
      </c>
      <c r="B951" s="1" t="n">
        <v>45607</v>
      </c>
      <c r="C951" s="1" t="n">
        <v>45730</v>
      </c>
      <c r="D951" t="inlineStr">
        <is>
          <t>JÄMTLANDS LÄN</t>
        </is>
      </c>
      <c r="E951" t="inlineStr">
        <is>
          <t>ÖSTERSUND</t>
        </is>
      </c>
      <c r="G951" t="n">
        <v>4.6</v>
      </c>
      <c r="H951" t="n">
        <v>0</v>
      </c>
      <c r="I951" t="n">
        <v>0</v>
      </c>
      <c r="J951" t="n">
        <v>0</v>
      </c>
      <c r="K951" t="n">
        <v>0</v>
      </c>
      <c r="L951" t="n">
        <v>0</v>
      </c>
      <c r="M951" t="n">
        <v>0</v>
      </c>
      <c r="N951" t="n">
        <v>0</v>
      </c>
      <c r="O951" t="n">
        <v>0</v>
      </c>
      <c r="P951" t="n">
        <v>0</v>
      </c>
      <c r="Q951" t="n">
        <v>0</v>
      </c>
      <c r="R951" s="2" t="inlineStr"/>
    </row>
    <row r="952" ht="15" customHeight="1">
      <c r="A952" t="inlineStr">
        <is>
          <t>A 51826-2024</t>
        </is>
      </c>
      <c r="B952" s="1" t="n">
        <v>45607</v>
      </c>
      <c r="C952" s="1" t="n">
        <v>45730</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52405-2024</t>
        </is>
      </c>
      <c r="B953" s="1" t="n">
        <v>45609</v>
      </c>
      <c r="C953" s="1" t="n">
        <v>45730</v>
      </c>
      <c r="D953" t="inlineStr">
        <is>
          <t>JÄMTLANDS LÄN</t>
        </is>
      </c>
      <c r="E953" t="inlineStr">
        <is>
          <t>ÖSTERSUND</t>
        </is>
      </c>
      <c r="G953" t="n">
        <v>4.3</v>
      </c>
      <c r="H953" t="n">
        <v>0</v>
      </c>
      <c r="I953" t="n">
        <v>0</v>
      </c>
      <c r="J953" t="n">
        <v>0</v>
      </c>
      <c r="K953" t="n">
        <v>0</v>
      </c>
      <c r="L953" t="n">
        <v>0</v>
      </c>
      <c r="M953" t="n">
        <v>0</v>
      </c>
      <c r="N953" t="n">
        <v>0</v>
      </c>
      <c r="O953" t="n">
        <v>0</v>
      </c>
      <c r="P953" t="n">
        <v>0</v>
      </c>
      <c r="Q953" t="n">
        <v>0</v>
      </c>
      <c r="R953" s="2" t="inlineStr"/>
    </row>
    <row r="954" ht="15" customHeight="1">
      <c r="A954" t="inlineStr">
        <is>
          <t>A 52480-2024</t>
        </is>
      </c>
      <c r="B954" s="1" t="n">
        <v>45609</v>
      </c>
      <c r="C954" s="1" t="n">
        <v>45730</v>
      </c>
      <c r="D954" t="inlineStr">
        <is>
          <t>JÄMTLANDS LÄN</t>
        </is>
      </c>
      <c r="E954" t="inlineStr">
        <is>
          <t>ÖSTERSUND</t>
        </is>
      </c>
      <c r="G954" t="n">
        <v>20.2</v>
      </c>
      <c r="H954" t="n">
        <v>0</v>
      </c>
      <c r="I954" t="n">
        <v>0</v>
      </c>
      <c r="J954" t="n">
        <v>0</v>
      </c>
      <c r="K954" t="n">
        <v>0</v>
      </c>
      <c r="L954" t="n">
        <v>0</v>
      </c>
      <c r="M954" t="n">
        <v>0</v>
      </c>
      <c r="N954" t="n">
        <v>0</v>
      </c>
      <c r="O954" t="n">
        <v>0</v>
      </c>
      <c r="P954" t="n">
        <v>0</v>
      </c>
      <c r="Q954" t="n">
        <v>0</v>
      </c>
      <c r="R954" s="2" t="inlineStr"/>
    </row>
    <row r="955" ht="15" customHeight="1">
      <c r="A955" t="inlineStr">
        <is>
          <t>A 52483-2024</t>
        </is>
      </c>
      <c r="B955" s="1" t="n">
        <v>45609</v>
      </c>
      <c r="C955" s="1" t="n">
        <v>45730</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52481-2024</t>
        </is>
      </c>
      <c r="B956" s="1" t="n">
        <v>45609</v>
      </c>
      <c r="C956" s="1" t="n">
        <v>45730</v>
      </c>
      <c r="D956" t="inlineStr">
        <is>
          <t>JÄMTLANDS LÄN</t>
        </is>
      </c>
      <c r="E956" t="inlineStr">
        <is>
          <t>ÖSTERSUND</t>
        </is>
      </c>
      <c r="G956" t="n">
        <v>1.9</v>
      </c>
      <c r="H956" t="n">
        <v>0</v>
      </c>
      <c r="I956" t="n">
        <v>0</v>
      </c>
      <c r="J956" t="n">
        <v>0</v>
      </c>
      <c r="K956" t="n">
        <v>0</v>
      </c>
      <c r="L956" t="n">
        <v>0</v>
      </c>
      <c r="M956" t="n">
        <v>0</v>
      </c>
      <c r="N956" t="n">
        <v>0</v>
      </c>
      <c r="O956" t="n">
        <v>0</v>
      </c>
      <c r="P956" t="n">
        <v>0</v>
      </c>
      <c r="Q956" t="n">
        <v>0</v>
      </c>
      <c r="R956" s="2" t="inlineStr"/>
    </row>
    <row r="957" ht="15" customHeight="1">
      <c r="A957" t="inlineStr">
        <is>
          <t>A 52482-2024</t>
        </is>
      </c>
      <c r="B957" s="1" t="n">
        <v>45609</v>
      </c>
      <c r="C957" s="1" t="n">
        <v>45730</v>
      </c>
      <c r="D957" t="inlineStr">
        <is>
          <t>JÄMTLANDS LÄN</t>
        </is>
      </c>
      <c r="E957" t="inlineStr">
        <is>
          <t>ÖSTERSUND</t>
        </is>
      </c>
      <c r="G957" t="n">
        <v>7.3</v>
      </c>
      <c r="H957" t="n">
        <v>0</v>
      </c>
      <c r="I957" t="n">
        <v>0</v>
      </c>
      <c r="J957" t="n">
        <v>0</v>
      </c>
      <c r="K957" t="n">
        <v>0</v>
      </c>
      <c r="L957" t="n">
        <v>0</v>
      </c>
      <c r="M957" t="n">
        <v>0</v>
      </c>
      <c r="N957" t="n">
        <v>0</v>
      </c>
      <c r="O957" t="n">
        <v>0</v>
      </c>
      <c r="P957" t="n">
        <v>0</v>
      </c>
      <c r="Q957" t="n">
        <v>0</v>
      </c>
      <c r="R957" s="2" t="inlineStr"/>
    </row>
    <row r="958" ht="15" customHeight="1">
      <c r="A958" t="inlineStr">
        <is>
          <t>A 52854-2024</t>
        </is>
      </c>
      <c r="B958" s="1" t="n">
        <v>45610</v>
      </c>
      <c r="C958" s="1" t="n">
        <v>45730</v>
      </c>
      <c r="D958" t="inlineStr">
        <is>
          <t>JÄMTLANDS LÄN</t>
        </is>
      </c>
      <c r="E958" t="inlineStr">
        <is>
          <t>ÖSTERSUND</t>
        </is>
      </c>
      <c r="G958" t="n">
        <v>2.5</v>
      </c>
      <c r="H958" t="n">
        <v>0</v>
      </c>
      <c r="I958" t="n">
        <v>0</v>
      </c>
      <c r="J958" t="n">
        <v>0</v>
      </c>
      <c r="K958" t="n">
        <v>0</v>
      </c>
      <c r="L958" t="n">
        <v>0</v>
      </c>
      <c r="M958" t="n">
        <v>0</v>
      </c>
      <c r="N958" t="n">
        <v>0</v>
      </c>
      <c r="O958" t="n">
        <v>0</v>
      </c>
      <c r="P958" t="n">
        <v>0</v>
      </c>
      <c r="Q958" t="n">
        <v>0</v>
      </c>
      <c r="R958" s="2" t="inlineStr"/>
    </row>
    <row r="959" ht="15" customHeight="1">
      <c r="A959" t="inlineStr">
        <is>
          <t>A 53060-2024</t>
        </is>
      </c>
      <c r="B959" s="1" t="n">
        <v>45611</v>
      </c>
      <c r="C959" s="1" t="n">
        <v>45730</v>
      </c>
      <c r="D959" t="inlineStr">
        <is>
          <t>JÄMTLANDS LÄN</t>
        </is>
      </c>
      <c r="E959" t="inlineStr">
        <is>
          <t>ÖSTERSUND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53176-2024</t>
        </is>
      </c>
      <c r="B960" s="1" t="n">
        <v>45611</v>
      </c>
      <c r="C960" s="1" t="n">
        <v>45730</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53130-2024</t>
        </is>
      </c>
      <c r="B961" s="1" t="n">
        <v>45611</v>
      </c>
      <c r="C961" s="1" t="n">
        <v>45730</v>
      </c>
      <c r="D961" t="inlineStr">
        <is>
          <t>JÄMTLANDS LÄN</t>
        </is>
      </c>
      <c r="E961" t="inlineStr">
        <is>
          <t>ÖSTERSUND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53516-2024</t>
        </is>
      </c>
      <c r="B962" s="1" t="n">
        <v>45614</v>
      </c>
      <c r="C962" s="1" t="n">
        <v>45730</v>
      </c>
      <c r="D962" t="inlineStr">
        <is>
          <t>JÄMTLANDS LÄN</t>
        </is>
      </c>
      <c r="E962" t="inlineStr">
        <is>
          <t>ÖSTERSUND</t>
        </is>
      </c>
      <c r="G962" t="n">
        <v>4.5</v>
      </c>
      <c r="H962" t="n">
        <v>0</v>
      </c>
      <c r="I962" t="n">
        <v>0</v>
      </c>
      <c r="J962" t="n">
        <v>0</v>
      </c>
      <c r="K962" t="n">
        <v>0</v>
      </c>
      <c r="L962" t="n">
        <v>0</v>
      </c>
      <c r="M962" t="n">
        <v>0</v>
      </c>
      <c r="N962" t="n">
        <v>0</v>
      </c>
      <c r="O962" t="n">
        <v>0</v>
      </c>
      <c r="P962" t="n">
        <v>0</v>
      </c>
      <c r="Q962" t="n">
        <v>0</v>
      </c>
      <c r="R962" s="2" t="inlineStr"/>
    </row>
    <row r="963" ht="15" customHeight="1">
      <c r="A963" t="inlineStr">
        <is>
          <t>A 53520-2024</t>
        </is>
      </c>
      <c r="B963" s="1" t="n">
        <v>45614</v>
      </c>
      <c r="C963" s="1" t="n">
        <v>45730</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53536-2024</t>
        </is>
      </c>
      <c r="B964" s="1" t="n">
        <v>45614</v>
      </c>
      <c r="C964" s="1" t="n">
        <v>45730</v>
      </c>
      <c r="D964" t="inlineStr">
        <is>
          <t>JÄMTLANDS LÄN</t>
        </is>
      </c>
      <c r="E964" t="inlineStr">
        <is>
          <t>ÖSTERSUND</t>
        </is>
      </c>
      <c r="G964" t="n">
        <v>4.1</v>
      </c>
      <c r="H964" t="n">
        <v>0</v>
      </c>
      <c r="I964" t="n">
        <v>0</v>
      </c>
      <c r="J964" t="n">
        <v>0</v>
      </c>
      <c r="K964" t="n">
        <v>0</v>
      </c>
      <c r="L964" t="n">
        <v>0</v>
      </c>
      <c r="M964" t="n">
        <v>0</v>
      </c>
      <c r="N964" t="n">
        <v>0</v>
      </c>
      <c r="O964" t="n">
        <v>0</v>
      </c>
      <c r="P964" t="n">
        <v>0</v>
      </c>
      <c r="Q964" t="n">
        <v>0</v>
      </c>
      <c r="R964" s="2" t="inlineStr"/>
    </row>
    <row r="965" ht="15" customHeight="1">
      <c r="A965" t="inlineStr">
        <is>
          <t>A 53745-2024</t>
        </is>
      </c>
      <c r="B965" s="1" t="n">
        <v>45615</v>
      </c>
      <c r="C965" s="1" t="n">
        <v>45730</v>
      </c>
      <c r="D965" t="inlineStr">
        <is>
          <t>JÄMTLANDS LÄN</t>
        </is>
      </c>
      <c r="E965" t="inlineStr">
        <is>
          <t>ÖSTERSUND</t>
        </is>
      </c>
      <c r="G965" t="n">
        <v>2.3</v>
      </c>
      <c r="H965" t="n">
        <v>0</v>
      </c>
      <c r="I965" t="n">
        <v>0</v>
      </c>
      <c r="J965" t="n">
        <v>0</v>
      </c>
      <c r="K965" t="n">
        <v>0</v>
      </c>
      <c r="L965" t="n">
        <v>0</v>
      </c>
      <c r="M965" t="n">
        <v>0</v>
      </c>
      <c r="N965" t="n">
        <v>0</v>
      </c>
      <c r="O965" t="n">
        <v>0</v>
      </c>
      <c r="P965" t="n">
        <v>0</v>
      </c>
      <c r="Q965" t="n">
        <v>0</v>
      </c>
      <c r="R965" s="2" t="inlineStr"/>
    </row>
    <row r="966" ht="15" customHeight="1">
      <c r="A966" t="inlineStr">
        <is>
          <t>A 53864-2024</t>
        </is>
      </c>
      <c r="B966" s="1" t="n">
        <v>45615</v>
      </c>
      <c r="C966" s="1" t="n">
        <v>45730</v>
      </c>
      <c r="D966" t="inlineStr">
        <is>
          <t>JÄMTLANDS LÄN</t>
        </is>
      </c>
      <c r="E966" t="inlineStr">
        <is>
          <t>ÖSTERSUND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53660-2024</t>
        </is>
      </c>
      <c r="B967" s="1" t="n">
        <v>45615</v>
      </c>
      <c r="C967" s="1" t="n">
        <v>45730</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54237-2024</t>
        </is>
      </c>
      <c r="B968" s="1" t="n">
        <v>45616</v>
      </c>
      <c r="C968" s="1" t="n">
        <v>45730</v>
      </c>
      <c r="D968" t="inlineStr">
        <is>
          <t>JÄMTLANDS LÄN</t>
        </is>
      </c>
      <c r="E968" t="inlineStr">
        <is>
          <t>ÖSTERSUND</t>
        </is>
      </c>
      <c r="F968" t="inlineStr">
        <is>
          <t>SCA</t>
        </is>
      </c>
      <c r="G968" t="n">
        <v>8.9</v>
      </c>
      <c r="H968" t="n">
        <v>0</v>
      </c>
      <c r="I968" t="n">
        <v>0</v>
      </c>
      <c r="J968" t="n">
        <v>0</v>
      </c>
      <c r="K968" t="n">
        <v>0</v>
      </c>
      <c r="L968" t="n">
        <v>0</v>
      </c>
      <c r="M968" t="n">
        <v>0</v>
      </c>
      <c r="N968" t="n">
        <v>0</v>
      </c>
      <c r="O968" t="n">
        <v>0</v>
      </c>
      <c r="P968" t="n">
        <v>0</v>
      </c>
      <c r="Q968" t="n">
        <v>0</v>
      </c>
      <c r="R968" s="2" t="inlineStr"/>
    </row>
    <row r="969" ht="15" customHeight="1">
      <c r="A969" t="inlineStr">
        <is>
          <t>A 54354-2024</t>
        </is>
      </c>
      <c r="B969" s="1" t="n">
        <v>45617</v>
      </c>
      <c r="C969" s="1" t="n">
        <v>45730</v>
      </c>
      <c r="D969" t="inlineStr">
        <is>
          <t>JÄMTLANDS LÄN</t>
        </is>
      </c>
      <c r="E969" t="inlineStr">
        <is>
          <t>ÖSTERSUND</t>
        </is>
      </c>
      <c r="G969" t="n">
        <v>7</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45730</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45730</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45730</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45730</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45730</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45730</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45730</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45730</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45730</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45730</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45730</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45730</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45730</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45730</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45730</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45730</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45730</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45730</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45730</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45730</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45730</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45730</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45730</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45730</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45730</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45730</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45730</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45730</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45730</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45730</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45730</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45730</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45730</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45730</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45730</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45730</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45730</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45730</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45730</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45730</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45730</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45730</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45730</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45730</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45730</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45730</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45730</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45730</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45730</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45730</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45730</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45730</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45730</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45730</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45730</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45730</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45730</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45730</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45730</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45730</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45730</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45730</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45730</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45730</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45730</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45730</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45730</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45730</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45730</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45730</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45730</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45730</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45730</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45730</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45730</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45730</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45730</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45730</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45730</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45730</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45730</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45730</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45730</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45730</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45730</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45730</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45730</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45730</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45730</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45730</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45730</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45730</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45730</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45730</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45730</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45730</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45730</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45730</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45730</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45730</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7289-2025</t>
        </is>
      </c>
      <c r="B1070" s="1" t="n">
        <v>45702</v>
      </c>
      <c r="C1070" s="1" t="n">
        <v>45730</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45730</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45730</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45730</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45730</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45730</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45730</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45730</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7911-2025</t>
        </is>
      </c>
      <c r="B1078" s="1" t="n">
        <v>45707</v>
      </c>
      <c r="C1078" s="1" t="n">
        <v>45730</v>
      </c>
      <c r="D1078" t="inlineStr">
        <is>
          <t>JÄMTLANDS LÄN</t>
        </is>
      </c>
      <c r="E1078" t="inlineStr">
        <is>
          <t>ÖSTERSUND</t>
        </is>
      </c>
      <c r="F1078" t="inlineStr">
        <is>
          <t>SCA</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45730</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45730</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45730</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7953-2025</t>
        </is>
      </c>
      <c r="B1082" s="1" t="n">
        <v>45707</v>
      </c>
      <c r="C1082" s="1" t="n">
        <v>45730</v>
      </c>
      <c r="D1082" t="inlineStr">
        <is>
          <t>JÄMTLANDS LÄN</t>
        </is>
      </c>
      <c r="E1082" t="inlineStr">
        <is>
          <t>ÖSTERSUND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45730</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45730</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45730</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45730</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45730</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45730</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45730</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45730</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45730</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45730</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45730</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45730</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45730</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45730</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45730</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45730</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c r="A1099" t="inlineStr">
        <is>
          <t>A 12102-2025</t>
        </is>
      </c>
      <c r="B1099" s="1" t="n">
        <v>45729</v>
      </c>
      <c r="C1099" s="1" t="n">
        <v>45730</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2025-03-14T17:18:11Z</dcterms:created>
  <dcterms:modified xmlns:dcterms="http://purl.org/dc/terms/" xmlns:xsi="http://www.w3.org/2001/XMLSchema-instance" xsi:type="dcterms:W3CDTF">2025-03-14T17:18:12Z</dcterms:modified>
</cp:coreProperties>
</file>