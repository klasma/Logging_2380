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45969</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45969</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45969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45969</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45969</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45969</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45969</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45969</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45969</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45969</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44532-2025</t>
        </is>
      </c>
      <c r="B16" s="1" t="n">
        <v>45916.80152777778</v>
      </c>
      <c r="C16" s="1" t="n">
        <v>45969</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45969</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45969</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45969</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45969</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45969</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61766-2024</t>
        </is>
      </c>
      <c r="B22" s="1" t="n">
        <v>45649</v>
      </c>
      <c r="C22" s="1" t="n">
        <v>45969</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26796-2024</t>
        </is>
      </c>
      <c r="B23" s="1" t="n">
        <v>45470</v>
      </c>
      <c r="C23" s="1" t="n">
        <v>45969</v>
      </c>
      <c r="D23" t="inlineStr">
        <is>
          <t>JÄMTLANDS LÄN</t>
        </is>
      </c>
      <c r="E23" t="inlineStr">
        <is>
          <t>ÖSTERSUND</t>
        </is>
      </c>
      <c r="G23" t="n">
        <v>13.5</v>
      </c>
      <c r="H23" t="n">
        <v>6</v>
      </c>
      <c r="I23" t="n">
        <v>1</v>
      </c>
      <c r="J23" t="n">
        <v>6</v>
      </c>
      <c r="K23" t="n">
        <v>1</v>
      </c>
      <c r="L23" t="n">
        <v>0</v>
      </c>
      <c r="M23" t="n">
        <v>0</v>
      </c>
      <c r="N23" t="n">
        <v>0</v>
      </c>
      <c r="O23" t="n">
        <v>7</v>
      </c>
      <c r="P23" t="n">
        <v>1</v>
      </c>
      <c r="Q23" t="n">
        <v>10</v>
      </c>
      <c r="R23" s="2" t="inlineStr">
        <is>
          <t>Knärot
Garnlav
Granticka
Harticka
Talltita
Tretåig hackspett
Ullticka
Spindelblomster
Kungsfågel
Revlummer</t>
        </is>
      </c>
      <c r="S23">
        <f>HYPERLINK("https://klasma.github.io/Logging_2380/artfynd/A 26796-2024 artfynd.xlsx", "A 26796-2024")</f>
        <v/>
      </c>
      <c r="T23">
        <f>HYPERLINK("https://klasma.github.io/Logging_2380/kartor/A 26796-2024 karta.png", "A 26796-2024")</f>
        <v/>
      </c>
      <c r="U23">
        <f>HYPERLINK("https://klasma.github.io/Logging_2380/knärot/A 26796-2024 karta knärot.png", "A 26796-2024")</f>
        <v/>
      </c>
      <c r="V23">
        <f>HYPERLINK("https://klasma.github.io/Logging_2380/klagomål/A 26796-2024 FSC-klagomål.docx", "A 26796-2024")</f>
        <v/>
      </c>
      <c r="W23">
        <f>HYPERLINK("https://klasma.github.io/Logging_2380/klagomålsmail/A 26796-2024 FSC-klagomål mail.docx", "A 26796-2024")</f>
        <v/>
      </c>
      <c r="X23">
        <f>HYPERLINK("https://klasma.github.io/Logging_2380/tillsyn/A 26796-2024 tillsynsbegäran.docx", "A 26796-2024")</f>
        <v/>
      </c>
      <c r="Y23">
        <f>HYPERLINK("https://klasma.github.io/Logging_2380/tillsynsmail/A 26796-2024 tillsynsbegäran mail.docx", "A 26796-2024")</f>
        <v/>
      </c>
      <c r="Z23">
        <f>HYPERLINK("https://klasma.github.io/Logging_2380/fåglar/A 26796-2024 prioriterade fågelarter.docx", "A 26796-2024")</f>
        <v/>
      </c>
    </row>
    <row r="24" ht="15" customHeight="1">
      <c r="A24" t="inlineStr">
        <is>
          <t>A 7457-2023</t>
        </is>
      </c>
      <c r="B24" s="1" t="n">
        <v>44971</v>
      </c>
      <c r="C24" s="1" t="n">
        <v>45969</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16845-2025</t>
        </is>
      </c>
      <c r="B25" s="1" t="n">
        <v>45754.67761574074</v>
      </c>
      <c r="C25" s="1" t="n">
        <v>45969</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49928-2025</t>
        </is>
      </c>
      <c r="B26" s="1" t="n">
        <v>45940.65138888889</v>
      </c>
      <c r="C26" s="1" t="n">
        <v>45969</v>
      </c>
      <c r="D26" t="inlineStr">
        <is>
          <t>JÄMTLANDS LÄN</t>
        </is>
      </c>
      <c r="E26" t="inlineStr">
        <is>
          <t>ÖSTERSUND</t>
        </is>
      </c>
      <c r="G26" t="n">
        <v>6.4</v>
      </c>
      <c r="H26" t="n">
        <v>4</v>
      </c>
      <c r="I26" t="n">
        <v>1</v>
      </c>
      <c r="J26" t="n">
        <v>6</v>
      </c>
      <c r="K26" t="n">
        <v>1</v>
      </c>
      <c r="L26" t="n">
        <v>1</v>
      </c>
      <c r="M26" t="n">
        <v>0</v>
      </c>
      <c r="N26" t="n">
        <v>0</v>
      </c>
      <c r="O26" t="n">
        <v>8</v>
      </c>
      <c r="P26" t="n">
        <v>2</v>
      </c>
      <c r="Q26" t="n">
        <v>10</v>
      </c>
      <c r="R26" s="2" t="inlineStr">
        <is>
          <t>Mikroskapania
Knärot
Doftskinn
Granticka
Harticka
Platt spretmossa
Tretåig hackspett
Ullticka
Rödgul trumpetsvamp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45224-2024</t>
        </is>
      </c>
      <c r="B27" s="1" t="n">
        <v>45575.77440972222</v>
      </c>
      <c r="C27" s="1" t="n">
        <v>45969</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34816-2024</t>
        </is>
      </c>
      <c r="B28" s="1" t="n">
        <v>45526</v>
      </c>
      <c r="C28" s="1" t="n">
        <v>45969</v>
      </c>
      <c r="D28" t="inlineStr">
        <is>
          <t>JÄMTLANDS LÄN</t>
        </is>
      </c>
      <c r="E28" t="inlineStr">
        <is>
          <t>ÖSTERSUND</t>
        </is>
      </c>
      <c r="F28" t="inlineStr">
        <is>
          <t>SCA</t>
        </is>
      </c>
      <c r="G28" t="n">
        <v>14.4</v>
      </c>
      <c r="H28" t="n">
        <v>0</v>
      </c>
      <c r="I28" t="n">
        <v>0</v>
      </c>
      <c r="J28" t="n">
        <v>9</v>
      </c>
      <c r="K28" t="n">
        <v>0</v>
      </c>
      <c r="L28" t="n">
        <v>0</v>
      </c>
      <c r="M28" t="n">
        <v>0</v>
      </c>
      <c r="N28" t="n">
        <v>0</v>
      </c>
      <c r="O28" t="n">
        <v>9</v>
      </c>
      <c r="P28" t="n">
        <v>0</v>
      </c>
      <c r="Q28" t="n">
        <v>9</v>
      </c>
      <c r="R28" s="2" t="inlineStr">
        <is>
          <t>Blå taggsvamp
Dvärgbägarlav
Lunglav
Mörk kolflarnlav
Orange taggsvamp
Skrovlig taggsvamp
Stiftgelélav
Svart taggsvamp
Vedskivlav</t>
        </is>
      </c>
      <c r="S28">
        <f>HYPERLINK("https://klasma.github.io/Logging_2380/artfynd/A 34816-2024 artfynd.xlsx", "A 34816-2024")</f>
        <v/>
      </c>
      <c r="T28">
        <f>HYPERLINK("https://klasma.github.io/Logging_2380/kartor/A 34816-2024 karta.png", "A 34816-2024")</f>
        <v/>
      </c>
      <c r="V28">
        <f>HYPERLINK("https://klasma.github.io/Logging_2380/klagomål/A 34816-2024 FSC-klagomål.docx", "A 34816-2024")</f>
        <v/>
      </c>
      <c r="W28">
        <f>HYPERLINK("https://klasma.github.io/Logging_2380/klagomålsmail/A 34816-2024 FSC-klagomål mail.docx", "A 34816-2024")</f>
        <v/>
      </c>
      <c r="X28">
        <f>HYPERLINK("https://klasma.github.io/Logging_2380/tillsyn/A 34816-2024 tillsynsbegäran.docx", "A 34816-2024")</f>
        <v/>
      </c>
      <c r="Y28">
        <f>HYPERLINK("https://klasma.github.io/Logging_2380/tillsynsmail/A 34816-2024 tillsynsbegäran mail.docx", "A 34816-2024")</f>
        <v/>
      </c>
    </row>
    <row r="29" ht="15" customHeight="1">
      <c r="A29" t="inlineStr">
        <is>
          <t>A 27907-2024</t>
        </is>
      </c>
      <c r="B29" s="1" t="n">
        <v>45475.94597222222</v>
      </c>
      <c r="C29" s="1" t="n">
        <v>45969</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17716-2024</t>
        </is>
      </c>
      <c r="B30" s="1" t="n">
        <v>45415</v>
      </c>
      <c r="C30" s="1" t="n">
        <v>45969</v>
      </c>
      <c r="D30" t="inlineStr">
        <is>
          <t>JÄMTLANDS LÄN</t>
        </is>
      </c>
      <c r="E30" t="inlineStr">
        <is>
          <t>ÖSTERSUND</t>
        </is>
      </c>
      <c r="G30" t="n">
        <v>1.4</v>
      </c>
      <c r="H30" t="n">
        <v>8</v>
      </c>
      <c r="I30" t="n">
        <v>2</v>
      </c>
      <c r="J30" t="n">
        <v>1</v>
      </c>
      <c r="K30" t="n">
        <v>1</v>
      </c>
      <c r="L30" t="n">
        <v>1</v>
      </c>
      <c r="M30" t="n">
        <v>0</v>
      </c>
      <c r="N30" t="n">
        <v>0</v>
      </c>
      <c r="O30" t="n">
        <v>3</v>
      </c>
      <c r="P30" t="n">
        <v>2</v>
      </c>
      <c r="Q30" t="n">
        <v>8</v>
      </c>
      <c r="R30" s="2" t="inlineStr">
        <is>
          <t>Storspov
Knärot
Spillkråka
Spindelblomster
Tvåblad
Tjäder
Fläcknycklar
Blåsippa</t>
        </is>
      </c>
      <c r="S30">
        <f>HYPERLINK("https://klasma.github.io/Logging_2380/artfynd/A 17716-2024 artfynd.xlsx", "A 17716-2024")</f>
        <v/>
      </c>
      <c r="T30">
        <f>HYPERLINK("https://klasma.github.io/Logging_2380/kartor/A 17716-2024 karta.png", "A 17716-2024")</f>
        <v/>
      </c>
      <c r="U30">
        <f>HYPERLINK("https://klasma.github.io/Logging_2380/knärot/A 17716-2024 karta knärot.png", "A 17716-2024")</f>
        <v/>
      </c>
      <c r="V30">
        <f>HYPERLINK("https://klasma.github.io/Logging_2380/klagomål/A 17716-2024 FSC-klagomål.docx", "A 17716-2024")</f>
        <v/>
      </c>
      <c r="W30">
        <f>HYPERLINK("https://klasma.github.io/Logging_2380/klagomålsmail/A 17716-2024 FSC-klagomål mail.docx", "A 17716-2024")</f>
        <v/>
      </c>
      <c r="X30">
        <f>HYPERLINK("https://klasma.github.io/Logging_2380/tillsyn/A 17716-2024 tillsynsbegäran.docx", "A 17716-2024")</f>
        <v/>
      </c>
      <c r="Y30">
        <f>HYPERLINK("https://klasma.github.io/Logging_2380/tillsynsmail/A 17716-2024 tillsynsbegäran mail.docx", "A 17716-2024")</f>
        <v/>
      </c>
      <c r="Z30">
        <f>HYPERLINK("https://klasma.github.io/Logging_2380/fåglar/A 17716-2024 prioriterade fågelarter.docx", "A 17716-2024")</f>
        <v/>
      </c>
    </row>
    <row r="31" ht="15" customHeight="1">
      <c r="A31" t="inlineStr">
        <is>
          <t>A 7710-2024</t>
        </is>
      </c>
      <c r="B31" s="1" t="n">
        <v>45349</v>
      </c>
      <c r="C31" s="1" t="n">
        <v>45969</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45969</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21753-2023</t>
        </is>
      </c>
      <c r="B33" s="1" t="n">
        <v>45063</v>
      </c>
      <c r="C33" s="1" t="n">
        <v>45969</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40777-2023</t>
        </is>
      </c>
      <c r="B34" s="1" t="n">
        <v>45170</v>
      </c>
      <c r="C34" s="1" t="n">
        <v>45969</v>
      </c>
      <c r="D34" t="inlineStr">
        <is>
          <t>JÄMTLANDS LÄN</t>
        </is>
      </c>
      <c r="E34" t="inlineStr">
        <is>
          <t>ÖSTERSUND</t>
        </is>
      </c>
      <c r="F34" t="inlineStr">
        <is>
          <t>SCA</t>
        </is>
      </c>
      <c r="G34" t="n">
        <v>16.4</v>
      </c>
      <c r="H34" t="n">
        <v>3</v>
      </c>
      <c r="I34" t="n">
        <v>1</v>
      </c>
      <c r="J34" t="n">
        <v>5</v>
      </c>
      <c r="K34" t="n">
        <v>1</v>
      </c>
      <c r="L34" t="n">
        <v>0</v>
      </c>
      <c r="M34" t="n">
        <v>0</v>
      </c>
      <c r="N34" t="n">
        <v>0</v>
      </c>
      <c r="O34" t="n">
        <v>6</v>
      </c>
      <c r="P34" t="n">
        <v>1</v>
      </c>
      <c r="Q34" t="n">
        <v>8</v>
      </c>
      <c r="R34" s="2" t="inlineStr">
        <is>
          <t>Doftticka
Kungsörn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c r="Z34">
        <f>HYPERLINK("https://klasma.github.io/Logging_2380/fåglar/A 40777-2023 prioriterade fågelarter.docx", "A 40777-2023")</f>
        <v/>
      </c>
    </row>
    <row r="35" ht="15" customHeight="1">
      <c r="A35" t="inlineStr">
        <is>
          <t>A 39735-2021</t>
        </is>
      </c>
      <c r="B35" s="1" t="n">
        <v>44414</v>
      </c>
      <c r="C35" s="1" t="n">
        <v>45969</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45969</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45969</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16369-2023</t>
        </is>
      </c>
      <c r="B38" s="1" t="n">
        <v>45028</v>
      </c>
      <c r="C38" s="1" t="n">
        <v>45969</v>
      </c>
      <c r="D38" t="inlineStr">
        <is>
          <t>JÄMTLANDS LÄN</t>
        </is>
      </c>
      <c r="E38" t="inlineStr">
        <is>
          <t>ÖSTERSUND</t>
        </is>
      </c>
      <c r="F38" t="inlineStr">
        <is>
          <t>SCA</t>
        </is>
      </c>
      <c r="G38" t="n">
        <v>4.6</v>
      </c>
      <c r="H38" t="n">
        <v>1</v>
      </c>
      <c r="I38" t="n">
        <v>1</v>
      </c>
      <c r="J38" t="n">
        <v>4</v>
      </c>
      <c r="K38" t="n">
        <v>1</v>
      </c>
      <c r="L38" t="n">
        <v>0</v>
      </c>
      <c r="M38" t="n">
        <v>0</v>
      </c>
      <c r="N38" t="n">
        <v>0</v>
      </c>
      <c r="O38" t="n">
        <v>5</v>
      </c>
      <c r="P38" t="n">
        <v>1</v>
      </c>
      <c r="Q38" t="n">
        <v>7</v>
      </c>
      <c r="R38" s="2" t="inlineStr">
        <is>
          <t>Rynkskinn
Flattoppad klubbsvamp
Granticka
Gränsticka
Ullticka
Rödgul trumpetsvamp
Blåsippa</t>
        </is>
      </c>
      <c r="S38">
        <f>HYPERLINK("https://klasma.github.io/Logging_2380/artfynd/A 16369-2023 artfynd.xlsx", "A 16369-2023")</f>
        <v/>
      </c>
      <c r="T38">
        <f>HYPERLINK("https://klasma.github.io/Logging_2380/kartor/A 16369-2023 karta.png", "A 16369-2023")</f>
        <v/>
      </c>
      <c r="V38">
        <f>HYPERLINK("https://klasma.github.io/Logging_2380/klagomål/A 16369-2023 FSC-klagomål.docx", "A 16369-2023")</f>
        <v/>
      </c>
      <c r="W38">
        <f>HYPERLINK("https://klasma.github.io/Logging_2380/klagomålsmail/A 16369-2023 FSC-klagomål mail.docx", "A 16369-2023")</f>
        <v/>
      </c>
      <c r="X38">
        <f>HYPERLINK("https://klasma.github.io/Logging_2380/tillsyn/A 16369-2023 tillsynsbegäran.docx", "A 16369-2023")</f>
        <v/>
      </c>
      <c r="Y38">
        <f>HYPERLINK("https://klasma.github.io/Logging_2380/tillsynsmail/A 16369-2023 tillsynsbegäran mail.docx", "A 16369-2023")</f>
        <v/>
      </c>
    </row>
    <row r="39" ht="15" customHeight="1">
      <c r="A39" t="inlineStr">
        <is>
          <t>A 26372-2025</t>
        </is>
      </c>
      <c r="B39" s="1" t="n">
        <v>45806.40675925926</v>
      </c>
      <c r="C39" s="1" t="n">
        <v>45969</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39586-2025</t>
        </is>
      </c>
      <c r="B40" s="1" t="n">
        <v>45890.50260416666</v>
      </c>
      <c r="C40" s="1" t="n">
        <v>45969</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53292-2025</t>
        </is>
      </c>
      <c r="B41" s="1" t="n">
        <v>45958</v>
      </c>
      <c r="C41" s="1" t="n">
        <v>45969</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54608-2023</t>
        </is>
      </c>
      <c r="B42" s="1" t="n">
        <v>45233</v>
      </c>
      <c r="C42" s="1" t="n">
        <v>45969</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44741-2025</t>
        </is>
      </c>
      <c r="B43" s="1" t="n">
        <v>45917.66619212963</v>
      </c>
      <c r="C43" s="1" t="n">
        <v>45969</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45969</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24523-2021</t>
        </is>
      </c>
      <c r="B45" s="1" t="n">
        <v>44337</v>
      </c>
      <c r="C45" s="1" t="n">
        <v>45969</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61153-2024</t>
        </is>
      </c>
      <c r="B46" s="1" t="n">
        <v>45645</v>
      </c>
      <c r="C46" s="1" t="n">
        <v>45969</v>
      </c>
      <c r="D46" t="inlineStr">
        <is>
          <t>JÄMTLANDS LÄN</t>
        </is>
      </c>
      <c r="E46" t="inlineStr">
        <is>
          <t>ÖSTERSUND</t>
        </is>
      </c>
      <c r="G46" t="n">
        <v>8.699999999999999</v>
      </c>
      <c r="H46" t="n">
        <v>5</v>
      </c>
      <c r="I46" t="n">
        <v>0</v>
      </c>
      <c r="J46" t="n">
        <v>4</v>
      </c>
      <c r="K46" t="n">
        <v>1</v>
      </c>
      <c r="L46" t="n">
        <v>0</v>
      </c>
      <c r="M46" t="n">
        <v>0</v>
      </c>
      <c r="N46" t="n">
        <v>0</v>
      </c>
      <c r="O46" t="n">
        <v>5</v>
      </c>
      <c r="P46" t="n">
        <v>1</v>
      </c>
      <c r="Q46" t="n">
        <v>6</v>
      </c>
      <c r="R46" s="2" t="inlineStr">
        <is>
          <t>Knärot
Garnlav
Mindre hackspett
Spillkråka
Talltita
Tjäder</t>
        </is>
      </c>
      <c r="S46">
        <f>HYPERLINK("https://klasma.github.io/Logging_2380/artfynd/A 61153-2024 artfynd.xlsx", "A 61153-2024")</f>
        <v/>
      </c>
      <c r="T46">
        <f>HYPERLINK("https://klasma.github.io/Logging_2380/kartor/A 61153-2024 karta.png", "A 61153-2024")</f>
        <v/>
      </c>
      <c r="U46">
        <f>HYPERLINK("https://klasma.github.io/Logging_2380/knärot/A 61153-2024 karta knärot.png", "A 61153-2024")</f>
        <v/>
      </c>
      <c r="V46">
        <f>HYPERLINK("https://klasma.github.io/Logging_2380/klagomål/A 61153-2024 FSC-klagomål.docx", "A 61153-2024")</f>
        <v/>
      </c>
      <c r="W46">
        <f>HYPERLINK("https://klasma.github.io/Logging_2380/klagomålsmail/A 61153-2024 FSC-klagomål mail.docx", "A 61153-2024")</f>
        <v/>
      </c>
      <c r="X46">
        <f>HYPERLINK("https://klasma.github.io/Logging_2380/tillsyn/A 61153-2024 tillsynsbegäran.docx", "A 61153-2024")</f>
        <v/>
      </c>
      <c r="Y46">
        <f>HYPERLINK("https://klasma.github.io/Logging_2380/tillsynsmail/A 61153-2024 tillsynsbegäran mail.docx", "A 61153-2024")</f>
        <v/>
      </c>
      <c r="Z46">
        <f>HYPERLINK("https://klasma.github.io/Logging_2380/fåglar/A 61153-2024 prioriterade fågelarter.docx", "A 61153-2024")</f>
        <v/>
      </c>
    </row>
    <row r="47" ht="15" customHeight="1">
      <c r="A47" t="inlineStr">
        <is>
          <t>A 47392-2022</t>
        </is>
      </c>
      <c r="B47" s="1" t="n">
        <v>44851</v>
      </c>
      <c r="C47" s="1" t="n">
        <v>45969</v>
      </c>
      <c r="D47" t="inlineStr">
        <is>
          <t>JÄMTLANDS LÄN</t>
        </is>
      </c>
      <c r="E47" t="inlineStr">
        <is>
          <t>ÖSTERSUND</t>
        </is>
      </c>
      <c r="G47" t="n">
        <v>1.6</v>
      </c>
      <c r="H47" t="n">
        <v>4</v>
      </c>
      <c r="I47" t="n">
        <v>3</v>
      </c>
      <c r="J47" t="n">
        <v>1</v>
      </c>
      <c r="K47" t="n">
        <v>1</v>
      </c>
      <c r="L47" t="n">
        <v>0</v>
      </c>
      <c r="M47" t="n">
        <v>0</v>
      </c>
      <c r="N47" t="n">
        <v>0</v>
      </c>
      <c r="O47" t="n">
        <v>2</v>
      </c>
      <c r="P47" t="n">
        <v>1</v>
      </c>
      <c r="Q47" t="n">
        <v>6</v>
      </c>
      <c r="R47" s="2" t="inlineStr">
        <is>
          <t>Knärot
Garnlav
Guckusko
Plattlummer
Trådfräken
Revlummer</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376-2023</t>
        </is>
      </c>
      <c r="B48" s="1" t="n">
        <v>44929</v>
      </c>
      <c r="C48" s="1" t="n">
        <v>45969</v>
      </c>
      <c r="D48" t="inlineStr">
        <is>
          <t>JÄMTLANDS LÄN</t>
        </is>
      </c>
      <c r="E48" t="inlineStr">
        <is>
          <t>ÖSTERSUND</t>
        </is>
      </c>
      <c r="G48" t="n">
        <v>11.5</v>
      </c>
      <c r="H48" t="n">
        <v>2</v>
      </c>
      <c r="I48" t="n">
        <v>1</v>
      </c>
      <c r="J48" t="n">
        <v>5</v>
      </c>
      <c r="K48" t="n">
        <v>0</v>
      </c>
      <c r="L48" t="n">
        <v>0</v>
      </c>
      <c r="M48" t="n">
        <v>0</v>
      </c>
      <c r="N48" t="n">
        <v>0</v>
      </c>
      <c r="O48" t="n">
        <v>5</v>
      </c>
      <c r="P48" t="n">
        <v>0</v>
      </c>
      <c r="Q48" t="n">
        <v>6</v>
      </c>
      <c r="R48" s="2" t="inlineStr">
        <is>
          <t>Garnlav
Lunglav
Skrovellav
Spillkråka
Tretåig hackspett
Stuplav</t>
        </is>
      </c>
      <c r="S48">
        <f>HYPERLINK("https://klasma.github.io/Logging_2380/artfynd/A 376-2023 artfynd.xlsx", "A 376-2023")</f>
        <v/>
      </c>
      <c r="T48">
        <f>HYPERLINK("https://klasma.github.io/Logging_2380/kartor/A 376-2023 karta.png", "A 376-2023")</f>
        <v/>
      </c>
      <c r="V48">
        <f>HYPERLINK("https://klasma.github.io/Logging_2380/klagomål/A 376-2023 FSC-klagomål.docx", "A 376-2023")</f>
        <v/>
      </c>
      <c r="W48">
        <f>HYPERLINK("https://klasma.github.io/Logging_2380/klagomålsmail/A 376-2023 FSC-klagomål mail.docx", "A 376-2023")</f>
        <v/>
      </c>
      <c r="X48">
        <f>HYPERLINK("https://klasma.github.io/Logging_2380/tillsyn/A 376-2023 tillsynsbegäran.docx", "A 376-2023")</f>
        <v/>
      </c>
      <c r="Y48">
        <f>HYPERLINK("https://klasma.github.io/Logging_2380/tillsynsmail/A 376-2023 tillsynsbegäran mail.docx", "A 376-2023")</f>
        <v/>
      </c>
      <c r="Z48">
        <f>HYPERLINK("https://klasma.github.io/Logging_2380/fåglar/A 376-2023 prioriterade fågelarter.docx", "A 376-2023")</f>
        <v/>
      </c>
    </row>
    <row r="49" ht="15" customHeight="1">
      <c r="A49" t="inlineStr">
        <is>
          <t>A 18338-2025</t>
        </is>
      </c>
      <c r="B49" s="1" t="n">
        <v>45762.51075231482</v>
      </c>
      <c r="C49" s="1" t="n">
        <v>45969</v>
      </c>
      <c r="D49" t="inlineStr">
        <is>
          <t>JÄMTLANDS LÄN</t>
        </is>
      </c>
      <c r="E49" t="inlineStr">
        <is>
          <t>ÖSTERSUND</t>
        </is>
      </c>
      <c r="F49" t="inlineStr">
        <is>
          <t>SCA</t>
        </is>
      </c>
      <c r="G49" t="n">
        <v>5.3</v>
      </c>
      <c r="H49" t="n">
        <v>1</v>
      </c>
      <c r="I49" t="n">
        <v>2</v>
      </c>
      <c r="J49" t="n">
        <v>3</v>
      </c>
      <c r="K49" t="n">
        <v>0</v>
      </c>
      <c r="L49" t="n">
        <v>0</v>
      </c>
      <c r="M49" t="n">
        <v>0</v>
      </c>
      <c r="N49" t="n">
        <v>0</v>
      </c>
      <c r="O49" t="n">
        <v>3</v>
      </c>
      <c r="P49" t="n">
        <v>0</v>
      </c>
      <c r="Q49" t="n">
        <v>6</v>
      </c>
      <c r="R49" s="2" t="inlineStr">
        <is>
          <t>Kolflarnlav
Oljetagging
Vedflamlav
Barkticka
Stor aspticka
Fläcknycklar</t>
        </is>
      </c>
      <c r="S49">
        <f>HYPERLINK("https://klasma.github.io/Logging_2380/artfynd/A 18338-2025 artfynd.xlsx", "A 18338-2025")</f>
        <v/>
      </c>
      <c r="T49">
        <f>HYPERLINK("https://klasma.github.io/Logging_2380/kartor/A 18338-2025 karta.png", "A 18338-2025")</f>
        <v/>
      </c>
      <c r="V49">
        <f>HYPERLINK("https://klasma.github.io/Logging_2380/klagomål/A 18338-2025 FSC-klagomål.docx", "A 18338-2025")</f>
        <v/>
      </c>
      <c r="W49">
        <f>HYPERLINK("https://klasma.github.io/Logging_2380/klagomålsmail/A 18338-2025 FSC-klagomål mail.docx", "A 18338-2025")</f>
        <v/>
      </c>
      <c r="X49">
        <f>HYPERLINK("https://klasma.github.io/Logging_2380/tillsyn/A 18338-2025 tillsynsbegäran.docx", "A 18338-2025")</f>
        <v/>
      </c>
      <c r="Y49">
        <f>HYPERLINK("https://klasma.github.io/Logging_2380/tillsynsmail/A 18338-2025 tillsynsbegäran mail.docx", "A 18338-2025")</f>
        <v/>
      </c>
    </row>
    <row r="50" ht="15" customHeight="1">
      <c r="A50" t="inlineStr">
        <is>
          <t>A 40815-2025</t>
        </is>
      </c>
      <c r="B50" s="1" t="n">
        <v>45897</v>
      </c>
      <c r="C50" s="1" t="n">
        <v>45969</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3995-2025</t>
        </is>
      </c>
      <c r="B51" s="1" t="n">
        <v>45684</v>
      </c>
      <c r="C51" s="1" t="n">
        <v>45969</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12712-2021</t>
        </is>
      </c>
      <c r="B52" s="1" t="n">
        <v>44270.58950231481</v>
      </c>
      <c r="C52" s="1" t="n">
        <v>45969</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40555-2024</t>
        </is>
      </c>
      <c r="B53" s="1" t="n">
        <v>45555</v>
      </c>
      <c r="C53" s="1" t="n">
        <v>45969</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45969</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39941-2024</t>
        </is>
      </c>
      <c r="B55" s="1" t="n">
        <v>45553</v>
      </c>
      <c r="C55" s="1" t="n">
        <v>45969</v>
      </c>
      <c r="D55" t="inlineStr">
        <is>
          <t>JÄMTLANDS LÄN</t>
        </is>
      </c>
      <c r="E55" t="inlineStr">
        <is>
          <t>ÖSTERSUND</t>
        </is>
      </c>
      <c r="G55" t="n">
        <v>6</v>
      </c>
      <c r="H55" t="n">
        <v>0</v>
      </c>
      <c r="I55" t="n">
        <v>2</v>
      </c>
      <c r="J55" t="n">
        <v>3</v>
      </c>
      <c r="K55" t="n">
        <v>0</v>
      </c>
      <c r="L55" t="n">
        <v>0</v>
      </c>
      <c r="M55" t="n">
        <v>0</v>
      </c>
      <c r="N55" t="n">
        <v>0</v>
      </c>
      <c r="O55" t="n">
        <v>3</v>
      </c>
      <c r="P55" t="n">
        <v>0</v>
      </c>
      <c r="Q55" t="n">
        <v>5</v>
      </c>
      <c r="R55" s="2" t="inlineStr">
        <is>
          <t>Garnlav
Lunglav
Skrovellav
Bårdlav
Luddlav</t>
        </is>
      </c>
      <c r="S55">
        <f>HYPERLINK("https://klasma.github.io/Logging_2380/artfynd/A 39941-2024 artfynd.xlsx", "A 39941-2024")</f>
        <v/>
      </c>
      <c r="T55">
        <f>HYPERLINK("https://klasma.github.io/Logging_2380/kartor/A 39941-2024 karta.png", "A 39941-2024")</f>
        <v/>
      </c>
      <c r="V55">
        <f>HYPERLINK("https://klasma.github.io/Logging_2380/klagomål/A 39941-2024 FSC-klagomål.docx", "A 39941-2024")</f>
        <v/>
      </c>
      <c r="W55">
        <f>HYPERLINK("https://klasma.github.io/Logging_2380/klagomålsmail/A 39941-2024 FSC-klagomål mail.docx", "A 39941-2024")</f>
        <v/>
      </c>
      <c r="X55">
        <f>HYPERLINK("https://klasma.github.io/Logging_2380/tillsyn/A 39941-2024 tillsynsbegäran.docx", "A 39941-2024")</f>
        <v/>
      </c>
      <c r="Y55">
        <f>HYPERLINK("https://klasma.github.io/Logging_2380/tillsynsmail/A 39941-2024 tillsynsbegäran mail.docx", "A 39941-2024")</f>
        <v/>
      </c>
    </row>
    <row r="56" ht="15" customHeight="1">
      <c r="A56" t="inlineStr">
        <is>
          <t>A 59537-2023</t>
        </is>
      </c>
      <c r="B56" s="1" t="n">
        <v>45254</v>
      </c>
      <c r="C56" s="1" t="n">
        <v>45969</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45979-2023</t>
        </is>
      </c>
      <c r="B57" s="1" t="n">
        <v>45189</v>
      </c>
      <c r="C57" s="1" t="n">
        <v>45969</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10747-2024</t>
        </is>
      </c>
      <c r="B58" s="1" t="n">
        <v>45369</v>
      </c>
      <c r="C58" s="1" t="n">
        <v>45969</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54731-2024</t>
        </is>
      </c>
      <c r="B59" s="1" t="n">
        <v>45618.43853009259</v>
      </c>
      <c r="C59" s="1" t="n">
        <v>45969</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29117-2025</t>
        </is>
      </c>
      <c r="B60" s="1" t="n">
        <v>45821.59243055555</v>
      </c>
      <c r="C60" s="1" t="n">
        <v>45969</v>
      </c>
      <c r="D60" t="inlineStr">
        <is>
          <t>JÄMTLANDS LÄN</t>
        </is>
      </c>
      <c r="E60" t="inlineStr">
        <is>
          <t>ÖSTERSUND</t>
        </is>
      </c>
      <c r="G60" t="n">
        <v>15.4</v>
      </c>
      <c r="H60" t="n">
        <v>5</v>
      </c>
      <c r="I60" t="n">
        <v>2</v>
      </c>
      <c r="J60" t="n">
        <v>0</v>
      </c>
      <c r="K60" t="n">
        <v>1</v>
      </c>
      <c r="L60" t="n">
        <v>0</v>
      </c>
      <c r="M60" t="n">
        <v>0</v>
      </c>
      <c r="N60" t="n">
        <v>0</v>
      </c>
      <c r="O60" t="n">
        <v>1</v>
      </c>
      <c r="P60" t="n">
        <v>1</v>
      </c>
      <c r="Q60" t="n">
        <v>5</v>
      </c>
      <c r="R60" s="2" t="inlineStr">
        <is>
          <t>Knärot
Guckusko
Spindelblomster
Fläcknycklar
Revlummer</t>
        </is>
      </c>
      <c r="S60">
        <f>HYPERLINK("https://klasma.github.io/Logging_2380/artfynd/A 29117-2025 artfynd.xlsx", "A 29117-2025")</f>
        <v/>
      </c>
      <c r="T60">
        <f>HYPERLINK("https://klasma.github.io/Logging_2380/kartor/A 29117-2025 karta.png", "A 29117-2025")</f>
        <v/>
      </c>
      <c r="U60">
        <f>HYPERLINK("https://klasma.github.io/Logging_2380/knärot/A 29117-2025 karta knärot.png", "A 29117-2025")</f>
        <v/>
      </c>
      <c r="V60">
        <f>HYPERLINK("https://klasma.github.io/Logging_2380/klagomål/A 29117-2025 FSC-klagomål.docx", "A 29117-2025")</f>
        <v/>
      </c>
      <c r="W60">
        <f>HYPERLINK("https://klasma.github.io/Logging_2380/klagomålsmail/A 29117-2025 FSC-klagomål mail.docx", "A 29117-2025")</f>
        <v/>
      </c>
      <c r="X60">
        <f>HYPERLINK("https://klasma.github.io/Logging_2380/tillsyn/A 29117-2025 tillsynsbegäran.docx", "A 29117-2025")</f>
        <v/>
      </c>
      <c r="Y60">
        <f>HYPERLINK("https://klasma.github.io/Logging_2380/tillsynsmail/A 29117-2025 tillsynsbegäran mail.docx", "A 29117-2025")</f>
        <v/>
      </c>
    </row>
    <row r="61" ht="15" customHeight="1">
      <c r="A61" t="inlineStr">
        <is>
          <t>A 7717-2024</t>
        </is>
      </c>
      <c r="B61" s="1" t="n">
        <v>45349</v>
      </c>
      <c r="C61" s="1" t="n">
        <v>45969</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31127-2025</t>
        </is>
      </c>
      <c r="B62" s="1" t="n">
        <v>45831</v>
      </c>
      <c r="C62" s="1" t="n">
        <v>45969</v>
      </c>
      <c r="D62" t="inlineStr">
        <is>
          <t>JÄMTLANDS LÄN</t>
        </is>
      </c>
      <c r="E62" t="inlineStr">
        <is>
          <t>ÖSTERSUND</t>
        </is>
      </c>
      <c r="G62" t="n">
        <v>4.3</v>
      </c>
      <c r="H62" t="n">
        <v>2</v>
      </c>
      <c r="I62" t="n">
        <v>1</v>
      </c>
      <c r="J62" t="n">
        <v>2</v>
      </c>
      <c r="K62" t="n">
        <v>0</v>
      </c>
      <c r="L62" t="n">
        <v>0</v>
      </c>
      <c r="M62" t="n">
        <v>0</v>
      </c>
      <c r="N62" t="n">
        <v>0</v>
      </c>
      <c r="O62" t="n">
        <v>2</v>
      </c>
      <c r="P62" t="n">
        <v>0</v>
      </c>
      <c r="Q62" t="n">
        <v>4</v>
      </c>
      <c r="R62" s="2" t="inlineStr">
        <is>
          <t>Granticka
Talltita
Kransrams
Revlummer</t>
        </is>
      </c>
      <c r="S62">
        <f>HYPERLINK("https://klasma.github.io/Logging_2380/artfynd/A 31127-2025 artfynd.xlsx", "A 31127-2025")</f>
        <v/>
      </c>
      <c r="T62">
        <f>HYPERLINK("https://klasma.github.io/Logging_2380/kartor/A 31127-2025 karta.png", "A 31127-2025")</f>
        <v/>
      </c>
      <c r="V62">
        <f>HYPERLINK("https://klasma.github.io/Logging_2380/klagomål/A 31127-2025 FSC-klagomål.docx", "A 31127-2025")</f>
        <v/>
      </c>
      <c r="W62">
        <f>HYPERLINK("https://klasma.github.io/Logging_2380/klagomålsmail/A 31127-2025 FSC-klagomål mail.docx", "A 31127-2025")</f>
        <v/>
      </c>
      <c r="X62">
        <f>HYPERLINK("https://klasma.github.io/Logging_2380/tillsyn/A 31127-2025 tillsynsbegäran.docx", "A 31127-2025")</f>
        <v/>
      </c>
      <c r="Y62">
        <f>HYPERLINK("https://klasma.github.io/Logging_2380/tillsynsmail/A 31127-2025 tillsynsbegäran mail.docx", "A 31127-2025")</f>
        <v/>
      </c>
      <c r="Z62">
        <f>HYPERLINK("https://klasma.github.io/Logging_2380/fåglar/A 31127-2025 prioriterade fågelarter.docx", "A 31127-2025")</f>
        <v/>
      </c>
    </row>
    <row r="63" ht="15" customHeight="1">
      <c r="A63" t="inlineStr">
        <is>
          <t>A 60580-2024</t>
        </is>
      </c>
      <c r="B63" s="1" t="n">
        <v>45644</v>
      </c>
      <c r="C63" s="1" t="n">
        <v>45969</v>
      </c>
      <c r="D63" t="inlineStr">
        <is>
          <t>JÄMTLANDS LÄN</t>
        </is>
      </c>
      <c r="E63" t="inlineStr">
        <is>
          <t>ÖSTERSUND</t>
        </is>
      </c>
      <c r="G63" t="n">
        <v>13.5</v>
      </c>
      <c r="H63" t="n">
        <v>2</v>
      </c>
      <c r="I63" t="n">
        <v>0</v>
      </c>
      <c r="J63" t="n">
        <v>4</v>
      </c>
      <c r="K63" t="n">
        <v>0</v>
      </c>
      <c r="L63" t="n">
        <v>0</v>
      </c>
      <c r="M63" t="n">
        <v>0</v>
      </c>
      <c r="N63" t="n">
        <v>0</v>
      </c>
      <c r="O63" t="n">
        <v>4</v>
      </c>
      <c r="P63" t="n">
        <v>0</v>
      </c>
      <c r="Q63" t="n">
        <v>4</v>
      </c>
      <c r="R63" s="2" t="inlineStr">
        <is>
          <t>Granticka
Lunglav
Spillkråka
Tretåig hackspett</t>
        </is>
      </c>
      <c r="S63">
        <f>HYPERLINK("https://klasma.github.io/Logging_2380/artfynd/A 60580-2024 artfynd.xlsx", "A 60580-2024")</f>
        <v/>
      </c>
      <c r="T63">
        <f>HYPERLINK("https://klasma.github.io/Logging_2380/kartor/A 60580-2024 karta.png", "A 60580-2024")</f>
        <v/>
      </c>
      <c r="V63">
        <f>HYPERLINK("https://klasma.github.io/Logging_2380/klagomål/A 60580-2024 FSC-klagomål.docx", "A 60580-2024")</f>
        <v/>
      </c>
      <c r="W63">
        <f>HYPERLINK("https://klasma.github.io/Logging_2380/klagomålsmail/A 60580-2024 FSC-klagomål mail.docx", "A 60580-2024")</f>
        <v/>
      </c>
      <c r="X63">
        <f>HYPERLINK("https://klasma.github.io/Logging_2380/tillsyn/A 60580-2024 tillsynsbegäran.docx", "A 60580-2024")</f>
        <v/>
      </c>
      <c r="Y63">
        <f>HYPERLINK("https://klasma.github.io/Logging_2380/tillsynsmail/A 60580-2024 tillsynsbegäran mail.docx", "A 60580-2024")</f>
        <v/>
      </c>
      <c r="Z63">
        <f>HYPERLINK("https://klasma.github.io/Logging_2380/fåglar/A 60580-2024 prioriterade fågelarter.docx", "A 60580-2024")</f>
        <v/>
      </c>
    </row>
    <row r="64" ht="15" customHeight="1">
      <c r="A64" t="inlineStr">
        <is>
          <t>A 55344-2023</t>
        </is>
      </c>
      <c r="B64" s="1" t="n">
        <v>45237</v>
      </c>
      <c r="C64" s="1" t="n">
        <v>45969</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49192-2025</t>
        </is>
      </c>
      <c r="B65" s="1" t="n">
        <v>45938.40790509259</v>
      </c>
      <c r="C65" s="1" t="n">
        <v>45969</v>
      </c>
      <c r="D65" t="inlineStr">
        <is>
          <t>JÄMTLANDS LÄN</t>
        </is>
      </c>
      <c r="E65" t="inlineStr">
        <is>
          <t>ÖSTERSUND</t>
        </is>
      </c>
      <c r="F65" t="inlineStr">
        <is>
          <t>SCA</t>
        </is>
      </c>
      <c r="G65" t="n">
        <v>2.6</v>
      </c>
      <c r="H65" t="n">
        <v>2</v>
      </c>
      <c r="I65" t="n">
        <v>2</v>
      </c>
      <c r="J65" t="n">
        <v>1</v>
      </c>
      <c r="K65" t="n">
        <v>0</v>
      </c>
      <c r="L65" t="n">
        <v>0</v>
      </c>
      <c r="M65" t="n">
        <v>0</v>
      </c>
      <c r="N65" t="n">
        <v>0</v>
      </c>
      <c r="O65" t="n">
        <v>1</v>
      </c>
      <c r="P65" t="n">
        <v>0</v>
      </c>
      <c r="Q65" t="n">
        <v>4</v>
      </c>
      <c r="R65" s="2" t="inlineStr">
        <is>
          <t>Kolflarnlav
Guckusko
Tibast
Blåsippa</t>
        </is>
      </c>
      <c r="S65">
        <f>HYPERLINK("https://klasma.github.io/Logging_2380/artfynd/A 49192-2025 artfynd.xlsx", "A 49192-2025")</f>
        <v/>
      </c>
      <c r="T65">
        <f>HYPERLINK("https://klasma.github.io/Logging_2380/kartor/A 49192-2025 karta.png", "A 49192-2025")</f>
        <v/>
      </c>
      <c r="V65">
        <f>HYPERLINK("https://klasma.github.io/Logging_2380/klagomål/A 49192-2025 FSC-klagomål.docx", "A 49192-2025")</f>
        <v/>
      </c>
      <c r="W65">
        <f>HYPERLINK("https://klasma.github.io/Logging_2380/klagomålsmail/A 49192-2025 FSC-klagomål mail.docx", "A 49192-2025")</f>
        <v/>
      </c>
      <c r="X65">
        <f>HYPERLINK("https://klasma.github.io/Logging_2380/tillsyn/A 49192-2025 tillsynsbegäran.docx", "A 49192-2025")</f>
        <v/>
      </c>
      <c r="Y65">
        <f>HYPERLINK("https://klasma.github.io/Logging_2380/tillsynsmail/A 49192-2025 tillsynsbegäran mail.docx", "A 49192-2025")</f>
        <v/>
      </c>
    </row>
    <row r="66" ht="15" customHeight="1">
      <c r="A66" t="inlineStr">
        <is>
          <t>A 2962-2023</t>
        </is>
      </c>
      <c r="B66" s="1" t="n">
        <v>44945</v>
      </c>
      <c r="C66" s="1" t="n">
        <v>45969</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41493-2025</t>
        </is>
      </c>
      <c r="B67" s="1" t="n">
        <v>45901.49171296296</v>
      </c>
      <c r="C67" s="1" t="n">
        <v>45969</v>
      </c>
      <c r="D67" t="inlineStr">
        <is>
          <t>JÄMTLANDS LÄN</t>
        </is>
      </c>
      <c r="E67" t="inlineStr">
        <is>
          <t>ÖSTERSUND</t>
        </is>
      </c>
      <c r="F67" t="inlineStr">
        <is>
          <t>Övriga Aktiebolag</t>
        </is>
      </c>
      <c r="G67" t="n">
        <v>0.8</v>
      </c>
      <c r="H67" t="n">
        <v>1</v>
      </c>
      <c r="I67" t="n">
        <v>1</v>
      </c>
      <c r="J67" t="n">
        <v>2</v>
      </c>
      <c r="K67" t="n">
        <v>0</v>
      </c>
      <c r="L67" t="n">
        <v>0</v>
      </c>
      <c r="M67" t="n">
        <v>0</v>
      </c>
      <c r="N67" t="n">
        <v>0</v>
      </c>
      <c r="O67" t="n">
        <v>2</v>
      </c>
      <c r="P67" t="n">
        <v>0</v>
      </c>
      <c r="Q67" t="n">
        <v>4</v>
      </c>
      <c r="R67" s="2" t="inlineStr">
        <is>
          <t>Granticka
Harticka
Trådticka
Revlummer</t>
        </is>
      </c>
      <c r="S67">
        <f>HYPERLINK("https://klasma.github.io/Logging_2380/artfynd/A 41493-2025 artfynd.xlsx", "A 41493-2025")</f>
        <v/>
      </c>
      <c r="T67">
        <f>HYPERLINK("https://klasma.github.io/Logging_2380/kartor/A 41493-2025 karta.png", "A 41493-2025")</f>
        <v/>
      </c>
      <c r="V67">
        <f>HYPERLINK("https://klasma.github.io/Logging_2380/klagomål/A 41493-2025 FSC-klagomål.docx", "A 41493-2025")</f>
        <v/>
      </c>
      <c r="W67">
        <f>HYPERLINK("https://klasma.github.io/Logging_2380/klagomålsmail/A 41493-2025 FSC-klagomål mail.docx", "A 41493-2025")</f>
        <v/>
      </c>
      <c r="X67">
        <f>HYPERLINK("https://klasma.github.io/Logging_2380/tillsyn/A 41493-2025 tillsynsbegäran.docx", "A 41493-2025")</f>
        <v/>
      </c>
      <c r="Y67">
        <f>HYPERLINK("https://klasma.github.io/Logging_2380/tillsynsmail/A 41493-2025 tillsynsbegäran mail.docx", "A 41493-2025")</f>
        <v/>
      </c>
    </row>
    <row r="68" ht="15" customHeight="1">
      <c r="A68" t="inlineStr">
        <is>
          <t>A 25369-2024</t>
        </is>
      </c>
      <c r="B68" s="1" t="n">
        <v>45462.95982638889</v>
      </c>
      <c r="C68" s="1" t="n">
        <v>45969</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29135-2022</t>
        </is>
      </c>
      <c r="B69" s="1" t="n">
        <v>44750</v>
      </c>
      <c r="C69" s="1" t="n">
        <v>45969</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7698-2024</t>
        </is>
      </c>
      <c r="B70" s="1" t="n">
        <v>45349</v>
      </c>
      <c r="C70" s="1" t="n">
        <v>45969</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59291-2022</t>
        </is>
      </c>
      <c r="B71" s="1" t="n">
        <v>44904</v>
      </c>
      <c r="C71" s="1" t="n">
        <v>45969</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55258-2025</t>
        </is>
      </c>
      <c r="B72" s="1" t="n">
        <v>45968.6444212963</v>
      </c>
      <c r="C72" s="1" t="n">
        <v>45969</v>
      </c>
      <c r="D72" t="inlineStr">
        <is>
          <t>JÄMTLANDS LÄN</t>
        </is>
      </c>
      <c r="E72" t="inlineStr">
        <is>
          <t>ÖSTERSUND</t>
        </is>
      </c>
      <c r="G72" t="n">
        <v>4.2</v>
      </c>
      <c r="H72" t="n">
        <v>2</v>
      </c>
      <c r="I72" t="n">
        <v>1</v>
      </c>
      <c r="J72" t="n">
        <v>2</v>
      </c>
      <c r="K72" t="n">
        <v>0</v>
      </c>
      <c r="L72" t="n">
        <v>0</v>
      </c>
      <c r="M72" t="n">
        <v>0</v>
      </c>
      <c r="N72" t="n">
        <v>0</v>
      </c>
      <c r="O72" t="n">
        <v>2</v>
      </c>
      <c r="P72" t="n">
        <v>0</v>
      </c>
      <c r="Q72" t="n">
        <v>4</v>
      </c>
      <c r="R72" s="2" t="inlineStr">
        <is>
          <t>Granticka
Talltita
Kransrams
Revlummer</t>
        </is>
      </c>
      <c r="S72">
        <f>HYPERLINK("https://klasma.github.io/Logging_2380/artfynd/A 55258-2025 artfynd.xlsx", "A 55258-2025")</f>
        <v/>
      </c>
      <c r="T72">
        <f>HYPERLINK("https://klasma.github.io/Logging_2380/kartor/A 55258-2025 karta.png", "A 55258-2025")</f>
        <v/>
      </c>
      <c r="V72">
        <f>HYPERLINK("https://klasma.github.io/Logging_2380/klagomål/A 55258-2025 FSC-klagomål.docx", "A 55258-2025")</f>
        <v/>
      </c>
      <c r="W72">
        <f>HYPERLINK("https://klasma.github.io/Logging_2380/klagomålsmail/A 55258-2025 FSC-klagomål mail.docx", "A 55258-2025")</f>
        <v/>
      </c>
      <c r="X72">
        <f>HYPERLINK("https://klasma.github.io/Logging_2380/tillsyn/A 55258-2025 tillsynsbegäran.docx", "A 55258-2025")</f>
        <v/>
      </c>
      <c r="Y72">
        <f>HYPERLINK("https://klasma.github.io/Logging_2380/tillsynsmail/A 55258-2025 tillsynsbegäran mail.docx", "A 55258-2025")</f>
        <v/>
      </c>
      <c r="Z72">
        <f>HYPERLINK("https://klasma.github.io/Logging_2380/fåglar/A 55258-2025 prioriterade fågelarter.docx", "A 55258-2025")</f>
        <v/>
      </c>
    </row>
    <row r="73" ht="15" customHeight="1">
      <c r="A73" t="inlineStr">
        <is>
          <t>A 54421-2021</t>
        </is>
      </c>
      <c r="B73" s="1" t="n">
        <v>44473.43114583333</v>
      </c>
      <c r="C73" s="1" t="n">
        <v>45969</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53652-2024</t>
        </is>
      </c>
      <c r="B74" s="1" t="n">
        <v>45615.29761574074</v>
      </c>
      <c r="C74" s="1" t="n">
        <v>45969</v>
      </c>
      <c r="D74" t="inlineStr">
        <is>
          <t>JÄMTLANDS LÄN</t>
        </is>
      </c>
      <c r="E74" t="inlineStr">
        <is>
          <t>ÖSTERSUND</t>
        </is>
      </c>
      <c r="G74" t="n">
        <v>4.2</v>
      </c>
      <c r="H74" t="n">
        <v>1</v>
      </c>
      <c r="I74" t="n">
        <v>1</v>
      </c>
      <c r="J74" t="n">
        <v>1</v>
      </c>
      <c r="K74" t="n">
        <v>0</v>
      </c>
      <c r="L74" t="n">
        <v>0</v>
      </c>
      <c r="M74" t="n">
        <v>0</v>
      </c>
      <c r="N74" t="n">
        <v>0</v>
      </c>
      <c r="O74" t="n">
        <v>1</v>
      </c>
      <c r="P74" t="n">
        <v>0</v>
      </c>
      <c r="Q74" t="n">
        <v>3</v>
      </c>
      <c r="R74" s="2" t="inlineStr">
        <is>
          <t>Flattoppad klubbsvamp
Kransrams
Revlummer</t>
        </is>
      </c>
      <c r="S74">
        <f>HYPERLINK("https://klasma.github.io/Logging_2380/artfynd/A 53652-2024 artfynd.xlsx", "A 53652-2024")</f>
        <v/>
      </c>
      <c r="T74">
        <f>HYPERLINK("https://klasma.github.io/Logging_2380/kartor/A 53652-2024 karta.png", "A 53652-2024")</f>
        <v/>
      </c>
      <c r="V74">
        <f>HYPERLINK("https://klasma.github.io/Logging_2380/klagomål/A 53652-2024 FSC-klagomål.docx", "A 53652-2024")</f>
        <v/>
      </c>
      <c r="W74">
        <f>HYPERLINK("https://klasma.github.io/Logging_2380/klagomålsmail/A 53652-2024 FSC-klagomål mail.docx", "A 53652-2024")</f>
        <v/>
      </c>
      <c r="X74">
        <f>HYPERLINK("https://klasma.github.io/Logging_2380/tillsyn/A 53652-2024 tillsynsbegäran.docx", "A 53652-2024")</f>
        <v/>
      </c>
      <c r="Y74">
        <f>HYPERLINK("https://klasma.github.io/Logging_2380/tillsynsmail/A 53652-2024 tillsynsbegäran mail.docx", "A 53652-2024")</f>
        <v/>
      </c>
    </row>
    <row r="75" ht="15" customHeight="1">
      <c r="A75" t="inlineStr">
        <is>
          <t>A 60565-2022</t>
        </is>
      </c>
      <c r="B75" s="1" t="n">
        <v>44904</v>
      </c>
      <c r="C75" s="1" t="n">
        <v>45969</v>
      </c>
      <c r="D75" t="inlineStr">
        <is>
          <t>JÄMTLANDS LÄN</t>
        </is>
      </c>
      <c r="E75" t="inlineStr">
        <is>
          <t>ÖSTERSUND</t>
        </is>
      </c>
      <c r="G75" t="n">
        <v>2.5</v>
      </c>
      <c r="H75" t="n">
        <v>2</v>
      </c>
      <c r="I75" t="n">
        <v>0</v>
      </c>
      <c r="J75" t="n">
        <v>2</v>
      </c>
      <c r="K75" t="n">
        <v>0</v>
      </c>
      <c r="L75" t="n">
        <v>0</v>
      </c>
      <c r="M75" t="n">
        <v>0</v>
      </c>
      <c r="N75" t="n">
        <v>0</v>
      </c>
      <c r="O75" t="n">
        <v>2</v>
      </c>
      <c r="P75" t="n">
        <v>0</v>
      </c>
      <c r="Q75" t="n">
        <v>3</v>
      </c>
      <c r="R75" s="2" t="inlineStr">
        <is>
          <t>Garnlav
Talltita
Revlummer</t>
        </is>
      </c>
      <c r="S75">
        <f>HYPERLINK("https://klasma.github.io/Logging_2380/artfynd/A 60565-2022 artfynd.xlsx", "A 60565-2022")</f>
        <v/>
      </c>
      <c r="T75">
        <f>HYPERLINK("https://klasma.github.io/Logging_2380/kartor/A 60565-2022 karta.png", "A 60565-2022")</f>
        <v/>
      </c>
      <c r="V75">
        <f>HYPERLINK("https://klasma.github.io/Logging_2380/klagomål/A 60565-2022 FSC-klagomål.docx", "A 60565-2022")</f>
        <v/>
      </c>
      <c r="W75">
        <f>HYPERLINK("https://klasma.github.io/Logging_2380/klagomålsmail/A 60565-2022 FSC-klagomål mail.docx", "A 60565-2022")</f>
        <v/>
      </c>
      <c r="X75">
        <f>HYPERLINK("https://klasma.github.io/Logging_2380/tillsyn/A 60565-2022 tillsynsbegäran.docx", "A 60565-2022")</f>
        <v/>
      </c>
      <c r="Y75">
        <f>HYPERLINK("https://klasma.github.io/Logging_2380/tillsynsmail/A 60565-2022 tillsynsbegäran mail.docx", "A 60565-2022")</f>
        <v/>
      </c>
      <c r="Z75">
        <f>HYPERLINK("https://klasma.github.io/Logging_2380/fåglar/A 60565-2022 prioriterade fågelarter.docx", "A 60565-2022")</f>
        <v/>
      </c>
    </row>
    <row r="76" ht="15" customHeight="1">
      <c r="A76" t="inlineStr">
        <is>
          <t>A 60565-2022</t>
        </is>
      </c>
      <c r="B76" s="1" t="n">
        <v>44904</v>
      </c>
      <c r="C76" s="1" t="n">
        <v>45969</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50895-2024</t>
        </is>
      </c>
      <c r="B77" s="1" t="n">
        <v>45602</v>
      </c>
      <c r="C77" s="1" t="n">
        <v>45969</v>
      </c>
      <c r="D77" t="inlineStr">
        <is>
          <t>JÄMTLANDS LÄN</t>
        </is>
      </c>
      <c r="E77" t="inlineStr">
        <is>
          <t>ÖSTERSUND</t>
        </is>
      </c>
      <c r="F77" t="inlineStr">
        <is>
          <t>Kommuner</t>
        </is>
      </c>
      <c r="G77" t="n">
        <v>6</v>
      </c>
      <c r="H77" t="n">
        <v>2</v>
      </c>
      <c r="I77" t="n">
        <v>0</v>
      </c>
      <c r="J77" t="n">
        <v>2</v>
      </c>
      <c r="K77" t="n">
        <v>1</v>
      </c>
      <c r="L77" t="n">
        <v>0</v>
      </c>
      <c r="M77" t="n">
        <v>0</v>
      </c>
      <c r="N77" t="n">
        <v>0</v>
      </c>
      <c r="O77" t="n">
        <v>3</v>
      </c>
      <c r="P77" t="n">
        <v>1</v>
      </c>
      <c r="Q77" t="n">
        <v>3</v>
      </c>
      <c r="R77" s="2" t="inlineStr">
        <is>
          <t>Knärot
Garnlav
Tretåig hackspett</t>
        </is>
      </c>
      <c r="S77">
        <f>HYPERLINK("https://klasma.github.io/Logging_2380/artfynd/A 50895-2024 artfynd.xlsx", "A 50895-2024")</f>
        <v/>
      </c>
      <c r="T77">
        <f>HYPERLINK("https://klasma.github.io/Logging_2380/kartor/A 50895-2024 karta.png", "A 50895-2024")</f>
        <v/>
      </c>
      <c r="U77">
        <f>HYPERLINK("https://klasma.github.io/Logging_2380/knärot/A 50895-2024 karta knärot.png", "A 50895-2024")</f>
        <v/>
      </c>
      <c r="V77">
        <f>HYPERLINK("https://klasma.github.io/Logging_2380/klagomål/A 50895-2024 FSC-klagomål.docx", "A 50895-2024")</f>
        <v/>
      </c>
      <c r="W77">
        <f>HYPERLINK("https://klasma.github.io/Logging_2380/klagomålsmail/A 50895-2024 FSC-klagomål mail.docx", "A 50895-2024")</f>
        <v/>
      </c>
      <c r="X77">
        <f>HYPERLINK("https://klasma.github.io/Logging_2380/tillsyn/A 50895-2024 tillsynsbegäran.docx", "A 50895-2024")</f>
        <v/>
      </c>
      <c r="Y77">
        <f>HYPERLINK("https://klasma.github.io/Logging_2380/tillsynsmail/A 50895-2024 tillsynsbegäran mail.docx", "A 50895-2024")</f>
        <v/>
      </c>
      <c r="Z77">
        <f>HYPERLINK("https://klasma.github.io/Logging_2380/fåglar/A 50895-2024 prioriterade fågelarter.docx", "A 50895-2024")</f>
        <v/>
      </c>
    </row>
    <row r="78" ht="15" customHeight="1">
      <c r="A78" t="inlineStr">
        <is>
          <t>A 40695-2024</t>
        </is>
      </c>
      <c r="B78" s="1" t="n">
        <v>45558</v>
      </c>
      <c r="C78" s="1" t="n">
        <v>45969</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46705-2023</t>
        </is>
      </c>
      <c r="B79" s="1" t="n">
        <v>45198</v>
      </c>
      <c r="C79" s="1" t="n">
        <v>45969</v>
      </c>
      <c r="D79" t="inlineStr">
        <is>
          <t>JÄMTLANDS LÄN</t>
        </is>
      </c>
      <c r="E79" t="inlineStr">
        <is>
          <t>ÖSTERSUND</t>
        </is>
      </c>
      <c r="F79" t="inlineStr">
        <is>
          <t>Sveaskog</t>
        </is>
      </c>
      <c r="G79" t="n">
        <v>7.5</v>
      </c>
      <c r="H79" t="n">
        <v>1</v>
      </c>
      <c r="I79" t="n">
        <v>3</v>
      </c>
      <c r="J79" t="n">
        <v>0</v>
      </c>
      <c r="K79" t="n">
        <v>0</v>
      </c>
      <c r="L79" t="n">
        <v>0</v>
      </c>
      <c r="M79" t="n">
        <v>0</v>
      </c>
      <c r="N79" t="n">
        <v>0</v>
      </c>
      <c r="O79" t="n">
        <v>0</v>
      </c>
      <c r="P79" t="n">
        <v>0</v>
      </c>
      <c r="Q79" t="n">
        <v>3</v>
      </c>
      <c r="R79" s="2" t="inlineStr">
        <is>
          <t>Finbräken
Guckusko
Ögonpyrola</t>
        </is>
      </c>
      <c r="S79">
        <f>HYPERLINK("https://klasma.github.io/Logging_2380/artfynd/A 46705-2023 artfynd.xlsx", "A 46705-2023")</f>
        <v/>
      </c>
      <c r="T79">
        <f>HYPERLINK("https://klasma.github.io/Logging_2380/kartor/A 46705-2023 karta.png", "A 46705-2023")</f>
        <v/>
      </c>
      <c r="V79">
        <f>HYPERLINK("https://klasma.github.io/Logging_2380/klagomål/A 46705-2023 FSC-klagomål.docx", "A 46705-2023")</f>
        <v/>
      </c>
      <c r="W79">
        <f>HYPERLINK("https://klasma.github.io/Logging_2380/klagomålsmail/A 46705-2023 FSC-klagomål mail.docx", "A 46705-2023")</f>
        <v/>
      </c>
      <c r="X79">
        <f>HYPERLINK("https://klasma.github.io/Logging_2380/tillsyn/A 46705-2023 tillsynsbegäran.docx", "A 46705-2023")</f>
        <v/>
      </c>
      <c r="Y79">
        <f>HYPERLINK("https://klasma.github.io/Logging_2380/tillsynsmail/A 46705-2023 tillsynsbegäran mail.docx", "A 46705-2023")</f>
        <v/>
      </c>
    </row>
    <row r="80" ht="15" customHeight="1">
      <c r="A80" t="inlineStr">
        <is>
          <t>A 7965-2025</t>
        </is>
      </c>
      <c r="B80" s="1" t="n">
        <v>45707.45219907408</v>
      </c>
      <c r="C80" s="1" t="n">
        <v>45969</v>
      </c>
      <c r="D80" t="inlineStr">
        <is>
          <t>JÄMTLANDS LÄN</t>
        </is>
      </c>
      <c r="E80" t="inlineStr">
        <is>
          <t>ÖSTERSUND</t>
        </is>
      </c>
      <c r="G80" t="n">
        <v>3.7</v>
      </c>
      <c r="H80" t="n">
        <v>2</v>
      </c>
      <c r="I80" t="n">
        <v>1</v>
      </c>
      <c r="J80" t="n">
        <v>0</v>
      </c>
      <c r="K80" t="n">
        <v>0</v>
      </c>
      <c r="L80" t="n">
        <v>0</v>
      </c>
      <c r="M80" t="n">
        <v>0</v>
      </c>
      <c r="N80" t="n">
        <v>0</v>
      </c>
      <c r="O80" t="n">
        <v>0</v>
      </c>
      <c r="P80" t="n">
        <v>0</v>
      </c>
      <c r="Q80" t="n">
        <v>3</v>
      </c>
      <c r="R80" s="2" t="inlineStr">
        <is>
          <t>Finbräken
Fläcknycklar
Blåsippa</t>
        </is>
      </c>
      <c r="S80">
        <f>HYPERLINK("https://klasma.github.io/Logging_2380/artfynd/A 7965-2025 artfynd.xlsx", "A 7965-2025")</f>
        <v/>
      </c>
      <c r="T80">
        <f>HYPERLINK("https://klasma.github.io/Logging_2380/kartor/A 7965-2025 karta.png", "A 7965-2025")</f>
        <v/>
      </c>
      <c r="V80">
        <f>HYPERLINK("https://klasma.github.io/Logging_2380/klagomål/A 7965-2025 FSC-klagomål.docx", "A 7965-2025")</f>
        <v/>
      </c>
      <c r="W80">
        <f>HYPERLINK("https://klasma.github.io/Logging_2380/klagomålsmail/A 7965-2025 FSC-klagomål mail.docx", "A 7965-2025")</f>
        <v/>
      </c>
      <c r="X80">
        <f>HYPERLINK("https://klasma.github.io/Logging_2380/tillsyn/A 7965-2025 tillsynsbegäran.docx", "A 7965-2025")</f>
        <v/>
      </c>
      <c r="Y80">
        <f>HYPERLINK("https://klasma.github.io/Logging_2380/tillsynsmail/A 7965-2025 tillsynsbegäran mail.docx", "A 7965-2025")</f>
        <v/>
      </c>
    </row>
    <row r="81" ht="15" customHeight="1">
      <c r="A81" t="inlineStr">
        <is>
          <t>A 43981-2023</t>
        </is>
      </c>
      <c r="B81" s="1" t="n">
        <v>45187</v>
      </c>
      <c r="C81" s="1" t="n">
        <v>45969</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19520-2023</t>
        </is>
      </c>
      <c r="B82" s="1" t="n">
        <v>45049</v>
      </c>
      <c r="C82" s="1" t="n">
        <v>45969</v>
      </c>
      <c r="D82" t="inlineStr">
        <is>
          <t>JÄMTLANDS LÄN</t>
        </is>
      </c>
      <c r="E82" t="inlineStr">
        <is>
          <t>ÖSTERSUND</t>
        </is>
      </c>
      <c r="G82" t="n">
        <v>2</v>
      </c>
      <c r="H82" t="n">
        <v>0</v>
      </c>
      <c r="I82" t="n">
        <v>2</v>
      </c>
      <c r="J82" t="n">
        <v>0</v>
      </c>
      <c r="K82" t="n">
        <v>0</v>
      </c>
      <c r="L82" t="n">
        <v>1</v>
      </c>
      <c r="M82" t="n">
        <v>0</v>
      </c>
      <c r="N82" t="n">
        <v>0</v>
      </c>
      <c r="O82" t="n">
        <v>1</v>
      </c>
      <c r="P82" t="n">
        <v>1</v>
      </c>
      <c r="Q82" t="n">
        <v>3</v>
      </c>
      <c r="R82" s="2" t="inlineStr">
        <is>
          <t>Trolldruvemätare
Svart trolldruva
Svavelriska</t>
        </is>
      </c>
      <c r="S82">
        <f>HYPERLINK("https://klasma.github.io/Logging_2380/artfynd/A 19520-2023 artfynd.xlsx", "A 19520-2023")</f>
        <v/>
      </c>
      <c r="T82">
        <f>HYPERLINK("https://klasma.github.io/Logging_2380/kartor/A 19520-2023 karta.png", "A 19520-2023")</f>
        <v/>
      </c>
      <c r="V82">
        <f>HYPERLINK("https://klasma.github.io/Logging_2380/klagomål/A 19520-2023 FSC-klagomål.docx", "A 19520-2023")</f>
        <v/>
      </c>
      <c r="W82">
        <f>HYPERLINK("https://klasma.github.io/Logging_2380/klagomålsmail/A 19520-2023 FSC-klagomål mail.docx", "A 19520-2023")</f>
        <v/>
      </c>
      <c r="X82">
        <f>HYPERLINK("https://klasma.github.io/Logging_2380/tillsyn/A 19520-2023 tillsynsbegäran.docx", "A 19520-2023")</f>
        <v/>
      </c>
      <c r="Y82">
        <f>HYPERLINK("https://klasma.github.io/Logging_2380/tillsynsmail/A 19520-2023 tillsynsbegäran mail.docx", "A 19520-2023")</f>
        <v/>
      </c>
    </row>
    <row r="83" ht="15" customHeight="1">
      <c r="A83" t="inlineStr">
        <is>
          <t>A 36742-2024</t>
        </is>
      </c>
      <c r="B83" s="1" t="n">
        <v>45538.33584490741</v>
      </c>
      <c r="C83" s="1" t="n">
        <v>45969</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3846-2024</t>
        </is>
      </c>
      <c r="B84" s="1" t="n">
        <v>45321</v>
      </c>
      <c r="C84" s="1" t="n">
        <v>45969</v>
      </c>
      <c r="D84" t="inlineStr">
        <is>
          <t>JÄMTLANDS LÄN</t>
        </is>
      </c>
      <c r="E84" t="inlineStr">
        <is>
          <t>ÖSTERSUND</t>
        </is>
      </c>
      <c r="G84" t="n">
        <v>2.2</v>
      </c>
      <c r="H84" t="n">
        <v>0</v>
      </c>
      <c r="I84" t="n">
        <v>2</v>
      </c>
      <c r="J84" t="n">
        <v>1</v>
      </c>
      <c r="K84" t="n">
        <v>0</v>
      </c>
      <c r="L84" t="n">
        <v>0</v>
      </c>
      <c r="M84" t="n">
        <v>0</v>
      </c>
      <c r="N84" t="n">
        <v>0</v>
      </c>
      <c r="O84" t="n">
        <v>1</v>
      </c>
      <c r="P84" t="n">
        <v>0</v>
      </c>
      <c r="Q84" t="n">
        <v>3</v>
      </c>
      <c r="R84" s="2" t="inlineStr">
        <is>
          <t>Granticka
Olivspindling
Svavelriska</t>
        </is>
      </c>
      <c r="S84">
        <f>HYPERLINK("https://klasma.github.io/Logging_2380/artfynd/A 3846-2024 artfynd.xlsx", "A 3846-2024")</f>
        <v/>
      </c>
      <c r="T84">
        <f>HYPERLINK("https://klasma.github.io/Logging_2380/kartor/A 3846-2024 karta.png", "A 3846-2024")</f>
        <v/>
      </c>
      <c r="V84">
        <f>HYPERLINK("https://klasma.github.io/Logging_2380/klagomål/A 3846-2024 FSC-klagomål.docx", "A 3846-2024")</f>
        <v/>
      </c>
      <c r="W84">
        <f>HYPERLINK("https://klasma.github.io/Logging_2380/klagomålsmail/A 3846-2024 FSC-klagomål mail.docx", "A 3846-2024")</f>
        <v/>
      </c>
      <c r="X84">
        <f>HYPERLINK("https://klasma.github.io/Logging_2380/tillsyn/A 3846-2024 tillsynsbegäran.docx", "A 3846-2024")</f>
        <v/>
      </c>
      <c r="Y84">
        <f>HYPERLINK("https://klasma.github.io/Logging_2380/tillsynsmail/A 3846-2024 tillsynsbegäran mail.docx", "A 3846-2024")</f>
        <v/>
      </c>
    </row>
    <row r="85" ht="15" customHeight="1">
      <c r="A85" t="inlineStr">
        <is>
          <t>A 5100-2023</t>
        </is>
      </c>
      <c r="B85" s="1" t="n">
        <v>44956</v>
      </c>
      <c r="C85" s="1" t="n">
        <v>45969</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36806-2025</t>
        </is>
      </c>
      <c r="B86" s="1" t="n">
        <v>45873.69988425926</v>
      </c>
      <c r="C86" s="1" t="n">
        <v>45969</v>
      </c>
      <c r="D86" t="inlineStr">
        <is>
          <t>JÄMTLANDS LÄN</t>
        </is>
      </c>
      <c r="E86" t="inlineStr">
        <is>
          <t>ÖSTERSUND</t>
        </is>
      </c>
      <c r="G86" t="n">
        <v>9.800000000000001</v>
      </c>
      <c r="H86" t="n">
        <v>2</v>
      </c>
      <c r="I86" t="n">
        <v>2</v>
      </c>
      <c r="J86" t="n">
        <v>0</v>
      </c>
      <c r="K86" t="n">
        <v>0</v>
      </c>
      <c r="L86" t="n">
        <v>0</v>
      </c>
      <c r="M86" t="n">
        <v>0</v>
      </c>
      <c r="N86" t="n">
        <v>0</v>
      </c>
      <c r="O86" t="n">
        <v>0</v>
      </c>
      <c r="P86" t="n">
        <v>0</v>
      </c>
      <c r="Q86" t="n">
        <v>3</v>
      </c>
      <c r="R86" s="2" t="inlineStr">
        <is>
          <t>Grönkulla
Vårärt
Blåsippa</t>
        </is>
      </c>
      <c r="S86">
        <f>HYPERLINK("https://klasma.github.io/Logging_2380/artfynd/A 36806-2025 artfynd.xlsx", "A 36806-2025")</f>
        <v/>
      </c>
      <c r="T86">
        <f>HYPERLINK("https://klasma.github.io/Logging_2380/kartor/A 36806-2025 karta.png", "A 36806-2025")</f>
        <v/>
      </c>
      <c r="V86">
        <f>HYPERLINK("https://klasma.github.io/Logging_2380/klagomål/A 36806-2025 FSC-klagomål.docx", "A 36806-2025")</f>
        <v/>
      </c>
      <c r="W86">
        <f>HYPERLINK("https://klasma.github.io/Logging_2380/klagomålsmail/A 36806-2025 FSC-klagomål mail.docx", "A 36806-2025")</f>
        <v/>
      </c>
      <c r="X86">
        <f>HYPERLINK("https://klasma.github.io/Logging_2380/tillsyn/A 36806-2025 tillsynsbegäran.docx", "A 36806-2025")</f>
        <v/>
      </c>
      <c r="Y86">
        <f>HYPERLINK("https://klasma.github.io/Logging_2380/tillsynsmail/A 36806-2025 tillsynsbegäran mail.docx", "A 36806-2025")</f>
        <v/>
      </c>
    </row>
    <row r="87" ht="15" customHeight="1">
      <c r="A87" t="inlineStr">
        <is>
          <t>A 52129-2023</t>
        </is>
      </c>
      <c r="B87" s="1" t="n">
        <v>45223</v>
      </c>
      <c r="C87" s="1" t="n">
        <v>45969</v>
      </c>
      <c r="D87" t="inlineStr">
        <is>
          <t>JÄMTLANDS LÄN</t>
        </is>
      </c>
      <c r="E87" t="inlineStr">
        <is>
          <t>ÖSTERSUND</t>
        </is>
      </c>
      <c r="F87" t="inlineStr">
        <is>
          <t>SCA</t>
        </is>
      </c>
      <c r="G87" t="n">
        <v>2</v>
      </c>
      <c r="H87" t="n">
        <v>0</v>
      </c>
      <c r="I87" t="n">
        <v>0</v>
      </c>
      <c r="J87" t="n">
        <v>2</v>
      </c>
      <c r="K87" t="n">
        <v>0</v>
      </c>
      <c r="L87" t="n">
        <v>0</v>
      </c>
      <c r="M87" t="n">
        <v>0</v>
      </c>
      <c r="N87" t="n">
        <v>0</v>
      </c>
      <c r="O87" t="n">
        <v>2</v>
      </c>
      <c r="P87" t="n">
        <v>0</v>
      </c>
      <c r="Q87" t="n">
        <v>2</v>
      </c>
      <c r="R87" s="2" t="inlineStr">
        <is>
          <t>Dvärgbägarlav
Kolflarnlav</t>
        </is>
      </c>
      <c r="S87">
        <f>HYPERLINK("https://klasma.github.io/Logging_2380/artfynd/A 52129-2023 artfynd.xlsx", "A 52129-2023")</f>
        <v/>
      </c>
      <c r="T87">
        <f>HYPERLINK("https://klasma.github.io/Logging_2380/kartor/A 52129-2023 karta.png", "A 52129-2023")</f>
        <v/>
      </c>
      <c r="V87">
        <f>HYPERLINK("https://klasma.github.io/Logging_2380/klagomål/A 52129-2023 FSC-klagomål.docx", "A 52129-2023")</f>
        <v/>
      </c>
      <c r="W87">
        <f>HYPERLINK("https://klasma.github.io/Logging_2380/klagomålsmail/A 52129-2023 FSC-klagomål mail.docx", "A 52129-2023")</f>
        <v/>
      </c>
      <c r="X87">
        <f>HYPERLINK("https://klasma.github.io/Logging_2380/tillsyn/A 52129-2023 tillsynsbegäran.docx", "A 52129-2023")</f>
        <v/>
      </c>
      <c r="Y87">
        <f>HYPERLINK("https://klasma.github.io/Logging_2380/tillsynsmail/A 52129-2023 tillsynsbegäran mail.docx", "A 52129-2023")</f>
        <v/>
      </c>
    </row>
    <row r="88" ht="15" customHeight="1">
      <c r="A88" t="inlineStr">
        <is>
          <t>A 4916-2023</t>
        </is>
      </c>
      <c r="B88" s="1" t="n">
        <v>44956</v>
      </c>
      <c r="C88" s="1" t="n">
        <v>45969</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63930-2023</t>
        </is>
      </c>
      <c r="B89" s="1" t="n">
        <v>45278</v>
      </c>
      <c r="C89" s="1" t="n">
        <v>45969</v>
      </c>
      <c r="D89" t="inlineStr">
        <is>
          <t>JÄMTLANDS LÄN</t>
        </is>
      </c>
      <c r="E89" t="inlineStr">
        <is>
          <t>ÖSTERSUND</t>
        </is>
      </c>
      <c r="G89" t="n">
        <v>2.1</v>
      </c>
      <c r="H89" t="n">
        <v>0</v>
      </c>
      <c r="I89" t="n">
        <v>2</v>
      </c>
      <c r="J89" t="n">
        <v>0</v>
      </c>
      <c r="K89" t="n">
        <v>0</v>
      </c>
      <c r="L89" t="n">
        <v>0</v>
      </c>
      <c r="M89" t="n">
        <v>0</v>
      </c>
      <c r="N89" t="n">
        <v>0</v>
      </c>
      <c r="O89" t="n">
        <v>0</v>
      </c>
      <c r="P89" t="n">
        <v>0</v>
      </c>
      <c r="Q89" t="n">
        <v>2</v>
      </c>
      <c r="R89" s="2" t="inlineStr">
        <is>
          <t>Strimspindling
Svavelriska</t>
        </is>
      </c>
      <c r="S89">
        <f>HYPERLINK("https://klasma.github.io/Logging_2380/artfynd/A 63930-2023 artfynd.xlsx", "A 63930-2023")</f>
        <v/>
      </c>
      <c r="T89">
        <f>HYPERLINK("https://klasma.github.io/Logging_2380/kartor/A 63930-2023 karta.png", "A 63930-2023")</f>
        <v/>
      </c>
      <c r="V89">
        <f>HYPERLINK("https://klasma.github.io/Logging_2380/klagomål/A 63930-2023 FSC-klagomål.docx", "A 63930-2023")</f>
        <v/>
      </c>
      <c r="W89">
        <f>HYPERLINK("https://klasma.github.io/Logging_2380/klagomålsmail/A 63930-2023 FSC-klagomål mail.docx", "A 63930-2023")</f>
        <v/>
      </c>
      <c r="X89">
        <f>HYPERLINK("https://klasma.github.io/Logging_2380/tillsyn/A 63930-2023 tillsynsbegäran.docx", "A 63930-2023")</f>
        <v/>
      </c>
      <c r="Y89">
        <f>HYPERLINK("https://klasma.github.io/Logging_2380/tillsynsmail/A 63930-2023 tillsynsbegäran mail.docx", "A 63930-2023")</f>
        <v/>
      </c>
    </row>
    <row r="90" ht="15" customHeight="1">
      <c r="A90" t="inlineStr">
        <is>
          <t>A 46105-2021</t>
        </is>
      </c>
      <c r="B90" s="1" t="n">
        <v>44441</v>
      </c>
      <c r="C90" s="1" t="n">
        <v>45969</v>
      </c>
      <c r="D90" t="inlineStr">
        <is>
          <t>JÄMTLANDS LÄN</t>
        </is>
      </c>
      <c r="E90" t="inlineStr">
        <is>
          <t>ÖSTERSUND</t>
        </is>
      </c>
      <c r="G90" t="n">
        <v>4.4</v>
      </c>
      <c r="H90" t="n">
        <v>2</v>
      </c>
      <c r="I90" t="n">
        <v>0</v>
      </c>
      <c r="J90" t="n">
        <v>1</v>
      </c>
      <c r="K90" t="n">
        <v>1</v>
      </c>
      <c r="L90" t="n">
        <v>0</v>
      </c>
      <c r="M90" t="n">
        <v>0</v>
      </c>
      <c r="N90" t="n">
        <v>0</v>
      </c>
      <c r="O90" t="n">
        <v>2</v>
      </c>
      <c r="P90" t="n">
        <v>1</v>
      </c>
      <c r="Q90" t="n">
        <v>2</v>
      </c>
      <c r="R90" s="2" t="inlineStr">
        <is>
          <t>Tallbit
Tretåig hackspett</t>
        </is>
      </c>
      <c r="S90">
        <f>HYPERLINK("https://klasma.github.io/Logging_2380/artfynd/A 46105-2021 artfynd.xlsx", "A 46105-2021")</f>
        <v/>
      </c>
      <c r="T90">
        <f>HYPERLINK("https://klasma.github.io/Logging_2380/kartor/A 46105-2021 karta.png", "A 46105-2021")</f>
        <v/>
      </c>
      <c r="V90">
        <f>HYPERLINK("https://klasma.github.io/Logging_2380/klagomål/A 46105-2021 FSC-klagomål.docx", "A 46105-2021")</f>
        <v/>
      </c>
      <c r="W90">
        <f>HYPERLINK("https://klasma.github.io/Logging_2380/klagomålsmail/A 46105-2021 FSC-klagomål mail.docx", "A 46105-2021")</f>
        <v/>
      </c>
      <c r="X90">
        <f>HYPERLINK("https://klasma.github.io/Logging_2380/tillsyn/A 46105-2021 tillsynsbegäran.docx", "A 46105-2021")</f>
        <v/>
      </c>
      <c r="Y90">
        <f>HYPERLINK("https://klasma.github.io/Logging_2380/tillsynsmail/A 46105-2021 tillsynsbegäran mail.docx", "A 46105-2021")</f>
        <v/>
      </c>
      <c r="Z90">
        <f>HYPERLINK("https://klasma.github.io/Logging_2380/fåglar/A 46105-2021 prioriterade fågelarter.docx", "A 46105-2021")</f>
        <v/>
      </c>
    </row>
    <row r="91" ht="15" customHeight="1">
      <c r="A91" t="inlineStr">
        <is>
          <t>A 47385-2022</t>
        </is>
      </c>
      <c r="B91" s="1" t="n">
        <v>44853</v>
      </c>
      <c r="C91" s="1" t="n">
        <v>45969</v>
      </c>
      <c r="D91" t="inlineStr">
        <is>
          <t>JÄMTLANDS LÄN</t>
        </is>
      </c>
      <c r="E91" t="inlineStr">
        <is>
          <t>ÖSTERSUND</t>
        </is>
      </c>
      <c r="G91" t="n">
        <v>0.9</v>
      </c>
      <c r="H91" t="n">
        <v>0</v>
      </c>
      <c r="I91" t="n">
        <v>0</v>
      </c>
      <c r="J91" t="n">
        <v>2</v>
      </c>
      <c r="K91" t="n">
        <v>0</v>
      </c>
      <c r="L91" t="n">
        <v>0</v>
      </c>
      <c r="M91" t="n">
        <v>0</v>
      </c>
      <c r="N91" t="n">
        <v>0</v>
      </c>
      <c r="O91" t="n">
        <v>2</v>
      </c>
      <c r="P91" t="n">
        <v>0</v>
      </c>
      <c r="Q91" t="n">
        <v>2</v>
      </c>
      <c r="R91" s="2" t="inlineStr">
        <is>
          <t>Garnlav
Ullticka</t>
        </is>
      </c>
      <c r="S91">
        <f>HYPERLINK("https://klasma.github.io/Logging_2380/artfynd/A 47385-2022 artfynd.xlsx", "A 47385-2022")</f>
        <v/>
      </c>
      <c r="T91">
        <f>HYPERLINK("https://klasma.github.io/Logging_2380/kartor/A 47385-2022 karta.png", "A 47385-2022")</f>
        <v/>
      </c>
      <c r="U91">
        <f>HYPERLINK("https://klasma.github.io/Logging_2380/knärot/A 47385-2022 karta knärot.png", "A 47385-2022")</f>
        <v/>
      </c>
      <c r="V91">
        <f>HYPERLINK("https://klasma.github.io/Logging_2380/klagomål/A 47385-2022 FSC-klagomål.docx", "A 47385-2022")</f>
        <v/>
      </c>
      <c r="W91">
        <f>HYPERLINK("https://klasma.github.io/Logging_2380/klagomålsmail/A 47385-2022 FSC-klagomål mail.docx", "A 47385-2022")</f>
        <v/>
      </c>
      <c r="X91">
        <f>HYPERLINK("https://klasma.github.io/Logging_2380/tillsyn/A 47385-2022 tillsynsbegäran.docx", "A 47385-2022")</f>
        <v/>
      </c>
      <c r="Y91">
        <f>HYPERLINK("https://klasma.github.io/Logging_2380/tillsynsmail/A 47385-2022 tillsynsbegäran mail.docx", "A 47385-2022")</f>
        <v/>
      </c>
    </row>
    <row r="92" ht="15" customHeight="1">
      <c r="A92" t="inlineStr">
        <is>
          <t>A 60446-2024</t>
        </is>
      </c>
      <c r="B92" s="1" t="n">
        <v>45643.59420138889</v>
      </c>
      <c r="C92" s="1" t="n">
        <v>45969</v>
      </c>
      <c r="D92" t="inlineStr">
        <is>
          <t>JÄMTLANDS LÄN</t>
        </is>
      </c>
      <c r="E92" t="inlineStr">
        <is>
          <t>ÖSTERSUND</t>
        </is>
      </c>
      <c r="F92" t="inlineStr">
        <is>
          <t>SCA</t>
        </is>
      </c>
      <c r="G92" t="n">
        <v>3.6</v>
      </c>
      <c r="H92" t="n">
        <v>0</v>
      </c>
      <c r="I92" t="n">
        <v>1</v>
      </c>
      <c r="J92" t="n">
        <v>1</v>
      </c>
      <c r="K92" t="n">
        <v>0</v>
      </c>
      <c r="L92" t="n">
        <v>0</v>
      </c>
      <c r="M92" t="n">
        <v>0</v>
      </c>
      <c r="N92" t="n">
        <v>0</v>
      </c>
      <c r="O92" t="n">
        <v>1</v>
      </c>
      <c r="P92" t="n">
        <v>0</v>
      </c>
      <c r="Q92" t="n">
        <v>2</v>
      </c>
      <c r="R92" s="2" t="inlineStr">
        <is>
          <t>Ullticka
Vedticka</t>
        </is>
      </c>
      <c r="S92">
        <f>HYPERLINK("https://klasma.github.io/Logging_2380/artfynd/A 60446-2024 artfynd.xlsx", "A 60446-2024")</f>
        <v/>
      </c>
      <c r="T92">
        <f>HYPERLINK("https://klasma.github.io/Logging_2380/kartor/A 60446-2024 karta.png", "A 60446-2024")</f>
        <v/>
      </c>
      <c r="V92">
        <f>HYPERLINK("https://klasma.github.io/Logging_2380/klagomål/A 60446-2024 FSC-klagomål.docx", "A 60446-2024")</f>
        <v/>
      </c>
      <c r="W92">
        <f>HYPERLINK("https://klasma.github.io/Logging_2380/klagomålsmail/A 60446-2024 FSC-klagomål mail.docx", "A 60446-2024")</f>
        <v/>
      </c>
      <c r="X92">
        <f>HYPERLINK("https://klasma.github.io/Logging_2380/tillsyn/A 60446-2024 tillsynsbegäran.docx", "A 60446-2024")</f>
        <v/>
      </c>
      <c r="Y92">
        <f>HYPERLINK("https://klasma.github.io/Logging_2380/tillsynsmail/A 60446-2024 tillsynsbegäran mail.docx", "A 60446-2024")</f>
        <v/>
      </c>
    </row>
    <row r="93" ht="15" customHeight="1">
      <c r="A93" t="inlineStr">
        <is>
          <t>A 21615-2024</t>
        </is>
      </c>
      <c r="B93" s="1" t="n">
        <v>45441.95357638889</v>
      </c>
      <c r="C93" s="1" t="n">
        <v>45969</v>
      </c>
      <c r="D93" t="inlineStr">
        <is>
          <t>JÄMTLANDS LÄN</t>
        </is>
      </c>
      <c r="E93" t="inlineStr">
        <is>
          <t>ÖSTERSUND</t>
        </is>
      </c>
      <c r="F93" t="inlineStr">
        <is>
          <t>SCA</t>
        </is>
      </c>
      <c r="G93" t="n">
        <v>4.9</v>
      </c>
      <c r="H93" t="n">
        <v>2</v>
      </c>
      <c r="I93" t="n">
        <v>0</v>
      </c>
      <c r="J93" t="n">
        <v>0</v>
      </c>
      <c r="K93" t="n">
        <v>1</v>
      </c>
      <c r="L93" t="n">
        <v>0</v>
      </c>
      <c r="M93" t="n">
        <v>0</v>
      </c>
      <c r="N93" t="n">
        <v>0</v>
      </c>
      <c r="O93" t="n">
        <v>1</v>
      </c>
      <c r="P93" t="n">
        <v>1</v>
      </c>
      <c r="Q93" t="n">
        <v>2</v>
      </c>
      <c r="R93" s="2" t="inlineStr">
        <is>
          <t>Lappuggla
Blåsippa</t>
        </is>
      </c>
      <c r="S93">
        <f>HYPERLINK("https://klasma.github.io/Logging_2380/artfynd/A 21615-2024 artfynd.xlsx", "A 21615-2024")</f>
        <v/>
      </c>
      <c r="T93">
        <f>HYPERLINK("https://klasma.github.io/Logging_2380/kartor/A 21615-2024 karta.png", "A 21615-2024")</f>
        <v/>
      </c>
      <c r="V93">
        <f>HYPERLINK("https://klasma.github.io/Logging_2380/klagomål/A 21615-2024 FSC-klagomål.docx", "A 21615-2024")</f>
        <v/>
      </c>
      <c r="W93">
        <f>HYPERLINK("https://klasma.github.io/Logging_2380/klagomålsmail/A 21615-2024 FSC-klagomål mail.docx", "A 21615-2024")</f>
        <v/>
      </c>
      <c r="X93">
        <f>HYPERLINK("https://klasma.github.io/Logging_2380/tillsyn/A 21615-2024 tillsynsbegäran.docx", "A 21615-2024")</f>
        <v/>
      </c>
      <c r="Y93">
        <f>HYPERLINK("https://klasma.github.io/Logging_2380/tillsynsmail/A 21615-2024 tillsynsbegäran mail.docx", "A 21615-2024")</f>
        <v/>
      </c>
      <c r="Z93">
        <f>HYPERLINK("https://klasma.github.io/Logging_2380/fåglar/A 21615-2024 prioriterade fågelarter.docx", "A 21615-2024")</f>
        <v/>
      </c>
    </row>
    <row r="94" ht="15" customHeight="1">
      <c r="A94" t="inlineStr">
        <is>
          <t>A 59793-2022</t>
        </is>
      </c>
      <c r="B94" s="1" t="n">
        <v>44908</v>
      </c>
      <c r="C94" s="1" t="n">
        <v>45969</v>
      </c>
      <c r="D94" t="inlineStr">
        <is>
          <t>JÄMTLANDS LÄN</t>
        </is>
      </c>
      <c r="E94" t="inlineStr">
        <is>
          <t>ÖSTERSUND</t>
        </is>
      </c>
      <c r="G94" t="n">
        <v>23.3</v>
      </c>
      <c r="H94" t="n">
        <v>1</v>
      </c>
      <c r="I94" t="n">
        <v>1</v>
      </c>
      <c r="J94" t="n">
        <v>1</v>
      </c>
      <c r="K94" t="n">
        <v>0</v>
      </c>
      <c r="L94" t="n">
        <v>0</v>
      </c>
      <c r="M94" t="n">
        <v>0</v>
      </c>
      <c r="N94" t="n">
        <v>0</v>
      </c>
      <c r="O94" t="n">
        <v>1</v>
      </c>
      <c r="P94" t="n">
        <v>0</v>
      </c>
      <c r="Q94" t="n">
        <v>2</v>
      </c>
      <c r="R94" s="2" t="inlineStr">
        <is>
          <t>Majviva
Spindelblomster</t>
        </is>
      </c>
      <c r="S94">
        <f>HYPERLINK("https://klasma.github.io/Logging_2380/artfynd/A 59793-2022 artfynd.xlsx", "A 59793-2022")</f>
        <v/>
      </c>
      <c r="T94">
        <f>HYPERLINK("https://klasma.github.io/Logging_2380/kartor/A 59793-2022 karta.png", "A 59793-2022")</f>
        <v/>
      </c>
      <c r="V94">
        <f>HYPERLINK("https://klasma.github.io/Logging_2380/klagomål/A 59793-2022 FSC-klagomål.docx", "A 59793-2022")</f>
        <v/>
      </c>
      <c r="W94">
        <f>HYPERLINK("https://klasma.github.io/Logging_2380/klagomålsmail/A 59793-2022 FSC-klagomål mail.docx", "A 59793-2022")</f>
        <v/>
      </c>
      <c r="X94">
        <f>HYPERLINK("https://klasma.github.io/Logging_2380/tillsyn/A 59793-2022 tillsynsbegäran.docx", "A 59793-2022")</f>
        <v/>
      </c>
      <c r="Y94">
        <f>HYPERLINK("https://klasma.github.io/Logging_2380/tillsynsmail/A 59793-2022 tillsynsbegäran mail.docx", "A 59793-2022")</f>
        <v/>
      </c>
    </row>
    <row r="95" ht="15" customHeight="1">
      <c r="A95" t="inlineStr">
        <is>
          <t>A 39968-2024</t>
        </is>
      </c>
      <c r="B95" s="1" t="n">
        <v>45553.59296296296</v>
      </c>
      <c r="C95" s="1" t="n">
        <v>45969</v>
      </c>
      <c r="D95" t="inlineStr">
        <is>
          <t>JÄMTLANDS LÄN</t>
        </is>
      </c>
      <c r="E95" t="inlineStr">
        <is>
          <t>ÖSTERSUND</t>
        </is>
      </c>
      <c r="G95" t="n">
        <v>1.8</v>
      </c>
      <c r="H95" t="n">
        <v>2</v>
      </c>
      <c r="I95" t="n">
        <v>1</v>
      </c>
      <c r="J95" t="n">
        <v>0</v>
      </c>
      <c r="K95" t="n">
        <v>1</v>
      </c>
      <c r="L95" t="n">
        <v>0</v>
      </c>
      <c r="M95" t="n">
        <v>0</v>
      </c>
      <c r="N95" t="n">
        <v>0</v>
      </c>
      <c r="O95" t="n">
        <v>1</v>
      </c>
      <c r="P95" t="n">
        <v>1</v>
      </c>
      <c r="Q95" t="n">
        <v>2</v>
      </c>
      <c r="R95" s="2" t="inlineStr">
        <is>
          <t>Knärot
Spindelblomster</t>
        </is>
      </c>
      <c r="S95">
        <f>HYPERLINK("https://klasma.github.io/Logging_2380/artfynd/A 39968-2024 artfynd.xlsx", "A 39968-2024")</f>
        <v/>
      </c>
      <c r="T95">
        <f>HYPERLINK("https://klasma.github.io/Logging_2380/kartor/A 39968-2024 karta.png", "A 39968-2024")</f>
        <v/>
      </c>
      <c r="U95">
        <f>HYPERLINK("https://klasma.github.io/Logging_2380/knärot/A 39968-2024 karta knärot.png", "A 39968-2024")</f>
        <v/>
      </c>
      <c r="V95">
        <f>HYPERLINK("https://klasma.github.io/Logging_2380/klagomål/A 39968-2024 FSC-klagomål.docx", "A 39968-2024")</f>
        <v/>
      </c>
      <c r="W95">
        <f>HYPERLINK("https://klasma.github.io/Logging_2380/klagomålsmail/A 39968-2024 FSC-klagomål mail.docx", "A 39968-2024")</f>
        <v/>
      </c>
      <c r="X95">
        <f>HYPERLINK("https://klasma.github.io/Logging_2380/tillsyn/A 39968-2024 tillsynsbegäran.docx", "A 39968-2024")</f>
        <v/>
      </c>
      <c r="Y95">
        <f>HYPERLINK("https://klasma.github.io/Logging_2380/tillsynsmail/A 39968-2024 tillsynsbegäran mail.docx", "A 39968-2024")</f>
        <v/>
      </c>
    </row>
    <row r="96" ht="15" customHeight="1">
      <c r="A96" t="inlineStr">
        <is>
          <t>A 40207-2025</t>
        </is>
      </c>
      <c r="B96" s="1" t="n">
        <v>45894.67988425926</v>
      </c>
      <c r="C96" s="1" t="n">
        <v>45969</v>
      </c>
      <c r="D96" t="inlineStr">
        <is>
          <t>JÄMTLANDS LÄN</t>
        </is>
      </c>
      <c r="E96" t="inlineStr">
        <is>
          <t>ÖSTERSUND</t>
        </is>
      </c>
      <c r="G96" t="n">
        <v>5.4</v>
      </c>
      <c r="H96" t="n">
        <v>0</v>
      </c>
      <c r="I96" t="n">
        <v>1</v>
      </c>
      <c r="J96" t="n">
        <v>0</v>
      </c>
      <c r="K96" t="n">
        <v>0</v>
      </c>
      <c r="L96" t="n">
        <v>1</v>
      </c>
      <c r="M96" t="n">
        <v>0</v>
      </c>
      <c r="N96" t="n">
        <v>0</v>
      </c>
      <c r="O96" t="n">
        <v>1</v>
      </c>
      <c r="P96" t="n">
        <v>1</v>
      </c>
      <c r="Q96" t="n">
        <v>2</v>
      </c>
      <c r="R96" s="2" t="inlineStr">
        <is>
          <t>Trolldruvemätare
Tibast</t>
        </is>
      </c>
      <c r="S96">
        <f>HYPERLINK("https://klasma.github.io/Logging_2380/artfynd/A 40207-2025 artfynd.xlsx", "A 40207-2025")</f>
        <v/>
      </c>
      <c r="T96">
        <f>HYPERLINK("https://klasma.github.io/Logging_2380/kartor/A 40207-2025 karta.png", "A 40207-2025")</f>
        <v/>
      </c>
      <c r="V96">
        <f>HYPERLINK("https://klasma.github.io/Logging_2380/klagomål/A 40207-2025 FSC-klagomål.docx", "A 40207-2025")</f>
        <v/>
      </c>
      <c r="W96">
        <f>HYPERLINK("https://klasma.github.io/Logging_2380/klagomålsmail/A 40207-2025 FSC-klagomål mail.docx", "A 40207-2025")</f>
        <v/>
      </c>
      <c r="X96">
        <f>HYPERLINK("https://klasma.github.io/Logging_2380/tillsyn/A 40207-2025 tillsynsbegäran.docx", "A 40207-2025")</f>
        <v/>
      </c>
      <c r="Y96">
        <f>HYPERLINK("https://klasma.github.io/Logging_2380/tillsynsmail/A 40207-2025 tillsynsbegäran mail.docx", "A 40207-2025")</f>
        <v/>
      </c>
    </row>
    <row r="97" ht="15" customHeight="1">
      <c r="A97" t="inlineStr">
        <is>
          <t>A 15700-2025</t>
        </is>
      </c>
      <c r="B97" s="1" t="n">
        <v>45748.47314814815</v>
      </c>
      <c r="C97" s="1" t="n">
        <v>45969</v>
      </c>
      <c r="D97" t="inlineStr">
        <is>
          <t>JÄMTLANDS LÄN</t>
        </is>
      </c>
      <c r="E97" t="inlineStr">
        <is>
          <t>ÖSTERSUND</t>
        </is>
      </c>
      <c r="G97" t="n">
        <v>0.9</v>
      </c>
      <c r="H97" t="n">
        <v>0</v>
      </c>
      <c r="I97" t="n">
        <v>2</v>
      </c>
      <c r="J97" t="n">
        <v>0</v>
      </c>
      <c r="K97" t="n">
        <v>0</v>
      </c>
      <c r="L97" t="n">
        <v>0</v>
      </c>
      <c r="M97" t="n">
        <v>0</v>
      </c>
      <c r="N97" t="n">
        <v>0</v>
      </c>
      <c r="O97" t="n">
        <v>0</v>
      </c>
      <c r="P97" t="n">
        <v>0</v>
      </c>
      <c r="Q97" t="n">
        <v>2</v>
      </c>
      <c r="R97" s="2" t="inlineStr">
        <is>
          <t>Brun klibbskivling
Droppklibbskivling</t>
        </is>
      </c>
      <c r="S97">
        <f>HYPERLINK("https://klasma.github.io/Logging_2380/artfynd/A 15700-2025 artfynd.xlsx", "A 15700-2025")</f>
        <v/>
      </c>
      <c r="T97">
        <f>HYPERLINK("https://klasma.github.io/Logging_2380/kartor/A 15700-2025 karta.png", "A 15700-2025")</f>
        <v/>
      </c>
      <c r="V97">
        <f>HYPERLINK("https://klasma.github.io/Logging_2380/klagomål/A 15700-2025 FSC-klagomål.docx", "A 15700-2025")</f>
        <v/>
      </c>
      <c r="W97">
        <f>HYPERLINK("https://klasma.github.io/Logging_2380/klagomålsmail/A 15700-2025 FSC-klagomål mail.docx", "A 15700-2025")</f>
        <v/>
      </c>
      <c r="X97">
        <f>HYPERLINK("https://klasma.github.io/Logging_2380/tillsyn/A 15700-2025 tillsynsbegäran.docx", "A 15700-2025")</f>
        <v/>
      </c>
      <c r="Y97">
        <f>HYPERLINK("https://klasma.github.io/Logging_2380/tillsynsmail/A 15700-2025 tillsynsbegäran mail.docx", "A 15700-2025")</f>
        <v/>
      </c>
    </row>
    <row r="98" ht="15" customHeight="1">
      <c r="A98" t="inlineStr">
        <is>
          <t>A 60614-2022</t>
        </is>
      </c>
      <c r="B98" s="1" t="n">
        <v>44911</v>
      </c>
      <c r="C98" s="1" t="n">
        <v>45969</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60534-2022</t>
        </is>
      </c>
      <c r="B99" s="1" t="n">
        <v>44904</v>
      </c>
      <c r="C99" s="1" t="n">
        <v>45969</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13795-2025</t>
        </is>
      </c>
      <c r="B100" s="1" t="n">
        <v>45737</v>
      </c>
      <c r="C100" s="1" t="n">
        <v>45969</v>
      </c>
      <c r="D100" t="inlineStr">
        <is>
          <t>JÄMTLANDS LÄN</t>
        </is>
      </c>
      <c r="E100" t="inlineStr">
        <is>
          <t>ÖSTERSUND</t>
        </is>
      </c>
      <c r="G100" t="n">
        <v>13.4</v>
      </c>
      <c r="H100" t="n">
        <v>1</v>
      </c>
      <c r="I100" t="n">
        <v>0</v>
      </c>
      <c r="J100" t="n">
        <v>1</v>
      </c>
      <c r="K100" t="n">
        <v>1</v>
      </c>
      <c r="L100" t="n">
        <v>0</v>
      </c>
      <c r="M100" t="n">
        <v>0</v>
      </c>
      <c r="N100" t="n">
        <v>0</v>
      </c>
      <c r="O100" t="n">
        <v>2</v>
      </c>
      <c r="P100" t="n">
        <v>1</v>
      </c>
      <c r="Q100" t="n">
        <v>2</v>
      </c>
      <c r="R100" s="2" t="inlineStr">
        <is>
          <t>Knärot
Lunglav</t>
        </is>
      </c>
      <c r="S100">
        <f>HYPERLINK("https://klasma.github.io/Logging_2380/artfynd/A 13795-2025 artfynd.xlsx", "A 13795-2025")</f>
        <v/>
      </c>
      <c r="T100">
        <f>HYPERLINK("https://klasma.github.io/Logging_2380/kartor/A 13795-2025 karta.png", "A 13795-2025")</f>
        <v/>
      </c>
      <c r="U100">
        <f>HYPERLINK("https://klasma.github.io/Logging_2380/knärot/A 13795-2025 karta knärot.png", "A 13795-2025")</f>
        <v/>
      </c>
      <c r="V100">
        <f>HYPERLINK("https://klasma.github.io/Logging_2380/klagomål/A 13795-2025 FSC-klagomål.docx", "A 13795-2025")</f>
        <v/>
      </c>
      <c r="W100">
        <f>HYPERLINK("https://klasma.github.io/Logging_2380/klagomålsmail/A 13795-2025 FSC-klagomål mail.docx", "A 13795-2025")</f>
        <v/>
      </c>
      <c r="X100">
        <f>HYPERLINK("https://klasma.github.io/Logging_2380/tillsyn/A 13795-2025 tillsynsbegäran.docx", "A 13795-2025")</f>
        <v/>
      </c>
      <c r="Y100">
        <f>HYPERLINK("https://klasma.github.io/Logging_2380/tillsynsmail/A 13795-2025 tillsynsbegäran mail.docx", "A 13795-2025")</f>
        <v/>
      </c>
    </row>
    <row r="101" ht="15" customHeight="1">
      <c r="A101" t="inlineStr">
        <is>
          <t>A 35977-2024</t>
        </is>
      </c>
      <c r="B101" s="1" t="n">
        <v>45533.49601851852</v>
      </c>
      <c r="C101" s="1" t="n">
        <v>45969</v>
      </c>
      <c r="D101" t="inlineStr">
        <is>
          <t>JÄMTLANDS LÄN</t>
        </is>
      </c>
      <c r="E101" t="inlineStr">
        <is>
          <t>ÖSTERSUND</t>
        </is>
      </c>
      <c r="G101" t="n">
        <v>0.7</v>
      </c>
      <c r="H101" t="n">
        <v>0</v>
      </c>
      <c r="I101" t="n">
        <v>2</v>
      </c>
      <c r="J101" t="n">
        <v>0</v>
      </c>
      <c r="K101" t="n">
        <v>0</v>
      </c>
      <c r="L101" t="n">
        <v>0</v>
      </c>
      <c r="M101" t="n">
        <v>0</v>
      </c>
      <c r="N101" t="n">
        <v>0</v>
      </c>
      <c r="O101" t="n">
        <v>0</v>
      </c>
      <c r="P101" t="n">
        <v>0</v>
      </c>
      <c r="Q101" t="n">
        <v>2</v>
      </c>
      <c r="R101" s="2" t="inlineStr">
        <is>
          <t>Tibast
Trådticka</t>
        </is>
      </c>
      <c r="S101">
        <f>HYPERLINK("https://klasma.github.io/Logging_2380/artfynd/A 35977-2024 artfynd.xlsx", "A 35977-2024")</f>
        <v/>
      </c>
      <c r="T101">
        <f>HYPERLINK("https://klasma.github.io/Logging_2380/kartor/A 35977-2024 karta.png", "A 35977-2024")</f>
        <v/>
      </c>
      <c r="V101">
        <f>HYPERLINK("https://klasma.github.io/Logging_2380/klagomål/A 35977-2024 FSC-klagomål.docx", "A 35977-2024")</f>
        <v/>
      </c>
      <c r="W101">
        <f>HYPERLINK("https://klasma.github.io/Logging_2380/klagomålsmail/A 35977-2024 FSC-klagomål mail.docx", "A 35977-2024")</f>
        <v/>
      </c>
      <c r="X101">
        <f>HYPERLINK("https://klasma.github.io/Logging_2380/tillsyn/A 35977-2024 tillsynsbegäran.docx", "A 35977-2024")</f>
        <v/>
      </c>
      <c r="Y101">
        <f>HYPERLINK("https://klasma.github.io/Logging_2380/tillsynsmail/A 35977-2024 tillsynsbegäran mail.docx", "A 35977-2024")</f>
        <v/>
      </c>
    </row>
    <row r="102" ht="15" customHeight="1">
      <c r="A102" t="inlineStr">
        <is>
          <t>A 38334-2023</t>
        </is>
      </c>
      <c r="B102" s="1" t="n">
        <v>45161</v>
      </c>
      <c r="C102" s="1" t="n">
        <v>45969</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50125-2024</t>
        </is>
      </c>
      <c r="B103" s="1" t="n">
        <v>45600.42737268518</v>
      </c>
      <c r="C103" s="1" t="n">
        <v>45969</v>
      </c>
      <c r="D103" t="inlineStr">
        <is>
          <t>JÄMTLANDS LÄN</t>
        </is>
      </c>
      <c r="E103" t="inlineStr">
        <is>
          <t>ÖSTERSUND</t>
        </is>
      </c>
      <c r="F103" t="inlineStr">
        <is>
          <t>SCA</t>
        </is>
      </c>
      <c r="G103" t="n">
        <v>2.4</v>
      </c>
      <c r="H103" t="n">
        <v>0</v>
      </c>
      <c r="I103" t="n">
        <v>1</v>
      </c>
      <c r="J103" t="n">
        <v>1</v>
      </c>
      <c r="K103" t="n">
        <v>0</v>
      </c>
      <c r="L103" t="n">
        <v>0</v>
      </c>
      <c r="M103" t="n">
        <v>0</v>
      </c>
      <c r="N103" t="n">
        <v>0</v>
      </c>
      <c r="O103" t="n">
        <v>1</v>
      </c>
      <c r="P103" t="n">
        <v>0</v>
      </c>
      <c r="Q103" t="n">
        <v>2</v>
      </c>
      <c r="R103" s="2" t="inlineStr">
        <is>
          <t>Dvärgbägarlav
Skinnlav</t>
        </is>
      </c>
      <c r="S103">
        <f>HYPERLINK("https://klasma.github.io/Logging_2380/artfynd/A 50125-2024 artfynd.xlsx", "A 50125-2024")</f>
        <v/>
      </c>
      <c r="T103">
        <f>HYPERLINK("https://klasma.github.io/Logging_2380/kartor/A 50125-2024 karta.png", "A 50125-2024")</f>
        <v/>
      </c>
      <c r="V103">
        <f>HYPERLINK("https://klasma.github.io/Logging_2380/klagomål/A 50125-2024 FSC-klagomål.docx", "A 50125-2024")</f>
        <v/>
      </c>
      <c r="W103">
        <f>HYPERLINK("https://klasma.github.io/Logging_2380/klagomålsmail/A 50125-2024 FSC-klagomål mail.docx", "A 50125-2024")</f>
        <v/>
      </c>
      <c r="X103">
        <f>HYPERLINK("https://klasma.github.io/Logging_2380/tillsyn/A 50125-2024 tillsynsbegäran.docx", "A 50125-2024")</f>
        <v/>
      </c>
      <c r="Y103">
        <f>HYPERLINK("https://klasma.github.io/Logging_2380/tillsynsmail/A 50125-2024 tillsynsbegäran mail.docx", "A 50125-2024")</f>
        <v/>
      </c>
    </row>
    <row r="104" ht="15" customHeight="1">
      <c r="A104" t="inlineStr">
        <is>
          <t>A 10529-2025</t>
        </is>
      </c>
      <c r="B104" s="1" t="n">
        <v>45721.44840277778</v>
      </c>
      <c r="C104" s="1" t="n">
        <v>45969</v>
      </c>
      <c r="D104" t="inlineStr">
        <is>
          <t>JÄMTLANDS LÄN</t>
        </is>
      </c>
      <c r="E104" t="inlineStr">
        <is>
          <t>ÖSTERSUND</t>
        </is>
      </c>
      <c r="F104" t="inlineStr">
        <is>
          <t>SCA</t>
        </is>
      </c>
      <c r="G104" t="n">
        <v>1.4</v>
      </c>
      <c r="H104" t="n">
        <v>0</v>
      </c>
      <c r="I104" t="n">
        <v>2</v>
      </c>
      <c r="J104" t="n">
        <v>0</v>
      </c>
      <c r="K104" t="n">
        <v>0</v>
      </c>
      <c r="L104" t="n">
        <v>0</v>
      </c>
      <c r="M104" t="n">
        <v>0</v>
      </c>
      <c r="N104" t="n">
        <v>0</v>
      </c>
      <c r="O104" t="n">
        <v>0</v>
      </c>
      <c r="P104" t="n">
        <v>0</v>
      </c>
      <c r="Q104" t="n">
        <v>2</v>
      </c>
      <c r="R104" s="2" t="inlineStr">
        <is>
          <t>Gräsull
Ögonpyrola</t>
        </is>
      </c>
      <c r="S104">
        <f>HYPERLINK("https://klasma.github.io/Logging_2380/artfynd/A 10529-2025 artfynd.xlsx", "A 10529-2025")</f>
        <v/>
      </c>
      <c r="T104">
        <f>HYPERLINK("https://klasma.github.io/Logging_2380/kartor/A 10529-2025 karta.png", "A 10529-2025")</f>
        <v/>
      </c>
      <c r="V104">
        <f>HYPERLINK("https://klasma.github.io/Logging_2380/klagomål/A 10529-2025 FSC-klagomål.docx", "A 10529-2025")</f>
        <v/>
      </c>
      <c r="W104">
        <f>HYPERLINK("https://klasma.github.io/Logging_2380/klagomålsmail/A 10529-2025 FSC-klagomål mail.docx", "A 10529-2025")</f>
        <v/>
      </c>
      <c r="X104">
        <f>HYPERLINK("https://klasma.github.io/Logging_2380/tillsyn/A 10529-2025 tillsynsbegäran.docx", "A 10529-2025")</f>
        <v/>
      </c>
      <c r="Y104">
        <f>HYPERLINK("https://klasma.github.io/Logging_2380/tillsynsmail/A 10529-2025 tillsynsbegäran mail.docx", "A 10529-2025")</f>
        <v/>
      </c>
    </row>
    <row r="105" ht="15" customHeight="1">
      <c r="A105" t="inlineStr">
        <is>
          <t>A 26612-2025</t>
        </is>
      </c>
      <c r="B105" s="1" t="n">
        <v>45810</v>
      </c>
      <c r="C105" s="1" t="n">
        <v>45969</v>
      </c>
      <c r="D105" t="inlineStr">
        <is>
          <t>JÄMTLANDS LÄN</t>
        </is>
      </c>
      <c r="E105" t="inlineStr">
        <is>
          <t>ÖSTERSUND</t>
        </is>
      </c>
      <c r="G105" t="n">
        <v>20.6</v>
      </c>
      <c r="H105" t="n">
        <v>1</v>
      </c>
      <c r="I105" t="n">
        <v>0</v>
      </c>
      <c r="J105" t="n">
        <v>0</v>
      </c>
      <c r="K105" t="n">
        <v>1</v>
      </c>
      <c r="L105" t="n">
        <v>1</v>
      </c>
      <c r="M105" t="n">
        <v>0</v>
      </c>
      <c r="N105" t="n">
        <v>0</v>
      </c>
      <c r="O105" t="n">
        <v>2</v>
      </c>
      <c r="P105" t="n">
        <v>2</v>
      </c>
      <c r="Q105" t="n">
        <v>2</v>
      </c>
      <c r="R105" s="2" t="inlineStr">
        <is>
          <t>Violett guldvinge
Turkos blåvinge</t>
        </is>
      </c>
      <c r="S105">
        <f>HYPERLINK("https://klasma.github.io/Logging_2380/artfynd/A 26612-2025 artfynd.xlsx", "A 26612-2025")</f>
        <v/>
      </c>
      <c r="T105">
        <f>HYPERLINK("https://klasma.github.io/Logging_2380/kartor/A 26612-2025 karta.png", "A 26612-2025")</f>
        <v/>
      </c>
      <c r="V105">
        <f>HYPERLINK("https://klasma.github.io/Logging_2380/klagomål/A 26612-2025 FSC-klagomål.docx", "A 26612-2025")</f>
        <v/>
      </c>
      <c r="W105">
        <f>HYPERLINK("https://klasma.github.io/Logging_2380/klagomålsmail/A 26612-2025 FSC-klagomål mail.docx", "A 26612-2025")</f>
        <v/>
      </c>
      <c r="X105">
        <f>HYPERLINK("https://klasma.github.io/Logging_2380/tillsyn/A 26612-2025 tillsynsbegäran.docx", "A 26612-2025")</f>
        <v/>
      </c>
      <c r="Y105">
        <f>HYPERLINK("https://klasma.github.io/Logging_2380/tillsynsmail/A 26612-2025 tillsynsbegäran mail.docx", "A 26612-2025")</f>
        <v/>
      </c>
    </row>
    <row r="106" ht="15" customHeight="1">
      <c r="A106" t="inlineStr">
        <is>
          <t>A 56006-2023</t>
        </is>
      </c>
      <c r="B106" s="1" t="n">
        <v>45233</v>
      </c>
      <c r="C106" s="1" t="n">
        <v>45969</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45237-2025</t>
        </is>
      </c>
      <c r="B107" s="1" t="n">
        <v>45919.59467592592</v>
      </c>
      <c r="C107" s="1" t="n">
        <v>45969</v>
      </c>
      <c r="D107" t="inlineStr">
        <is>
          <t>JÄMTLANDS LÄN</t>
        </is>
      </c>
      <c r="E107" t="inlineStr">
        <is>
          <t>ÖSTERSUND</t>
        </is>
      </c>
      <c r="F107" t="inlineStr">
        <is>
          <t>SCA</t>
        </is>
      </c>
      <c r="G107" t="n">
        <v>1.5</v>
      </c>
      <c r="H107" t="n">
        <v>0</v>
      </c>
      <c r="I107" t="n">
        <v>0</v>
      </c>
      <c r="J107" t="n">
        <v>2</v>
      </c>
      <c r="K107" t="n">
        <v>0</v>
      </c>
      <c r="L107" t="n">
        <v>0</v>
      </c>
      <c r="M107" t="n">
        <v>0</v>
      </c>
      <c r="N107" t="n">
        <v>0</v>
      </c>
      <c r="O107" t="n">
        <v>2</v>
      </c>
      <c r="P107" t="n">
        <v>0</v>
      </c>
      <c r="Q107" t="n">
        <v>2</v>
      </c>
      <c r="R107" s="2" t="inlineStr">
        <is>
          <t>Dvärgbägarlav
Mörk kolflarnlav</t>
        </is>
      </c>
      <c r="S107">
        <f>HYPERLINK("https://klasma.github.io/Logging_2380/artfynd/A 45237-2025 artfynd.xlsx", "A 45237-2025")</f>
        <v/>
      </c>
      <c r="T107">
        <f>HYPERLINK("https://klasma.github.io/Logging_2380/kartor/A 45237-2025 karta.png", "A 45237-2025")</f>
        <v/>
      </c>
      <c r="V107">
        <f>HYPERLINK("https://klasma.github.io/Logging_2380/klagomål/A 45237-2025 FSC-klagomål.docx", "A 45237-2025")</f>
        <v/>
      </c>
      <c r="W107">
        <f>HYPERLINK("https://klasma.github.io/Logging_2380/klagomålsmail/A 45237-2025 FSC-klagomål mail.docx", "A 45237-2025")</f>
        <v/>
      </c>
      <c r="X107">
        <f>HYPERLINK("https://klasma.github.io/Logging_2380/tillsyn/A 45237-2025 tillsynsbegäran.docx", "A 45237-2025")</f>
        <v/>
      </c>
      <c r="Y107">
        <f>HYPERLINK("https://klasma.github.io/Logging_2380/tillsynsmail/A 45237-2025 tillsynsbegäran mail.docx", "A 45237-2025")</f>
        <v/>
      </c>
    </row>
    <row r="108" ht="15" customHeight="1">
      <c r="A108" t="inlineStr">
        <is>
          <t>A 54872-2025</t>
        </is>
      </c>
      <c r="B108" s="1" t="n">
        <v>45966.94104166667</v>
      </c>
      <c r="C108" s="1" t="n">
        <v>45969</v>
      </c>
      <c r="D108" t="inlineStr">
        <is>
          <t>JÄMTLANDS LÄN</t>
        </is>
      </c>
      <c r="E108" t="inlineStr">
        <is>
          <t>ÖSTERSUND</t>
        </is>
      </c>
      <c r="G108" t="n">
        <v>2.4</v>
      </c>
      <c r="H108" t="n">
        <v>1</v>
      </c>
      <c r="I108" t="n">
        <v>1</v>
      </c>
      <c r="J108" t="n">
        <v>1</v>
      </c>
      <c r="K108" t="n">
        <v>0</v>
      </c>
      <c r="L108" t="n">
        <v>0</v>
      </c>
      <c r="M108" t="n">
        <v>0</v>
      </c>
      <c r="N108" t="n">
        <v>0</v>
      </c>
      <c r="O108" t="n">
        <v>1</v>
      </c>
      <c r="P108" t="n">
        <v>0</v>
      </c>
      <c r="Q108" t="n">
        <v>2</v>
      </c>
      <c r="R108" s="2" t="inlineStr">
        <is>
          <t>Slåtterfibbla
Korallrot</t>
        </is>
      </c>
      <c r="S108">
        <f>HYPERLINK("https://klasma.github.io/Logging_2380/artfynd/A 54872-2025 artfynd.xlsx", "A 54872-2025")</f>
        <v/>
      </c>
      <c r="T108">
        <f>HYPERLINK("https://klasma.github.io/Logging_2380/kartor/A 54872-2025 karta.png", "A 54872-2025")</f>
        <v/>
      </c>
      <c r="V108">
        <f>HYPERLINK("https://klasma.github.io/Logging_2380/klagomål/A 54872-2025 FSC-klagomål.docx", "A 54872-2025")</f>
        <v/>
      </c>
      <c r="W108">
        <f>HYPERLINK("https://klasma.github.io/Logging_2380/klagomålsmail/A 54872-2025 FSC-klagomål mail.docx", "A 54872-2025")</f>
        <v/>
      </c>
      <c r="X108">
        <f>HYPERLINK("https://klasma.github.io/Logging_2380/tillsyn/A 54872-2025 tillsynsbegäran.docx", "A 54872-2025")</f>
        <v/>
      </c>
      <c r="Y108">
        <f>HYPERLINK("https://klasma.github.io/Logging_2380/tillsynsmail/A 54872-2025 tillsynsbegäran mail.docx", "A 54872-2025")</f>
        <v/>
      </c>
    </row>
    <row r="109" ht="15" customHeight="1">
      <c r="A109" t="inlineStr">
        <is>
          <t>A 33137-2021</t>
        </is>
      </c>
      <c r="B109" s="1" t="n">
        <v>44376</v>
      </c>
      <c r="C109" s="1" t="n">
        <v>45969</v>
      </c>
      <c r="D109" t="inlineStr">
        <is>
          <t>JÄMTLANDS LÄN</t>
        </is>
      </c>
      <c r="E109" t="inlineStr">
        <is>
          <t>ÖSTERSUND</t>
        </is>
      </c>
      <c r="F109" t="inlineStr">
        <is>
          <t>Kommuner</t>
        </is>
      </c>
      <c r="G109" t="n">
        <v>3.7</v>
      </c>
      <c r="H109" t="n">
        <v>1</v>
      </c>
      <c r="I109" t="n">
        <v>1</v>
      </c>
      <c r="J109" t="n">
        <v>0</v>
      </c>
      <c r="K109" t="n">
        <v>0</v>
      </c>
      <c r="L109" t="n">
        <v>0</v>
      </c>
      <c r="M109" t="n">
        <v>0</v>
      </c>
      <c r="N109" t="n">
        <v>0</v>
      </c>
      <c r="O109" t="n">
        <v>0</v>
      </c>
      <c r="P109" t="n">
        <v>0</v>
      </c>
      <c r="Q109" t="n">
        <v>1</v>
      </c>
      <c r="R109" s="2" t="inlineStr">
        <is>
          <t>Guckusko</t>
        </is>
      </c>
      <c r="S109">
        <f>HYPERLINK("https://klasma.github.io/Logging_2380/artfynd/A 33137-2021 artfynd.xlsx", "A 33137-2021")</f>
        <v/>
      </c>
      <c r="T109">
        <f>HYPERLINK("https://klasma.github.io/Logging_2380/kartor/A 33137-2021 karta.png", "A 33137-2021")</f>
        <v/>
      </c>
      <c r="V109">
        <f>HYPERLINK("https://klasma.github.io/Logging_2380/klagomål/A 33137-2021 FSC-klagomål.docx", "A 33137-2021")</f>
        <v/>
      </c>
      <c r="W109">
        <f>HYPERLINK("https://klasma.github.io/Logging_2380/klagomålsmail/A 33137-2021 FSC-klagomål mail.docx", "A 33137-2021")</f>
        <v/>
      </c>
      <c r="X109">
        <f>HYPERLINK("https://klasma.github.io/Logging_2380/tillsyn/A 33137-2021 tillsynsbegäran.docx", "A 33137-2021")</f>
        <v/>
      </c>
      <c r="Y109">
        <f>HYPERLINK("https://klasma.github.io/Logging_2380/tillsynsmail/A 33137-2021 tillsynsbegäran mail.docx", "A 33137-2021")</f>
        <v/>
      </c>
    </row>
    <row r="110" ht="15" customHeight="1">
      <c r="A110" t="inlineStr">
        <is>
          <t>A 10336-2022</t>
        </is>
      </c>
      <c r="B110" s="1" t="n">
        <v>44623</v>
      </c>
      <c r="C110" s="1" t="n">
        <v>45969</v>
      </c>
      <c r="D110" t="inlineStr">
        <is>
          <t>JÄMTLANDS LÄN</t>
        </is>
      </c>
      <c r="E110" t="inlineStr">
        <is>
          <t>ÖSTERSUND</t>
        </is>
      </c>
      <c r="G110" t="n">
        <v>0.9</v>
      </c>
      <c r="H110" t="n">
        <v>0</v>
      </c>
      <c r="I110" t="n">
        <v>1</v>
      </c>
      <c r="J110" t="n">
        <v>0</v>
      </c>
      <c r="K110" t="n">
        <v>0</v>
      </c>
      <c r="L110" t="n">
        <v>0</v>
      </c>
      <c r="M110" t="n">
        <v>0</v>
      </c>
      <c r="N110" t="n">
        <v>0</v>
      </c>
      <c r="O110" t="n">
        <v>0</v>
      </c>
      <c r="P110" t="n">
        <v>0</v>
      </c>
      <c r="Q110" t="n">
        <v>1</v>
      </c>
      <c r="R110" s="2" t="inlineStr">
        <is>
          <t>Underviol</t>
        </is>
      </c>
      <c r="S110">
        <f>HYPERLINK("https://klasma.github.io/Logging_2380/artfynd/A 10336-2022 artfynd.xlsx", "A 10336-2022")</f>
        <v/>
      </c>
      <c r="T110">
        <f>HYPERLINK("https://klasma.github.io/Logging_2380/kartor/A 10336-2022 karta.png", "A 10336-2022")</f>
        <v/>
      </c>
      <c r="V110">
        <f>HYPERLINK("https://klasma.github.io/Logging_2380/klagomål/A 10336-2022 FSC-klagomål.docx", "A 10336-2022")</f>
        <v/>
      </c>
      <c r="W110">
        <f>HYPERLINK("https://klasma.github.io/Logging_2380/klagomålsmail/A 10336-2022 FSC-klagomål mail.docx", "A 10336-2022")</f>
        <v/>
      </c>
      <c r="X110">
        <f>HYPERLINK("https://klasma.github.io/Logging_2380/tillsyn/A 10336-2022 tillsynsbegäran.docx", "A 10336-2022")</f>
        <v/>
      </c>
      <c r="Y110">
        <f>HYPERLINK("https://klasma.github.io/Logging_2380/tillsynsmail/A 10336-2022 tillsynsbegäran mail.docx", "A 10336-2022")</f>
        <v/>
      </c>
    </row>
    <row r="111" ht="15" customHeight="1">
      <c r="A111" t="inlineStr">
        <is>
          <t>A 19798-2022</t>
        </is>
      </c>
      <c r="B111" s="1" t="n">
        <v>44694</v>
      </c>
      <c r="C111" s="1" t="n">
        <v>45969</v>
      </c>
      <c r="D111" t="inlineStr">
        <is>
          <t>JÄMTLANDS LÄN</t>
        </is>
      </c>
      <c r="E111" t="inlineStr">
        <is>
          <t>ÖSTERSUND</t>
        </is>
      </c>
      <c r="F111" t="inlineStr">
        <is>
          <t>SCA</t>
        </is>
      </c>
      <c r="G111" t="n">
        <v>1</v>
      </c>
      <c r="H111" t="n">
        <v>1</v>
      </c>
      <c r="I111" t="n">
        <v>1</v>
      </c>
      <c r="J111" t="n">
        <v>0</v>
      </c>
      <c r="K111" t="n">
        <v>0</v>
      </c>
      <c r="L111" t="n">
        <v>0</v>
      </c>
      <c r="M111" t="n">
        <v>0</v>
      </c>
      <c r="N111" t="n">
        <v>0</v>
      </c>
      <c r="O111" t="n">
        <v>0</v>
      </c>
      <c r="P111" t="n">
        <v>0</v>
      </c>
      <c r="Q111" t="n">
        <v>1</v>
      </c>
      <c r="R111" s="2" t="inlineStr">
        <is>
          <t>Guckusko</t>
        </is>
      </c>
      <c r="S111">
        <f>HYPERLINK("https://klasma.github.io/Logging_2380/artfynd/A 19798-2022 artfynd.xlsx", "A 19798-2022")</f>
        <v/>
      </c>
      <c r="T111">
        <f>HYPERLINK("https://klasma.github.io/Logging_2380/kartor/A 19798-2022 karta.png", "A 19798-2022")</f>
        <v/>
      </c>
      <c r="V111">
        <f>HYPERLINK("https://klasma.github.io/Logging_2380/klagomål/A 19798-2022 FSC-klagomål.docx", "A 19798-2022")</f>
        <v/>
      </c>
      <c r="W111">
        <f>HYPERLINK("https://klasma.github.io/Logging_2380/klagomålsmail/A 19798-2022 FSC-klagomål mail.docx", "A 19798-2022")</f>
        <v/>
      </c>
      <c r="X111">
        <f>HYPERLINK("https://klasma.github.io/Logging_2380/tillsyn/A 19798-2022 tillsynsbegäran.docx", "A 19798-2022")</f>
        <v/>
      </c>
      <c r="Y111">
        <f>HYPERLINK("https://klasma.github.io/Logging_2380/tillsynsmail/A 19798-2022 tillsynsbegäran mail.docx", "A 19798-2022")</f>
        <v/>
      </c>
    </row>
    <row r="112" ht="15" customHeight="1">
      <c r="A112" t="inlineStr">
        <is>
          <t>A 27578-2022</t>
        </is>
      </c>
      <c r="B112" s="1" t="n">
        <v>44742</v>
      </c>
      <c r="C112" s="1" t="n">
        <v>45969</v>
      </c>
      <c r="D112" t="inlineStr">
        <is>
          <t>JÄMTLANDS LÄN</t>
        </is>
      </c>
      <c r="E112" t="inlineStr">
        <is>
          <t>ÖSTERSUND</t>
        </is>
      </c>
      <c r="F112" t="inlineStr">
        <is>
          <t>SCA</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HYPERLINK("https://klasma.github.io/Logging_2380/artfynd/A 27578-2022 artfynd.xlsx", "A 27578-2022")</f>
        <v/>
      </c>
      <c r="T112">
        <f>HYPERLINK("https://klasma.github.io/Logging_2380/kartor/A 27578-2022 karta.png", "A 27578-2022")</f>
        <v/>
      </c>
      <c r="V112">
        <f>HYPERLINK("https://klasma.github.io/Logging_2380/klagomål/A 27578-2022 FSC-klagomål.docx", "A 27578-2022")</f>
        <v/>
      </c>
      <c r="W112">
        <f>HYPERLINK("https://klasma.github.io/Logging_2380/klagomålsmail/A 27578-2022 FSC-klagomål mail.docx", "A 27578-2022")</f>
        <v/>
      </c>
      <c r="X112">
        <f>HYPERLINK("https://klasma.github.io/Logging_2380/tillsyn/A 27578-2022 tillsynsbegäran.docx", "A 27578-2022")</f>
        <v/>
      </c>
      <c r="Y112">
        <f>HYPERLINK("https://klasma.github.io/Logging_2380/tillsynsmail/A 27578-2022 tillsynsbegäran mail.docx", "A 27578-2022")</f>
        <v/>
      </c>
    </row>
    <row r="113" ht="15" customHeight="1">
      <c r="A113" t="inlineStr">
        <is>
          <t>A 59108-2024</t>
        </is>
      </c>
      <c r="B113" s="1" t="n">
        <v>45637.34469907408</v>
      </c>
      <c r="C113" s="1" t="n">
        <v>45969</v>
      </c>
      <c r="D113" t="inlineStr">
        <is>
          <t>JÄMTLANDS LÄN</t>
        </is>
      </c>
      <c r="E113" t="inlineStr">
        <is>
          <t>ÖSTERSUND</t>
        </is>
      </c>
      <c r="F113" t="inlineStr">
        <is>
          <t>SCA</t>
        </is>
      </c>
      <c r="G113" t="n">
        <v>10.6</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59108-2024 artfynd.xlsx", "A 59108-2024")</f>
        <v/>
      </c>
      <c r="T113">
        <f>HYPERLINK("https://klasma.github.io/Logging_2380/kartor/A 59108-2024 karta.png", "A 59108-2024")</f>
        <v/>
      </c>
      <c r="V113">
        <f>HYPERLINK("https://klasma.github.io/Logging_2380/klagomål/A 59108-2024 FSC-klagomål.docx", "A 59108-2024")</f>
        <v/>
      </c>
      <c r="W113">
        <f>HYPERLINK("https://klasma.github.io/Logging_2380/klagomålsmail/A 59108-2024 FSC-klagomål mail.docx", "A 59108-2024")</f>
        <v/>
      </c>
      <c r="X113">
        <f>HYPERLINK("https://klasma.github.io/Logging_2380/tillsyn/A 59108-2024 tillsynsbegäran.docx", "A 59108-2024")</f>
        <v/>
      </c>
      <c r="Y113">
        <f>HYPERLINK("https://klasma.github.io/Logging_2380/tillsynsmail/A 59108-2024 tillsynsbegäran mail.docx", "A 59108-2024")</f>
        <v/>
      </c>
      <c r="Z113">
        <f>HYPERLINK("https://klasma.github.io/Logging_2380/fåglar/A 59108-2024 prioriterade fågelarter.docx", "A 59108-2024")</f>
        <v/>
      </c>
    </row>
    <row r="114" ht="15" customHeight="1">
      <c r="A114" t="inlineStr">
        <is>
          <t>A 33267-2022</t>
        </is>
      </c>
      <c r="B114" s="1" t="n">
        <v>44785</v>
      </c>
      <c r="C114" s="1" t="n">
        <v>45969</v>
      </c>
      <c r="D114" t="inlineStr">
        <is>
          <t>JÄMTLANDS LÄN</t>
        </is>
      </c>
      <c r="E114" t="inlineStr">
        <is>
          <t>ÖSTERSUND</t>
        </is>
      </c>
      <c r="G114" t="n">
        <v>0.9</v>
      </c>
      <c r="H114" t="n">
        <v>1</v>
      </c>
      <c r="I114" t="n">
        <v>0</v>
      </c>
      <c r="J114" t="n">
        <v>1</v>
      </c>
      <c r="K114" t="n">
        <v>0</v>
      </c>
      <c r="L114" t="n">
        <v>0</v>
      </c>
      <c r="M114" t="n">
        <v>0</v>
      </c>
      <c r="N114" t="n">
        <v>0</v>
      </c>
      <c r="O114" t="n">
        <v>1</v>
      </c>
      <c r="P114" t="n">
        <v>0</v>
      </c>
      <c r="Q114" t="n">
        <v>1</v>
      </c>
      <c r="R114" s="2" t="inlineStr">
        <is>
          <t>Talltita</t>
        </is>
      </c>
      <c r="S114">
        <f>HYPERLINK("https://klasma.github.io/Logging_2380/artfynd/A 33267-2022 artfynd.xlsx", "A 33267-2022")</f>
        <v/>
      </c>
      <c r="T114">
        <f>HYPERLINK("https://klasma.github.io/Logging_2380/kartor/A 33267-2022 karta.png", "A 33267-2022")</f>
        <v/>
      </c>
      <c r="V114">
        <f>HYPERLINK("https://klasma.github.io/Logging_2380/klagomål/A 33267-2022 FSC-klagomål.docx", "A 33267-2022")</f>
        <v/>
      </c>
      <c r="W114">
        <f>HYPERLINK("https://klasma.github.io/Logging_2380/klagomålsmail/A 33267-2022 FSC-klagomål mail.docx", "A 33267-2022")</f>
        <v/>
      </c>
      <c r="X114">
        <f>HYPERLINK("https://klasma.github.io/Logging_2380/tillsyn/A 33267-2022 tillsynsbegäran.docx", "A 33267-2022")</f>
        <v/>
      </c>
      <c r="Y114">
        <f>HYPERLINK("https://klasma.github.io/Logging_2380/tillsynsmail/A 33267-2022 tillsynsbegäran mail.docx", "A 33267-2022")</f>
        <v/>
      </c>
      <c r="Z114">
        <f>HYPERLINK("https://klasma.github.io/Logging_2380/fåglar/A 33267-2022 prioriterade fågelarter.docx", "A 33267-2022")</f>
        <v/>
      </c>
    </row>
    <row r="115" ht="15" customHeight="1">
      <c r="A115" t="inlineStr">
        <is>
          <t>A 41279-2024</t>
        </is>
      </c>
      <c r="B115" s="1" t="n">
        <v>45559</v>
      </c>
      <c r="C115" s="1" t="n">
        <v>45969</v>
      </c>
      <c r="D115" t="inlineStr">
        <is>
          <t>JÄMTLANDS LÄN</t>
        </is>
      </c>
      <c r="E115" t="inlineStr">
        <is>
          <t>ÖSTERSUND</t>
        </is>
      </c>
      <c r="F115" t="inlineStr">
        <is>
          <t>SCA</t>
        </is>
      </c>
      <c r="G115" t="n">
        <v>1.6</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41279-2024 artfynd.xlsx", "A 41279-2024")</f>
        <v/>
      </c>
      <c r="T115">
        <f>HYPERLINK("https://klasma.github.io/Logging_2380/kartor/A 41279-2024 karta.png", "A 41279-2024")</f>
        <v/>
      </c>
      <c r="V115">
        <f>HYPERLINK("https://klasma.github.io/Logging_2380/klagomål/A 41279-2024 FSC-klagomål.docx", "A 41279-2024")</f>
        <v/>
      </c>
      <c r="W115">
        <f>HYPERLINK("https://klasma.github.io/Logging_2380/klagomålsmail/A 41279-2024 FSC-klagomål mail.docx", "A 41279-2024")</f>
        <v/>
      </c>
      <c r="X115">
        <f>HYPERLINK("https://klasma.github.io/Logging_2380/tillsyn/A 41279-2024 tillsynsbegäran.docx", "A 41279-2024")</f>
        <v/>
      </c>
      <c r="Y115">
        <f>HYPERLINK("https://klasma.github.io/Logging_2380/tillsynsmail/A 41279-2024 tillsynsbegäran mail.docx", "A 41279-2024")</f>
        <v/>
      </c>
    </row>
    <row r="116" ht="15" customHeight="1">
      <c r="A116" t="inlineStr">
        <is>
          <t>A 58181-2022</t>
        </is>
      </c>
      <c r="B116" s="1" t="n">
        <v>44900</v>
      </c>
      <c r="C116" s="1" t="n">
        <v>45969</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47580-2025</t>
        </is>
      </c>
      <c r="B117" s="1" t="n">
        <v>45931.40935185185</v>
      </c>
      <c r="C117" s="1" t="n">
        <v>45969</v>
      </c>
      <c r="D117" t="inlineStr">
        <is>
          <t>JÄMTLANDS LÄN</t>
        </is>
      </c>
      <c r="E117" t="inlineStr">
        <is>
          <t>ÖSTERSUND</t>
        </is>
      </c>
      <c r="G117" t="n">
        <v>4.1</v>
      </c>
      <c r="H117" t="n">
        <v>1</v>
      </c>
      <c r="I117" t="n">
        <v>0</v>
      </c>
      <c r="J117" t="n">
        <v>0</v>
      </c>
      <c r="K117" t="n">
        <v>0</v>
      </c>
      <c r="L117" t="n">
        <v>0</v>
      </c>
      <c r="M117" t="n">
        <v>0</v>
      </c>
      <c r="N117" t="n">
        <v>0</v>
      </c>
      <c r="O117" t="n">
        <v>0</v>
      </c>
      <c r="P117" t="n">
        <v>0</v>
      </c>
      <c r="Q117" t="n">
        <v>1</v>
      </c>
      <c r="R117" s="2" t="inlineStr">
        <is>
          <t>Revlummer</t>
        </is>
      </c>
      <c r="S117">
        <f>HYPERLINK("https://klasma.github.io/Logging_2380/artfynd/A 47580-2025 artfynd.xlsx", "A 47580-2025")</f>
        <v/>
      </c>
      <c r="T117">
        <f>HYPERLINK("https://klasma.github.io/Logging_2380/kartor/A 47580-2025 karta.png", "A 47580-2025")</f>
        <v/>
      </c>
      <c r="V117">
        <f>HYPERLINK("https://klasma.github.io/Logging_2380/klagomål/A 47580-2025 FSC-klagomål.docx", "A 47580-2025")</f>
        <v/>
      </c>
      <c r="W117">
        <f>HYPERLINK("https://klasma.github.io/Logging_2380/klagomålsmail/A 47580-2025 FSC-klagomål mail.docx", "A 47580-2025")</f>
        <v/>
      </c>
      <c r="X117">
        <f>HYPERLINK("https://klasma.github.io/Logging_2380/tillsyn/A 47580-2025 tillsynsbegäran.docx", "A 47580-2025")</f>
        <v/>
      </c>
      <c r="Y117">
        <f>HYPERLINK("https://klasma.github.io/Logging_2380/tillsynsmail/A 47580-2025 tillsynsbegäran mail.docx", "A 47580-2025")</f>
        <v/>
      </c>
    </row>
    <row r="118" ht="15" customHeight="1">
      <c r="A118" t="inlineStr">
        <is>
          <t>A 57065-2024</t>
        </is>
      </c>
      <c r="B118" s="1" t="n">
        <v>45629.35344907407</v>
      </c>
      <c r="C118" s="1" t="n">
        <v>45969</v>
      </c>
      <c r="D118" t="inlineStr">
        <is>
          <t>JÄMTLANDS LÄN</t>
        </is>
      </c>
      <c r="E118" t="inlineStr">
        <is>
          <t>ÖSTERSUND</t>
        </is>
      </c>
      <c r="F118" t="inlineStr">
        <is>
          <t>SCA</t>
        </is>
      </c>
      <c r="G118" t="n">
        <v>6.3</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57065-2024 artfynd.xlsx", "A 57065-2024")</f>
        <v/>
      </c>
      <c r="T118">
        <f>HYPERLINK("https://klasma.github.io/Logging_2380/kartor/A 57065-2024 karta.png", "A 57065-2024")</f>
        <v/>
      </c>
      <c r="V118">
        <f>HYPERLINK("https://klasma.github.io/Logging_2380/klagomål/A 57065-2024 FSC-klagomål.docx", "A 57065-2024")</f>
        <v/>
      </c>
      <c r="W118">
        <f>HYPERLINK("https://klasma.github.io/Logging_2380/klagomålsmail/A 57065-2024 FSC-klagomål mail.docx", "A 57065-2024")</f>
        <v/>
      </c>
      <c r="X118">
        <f>HYPERLINK("https://klasma.github.io/Logging_2380/tillsyn/A 57065-2024 tillsynsbegäran.docx", "A 57065-2024")</f>
        <v/>
      </c>
      <c r="Y118">
        <f>HYPERLINK("https://klasma.github.io/Logging_2380/tillsynsmail/A 57065-2024 tillsynsbegäran mail.docx", "A 57065-2024")</f>
        <v/>
      </c>
      <c r="Z118">
        <f>HYPERLINK("https://klasma.github.io/Logging_2380/fåglar/A 57065-2024 prioriterade fågelarter.docx", "A 57065-2024")</f>
        <v/>
      </c>
    </row>
    <row r="119" ht="15" customHeight="1">
      <c r="A119" t="inlineStr">
        <is>
          <t>A 46163-2021</t>
        </is>
      </c>
      <c r="B119" s="1" t="n">
        <v>44441</v>
      </c>
      <c r="C119" s="1" t="n">
        <v>45969</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55-2023</t>
        </is>
      </c>
      <c r="B120" s="1" t="n">
        <v>44928</v>
      </c>
      <c r="C120" s="1" t="n">
        <v>45969</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17217-2021</t>
        </is>
      </c>
      <c r="B121" s="1" t="n">
        <v>44298</v>
      </c>
      <c r="C121" s="1" t="n">
        <v>45969</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64380-2023</t>
        </is>
      </c>
      <c r="B122" s="1" t="n">
        <v>45280.56451388889</v>
      </c>
      <c r="C122" s="1" t="n">
        <v>45969</v>
      </c>
      <c r="D122" t="inlineStr">
        <is>
          <t>JÄMTLANDS LÄN</t>
        </is>
      </c>
      <c r="E122" t="inlineStr">
        <is>
          <t>ÖSTERSUND</t>
        </is>
      </c>
      <c r="G122" t="n">
        <v>12.4</v>
      </c>
      <c r="H122" t="n">
        <v>0</v>
      </c>
      <c r="I122" t="n">
        <v>0</v>
      </c>
      <c r="J122" t="n">
        <v>1</v>
      </c>
      <c r="K122" t="n">
        <v>0</v>
      </c>
      <c r="L122" t="n">
        <v>0</v>
      </c>
      <c r="M122" t="n">
        <v>0</v>
      </c>
      <c r="N122" t="n">
        <v>0</v>
      </c>
      <c r="O122" t="n">
        <v>1</v>
      </c>
      <c r="P122" t="n">
        <v>0</v>
      </c>
      <c r="Q122" t="n">
        <v>1</v>
      </c>
      <c r="R122" s="2" t="inlineStr">
        <is>
          <t>Luddfingersvamp</t>
        </is>
      </c>
      <c r="S122">
        <f>HYPERLINK("https://klasma.github.io/Logging_2380/artfynd/A 64380-2023 artfynd.xlsx", "A 64380-2023")</f>
        <v/>
      </c>
      <c r="T122">
        <f>HYPERLINK("https://klasma.github.io/Logging_2380/kartor/A 64380-2023 karta.png", "A 64380-2023")</f>
        <v/>
      </c>
      <c r="V122">
        <f>HYPERLINK("https://klasma.github.io/Logging_2380/klagomål/A 64380-2023 FSC-klagomål.docx", "A 64380-2023")</f>
        <v/>
      </c>
      <c r="W122">
        <f>HYPERLINK("https://klasma.github.io/Logging_2380/klagomålsmail/A 64380-2023 FSC-klagomål mail.docx", "A 64380-2023")</f>
        <v/>
      </c>
      <c r="X122">
        <f>HYPERLINK("https://klasma.github.io/Logging_2380/tillsyn/A 64380-2023 tillsynsbegäran.docx", "A 64380-2023")</f>
        <v/>
      </c>
      <c r="Y122">
        <f>HYPERLINK("https://klasma.github.io/Logging_2380/tillsynsmail/A 64380-2023 tillsynsbegäran mail.docx", "A 64380-2023")</f>
        <v/>
      </c>
    </row>
    <row r="123" ht="15" customHeight="1">
      <c r="A123" t="inlineStr">
        <is>
          <t>A 40692-2024</t>
        </is>
      </c>
      <c r="B123" s="1" t="n">
        <v>45558</v>
      </c>
      <c r="C123" s="1" t="n">
        <v>45969</v>
      </c>
      <c r="D123" t="inlineStr">
        <is>
          <t>JÄMTLANDS LÄN</t>
        </is>
      </c>
      <c r="E123" t="inlineStr">
        <is>
          <t>ÖSTERSUND</t>
        </is>
      </c>
      <c r="F123" t="inlineStr">
        <is>
          <t>SCA</t>
        </is>
      </c>
      <c r="G123" t="n">
        <v>0.9</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40692-2024 artfynd.xlsx", "A 40692-2024")</f>
        <v/>
      </c>
      <c r="T123">
        <f>HYPERLINK("https://klasma.github.io/Logging_2380/kartor/A 40692-2024 karta.png", "A 40692-2024")</f>
        <v/>
      </c>
      <c r="V123">
        <f>HYPERLINK("https://klasma.github.io/Logging_2380/klagomål/A 40692-2024 FSC-klagomål.docx", "A 40692-2024")</f>
        <v/>
      </c>
      <c r="W123">
        <f>HYPERLINK("https://klasma.github.io/Logging_2380/klagomålsmail/A 40692-2024 FSC-klagomål mail.docx", "A 40692-2024")</f>
        <v/>
      </c>
      <c r="X123">
        <f>HYPERLINK("https://klasma.github.io/Logging_2380/tillsyn/A 40692-2024 tillsynsbegäran.docx", "A 40692-2024")</f>
        <v/>
      </c>
      <c r="Y123">
        <f>HYPERLINK("https://klasma.github.io/Logging_2380/tillsynsmail/A 40692-2024 tillsynsbegäran mail.docx", "A 40692-2024")</f>
        <v/>
      </c>
    </row>
    <row r="124" ht="15" customHeight="1">
      <c r="A124" t="inlineStr">
        <is>
          <t>A 63775-2020</t>
        </is>
      </c>
      <c r="B124" s="1" t="n">
        <v>44165</v>
      </c>
      <c r="C124" s="1" t="n">
        <v>45969</v>
      </c>
      <c r="D124" t="inlineStr">
        <is>
          <t>JÄMTLANDS LÄN</t>
        </is>
      </c>
      <c r="E124" t="inlineStr">
        <is>
          <t>ÖSTERSUND</t>
        </is>
      </c>
      <c r="G124" t="n">
        <v>6.2</v>
      </c>
      <c r="H124" t="n">
        <v>1</v>
      </c>
      <c r="I124" t="n">
        <v>0</v>
      </c>
      <c r="J124" t="n">
        <v>0</v>
      </c>
      <c r="K124" t="n">
        <v>0</v>
      </c>
      <c r="L124" t="n">
        <v>0</v>
      </c>
      <c r="M124" t="n">
        <v>0</v>
      </c>
      <c r="N124" t="n">
        <v>0</v>
      </c>
      <c r="O124" t="n">
        <v>0</v>
      </c>
      <c r="P124" t="n">
        <v>0</v>
      </c>
      <c r="Q124" t="n">
        <v>1</v>
      </c>
      <c r="R124" s="2" t="inlineStr">
        <is>
          <t>Fläcknycklar</t>
        </is>
      </c>
      <c r="S124">
        <f>HYPERLINK("https://klasma.github.io/Logging_2380/artfynd/A 63775-2020 artfynd.xlsx", "A 63775-2020")</f>
        <v/>
      </c>
      <c r="T124">
        <f>HYPERLINK("https://klasma.github.io/Logging_2380/kartor/A 63775-2020 karta.png", "A 63775-2020")</f>
        <v/>
      </c>
      <c r="V124">
        <f>HYPERLINK("https://klasma.github.io/Logging_2380/klagomål/A 63775-2020 FSC-klagomål.docx", "A 63775-2020")</f>
        <v/>
      </c>
      <c r="W124">
        <f>HYPERLINK("https://klasma.github.io/Logging_2380/klagomålsmail/A 63775-2020 FSC-klagomål mail.docx", "A 63775-2020")</f>
        <v/>
      </c>
      <c r="X124">
        <f>HYPERLINK("https://klasma.github.io/Logging_2380/tillsyn/A 63775-2020 tillsynsbegäran.docx", "A 63775-2020")</f>
        <v/>
      </c>
      <c r="Y124">
        <f>HYPERLINK("https://klasma.github.io/Logging_2380/tillsynsmail/A 63775-2020 tillsynsbegäran mail.docx", "A 63775-2020")</f>
        <v/>
      </c>
    </row>
    <row r="125" ht="15" customHeight="1">
      <c r="A125" t="inlineStr">
        <is>
          <t>A 43883-2024</t>
        </is>
      </c>
      <c r="B125" s="1" t="n">
        <v>45570</v>
      </c>
      <c r="C125" s="1" t="n">
        <v>45969</v>
      </c>
      <c r="D125" t="inlineStr">
        <is>
          <t>JÄMTLANDS LÄN</t>
        </is>
      </c>
      <c r="E125" t="inlineStr">
        <is>
          <t>ÖSTERSUND</t>
        </is>
      </c>
      <c r="G125" t="n">
        <v>3.8</v>
      </c>
      <c r="H125" t="n">
        <v>0</v>
      </c>
      <c r="I125" t="n">
        <v>0</v>
      </c>
      <c r="J125" t="n">
        <v>0</v>
      </c>
      <c r="K125" t="n">
        <v>1</v>
      </c>
      <c r="L125" t="n">
        <v>0</v>
      </c>
      <c r="M125" t="n">
        <v>0</v>
      </c>
      <c r="N125" t="n">
        <v>0</v>
      </c>
      <c r="O125" t="n">
        <v>1</v>
      </c>
      <c r="P125" t="n">
        <v>1</v>
      </c>
      <c r="Q125" t="n">
        <v>1</v>
      </c>
      <c r="R125" s="2" t="inlineStr">
        <is>
          <t>Frösöstarr</t>
        </is>
      </c>
      <c r="S125">
        <f>HYPERLINK("https://klasma.github.io/Logging_2380/artfynd/A 43883-2024 artfynd.xlsx", "A 43883-2024")</f>
        <v/>
      </c>
      <c r="T125">
        <f>HYPERLINK("https://klasma.github.io/Logging_2380/kartor/A 43883-2024 karta.png", "A 43883-2024")</f>
        <v/>
      </c>
      <c r="V125">
        <f>HYPERLINK("https://klasma.github.io/Logging_2380/klagomål/A 43883-2024 FSC-klagomål.docx", "A 43883-2024")</f>
        <v/>
      </c>
      <c r="W125">
        <f>HYPERLINK("https://klasma.github.io/Logging_2380/klagomålsmail/A 43883-2024 FSC-klagomål mail.docx", "A 43883-2024")</f>
        <v/>
      </c>
      <c r="X125">
        <f>HYPERLINK("https://klasma.github.io/Logging_2380/tillsyn/A 43883-2024 tillsynsbegäran.docx", "A 43883-2024")</f>
        <v/>
      </c>
      <c r="Y125">
        <f>HYPERLINK("https://klasma.github.io/Logging_2380/tillsynsmail/A 43883-2024 tillsynsbegäran mail.docx", "A 43883-2024")</f>
        <v/>
      </c>
    </row>
    <row r="126" ht="15" customHeight="1">
      <c r="A126" t="inlineStr">
        <is>
          <t>A 28980-2023</t>
        </is>
      </c>
      <c r="B126" s="1" t="n">
        <v>45096</v>
      </c>
      <c r="C126" s="1" t="n">
        <v>45969</v>
      </c>
      <c r="D126" t="inlineStr">
        <is>
          <t>JÄMTLANDS LÄN</t>
        </is>
      </c>
      <c r="E126" t="inlineStr">
        <is>
          <t>ÖSTERSUND</t>
        </is>
      </c>
      <c r="G126" t="n">
        <v>2.7</v>
      </c>
      <c r="H126" t="n">
        <v>0</v>
      </c>
      <c r="I126" t="n">
        <v>1</v>
      </c>
      <c r="J126" t="n">
        <v>0</v>
      </c>
      <c r="K126" t="n">
        <v>0</v>
      </c>
      <c r="L126" t="n">
        <v>0</v>
      </c>
      <c r="M126" t="n">
        <v>0</v>
      </c>
      <c r="N126" t="n">
        <v>0</v>
      </c>
      <c r="O126" t="n">
        <v>0</v>
      </c>
      <c r="P126" t="n">
        <v>0</v>
      </c>
      <c r="Q126" t="n">
        <v>1</v>
      </c>
      <c r="R126" s="2" t="inlineStr">
        <is>
          <t>Finbräken</t>
        </is>
      </c>
      <c r="S126">
        <f>HYPERLINK("https://klasma.github.io/Logging_2380/artfynd/A 28980-2023 artfynd.xlsx", "A 28980-2023")</f>
        <v/>
      </c>
      <c r="T126">
        <f>HYPERLINK("https://klasma.github.io/Logging_2380/kartor/A 28980-2023 karta.png", "A 28980-2023")</f>
        <v/>
      </c>
      <c r="V126">
        <f>HYPERLINK("https://klasma.github.io/Logging_2380/klagomål/A 28980-2023 FSC-klagomål.docx", "A 28980-2023")</f>
        <v/>
      </c>
      <c r="W126">
        <f>HYPERLINK("https://klasma.github.io/Logging_2380/klagomålsmail/A 28980-2023 FSC-klagomål mail.docx", "A 28980-2023")</f>
        <v/>
      </c>
      <c r="X126">
        <f>HYPERLINK("https://klasma.github.io/Logging_2380/tillsyn/A 28980-2023 tillsynsbegäran.docx", "A 28980-2023")</f>
        <v/>
      </c>
      <c r="Y126">
        <f>HYPERLINK("https://klasma.github.io/Logging_2380/tillsynsmail/A 28980-2023 tillsynsbegäran mail.docx", "A 28980-2023")</f>
        <v/>
      </c>
    </row>
    <row r="127" ht="15" customHeight="1">
      <c r="A127" t="inlineStr">
        <is>
          <t>A 40696-2024</t>
        </is>
      </c>
      <c r="B127" s="1" t="n">
        <v>45558</v>
      </c>
      <c r="C127" s="1" t="n">
        <v>45969</v>
      </c>
      <c r="D127" t="inlineStr">
        <is>
          <t>JÄMTLANDS LÄN</t>
        </is>
      </c>
      <c r="E127" t="inlineStr">
        <is>
          <t>ÖSTERSUND</t>
        </is>
      </c>
      <c r="F127" t="inlineStr">
        <is>
          <t>SCA</t>
        </is>
      </c>
      <c r="G127" t="n">
        <v>2.7</v>
      </c>
      <c r="H127" t="n">
        <v>0</v>
      </c>
      <c r="I127" t="n">
        <v>0</v>
      </c>
      <c r="J127" t="n">
        <v>1</v>
      </c>
      <c r="K127" t="n">
        <v>0</v>
      </c>
      <c r="L127" t="n">
        <v>0</v>
      </c>
      <c r="M127" t="n">
        <v>0</v>
      </c>
      <c r="N127" t="n">
        <v>0</v>
      </c>
      <c r="O127" t="n">
        <v>1</v>
      </c>
      <c r="P127" t="n">
        <v>0</v>
      </c>
      <c r="Q127" t="n">
        <v>1</v>
      </c>
      <c r="R127" s="2" t="inlineStr">
        <is>
          <t>Lunglav</t>
        </is>
      </c>
      <c r="S127">
        <f>HYPERLINK("https://klasma.github.io/Logging_2380/artfynd/A 40696-2024 artfynd.xlsx", "A 40696-2024")</f>
        <v/>
      </c>
      <c r="T127">
        <f>HYPERLINK("https://klasma.github.io/Logging_2380/kartor/A 40696-2024 karta.png", "A 40696-2024")</f>
        <v/>
      </c>
      <c r="V127">
        <f>HYPERLINK("https://klasma.github.io/Logging_2380/klagomål/A 40696-2024 FSC-klagomål.docx", "A 40696-2024")</f>
        <v/>
      </c>
      <c r="W127">
        <f>HYPERLINK("https://klasma.github.io/Logging_2380/klagomålsmail/A 40696-2024 FSC-klagomål mail.docx", "A 40696-2024")</f>
        <v/>
      </c>
      <c r="X127">
        <f>HYPERLINK("https://klasma.github.io/Logging_2380/tillsyn/A 40696-2024 tillsynsbegäran.docx", "A 40696-2024")</f>
        <v/>
      </c>
      <c r="Y127">
        <f>HYPERLINK("https://klasma.github.io/Logging_2380/tillsynsmail/A 40696-2024 tillsynsbegäran mail.docx", "A 40696-2024")</f>
        <v/>
      </c>
    </row>
    <row r="128" ht="15" customHeight="1">
      <c r="A128" t="inlineStr">
        <is>
          <t>A 59433-2021</t>
        </is>
      </c>
      <c r="B128" s="1" t="n">
        <v>44491</v>
      </c>
      <c r="C128" s="1" t="n">
        <v>45969</v>
      </c>
      <c r="D128" t="inlineStr">
        <is>
          <t>JÄMTLANDS LÄN</t>
        </is>
      </c>
      <c r="E128" t="inlineStr">
        <is>
          <t>ÖSTERSUND</t>
        </is>
      </c>
      <c r="F128" t="inlineStr">
        <is>
          <t>Övriga statliga verk och myndigheter</t>
        </is>
      </c>
      <c r="G128" t="n">
        <v>1.6</v>
      </c>
      <c r="H128" t="n">
        <v>0</v>
      </c>
      <c r="I128" t="n">
        <v>0</v>
      </c>
      <c r="J128" t="n">
        <v>1</v>
      </c>
      <c r="K128" t="n">
        <v>0</v>
      </c>
      <c r="L128" t="n">
        <v>0</v>
      </c>
      <c r="M128" t="n">
        <v>0</v>
      </c>
      <c r="N128" t="n">
        <v>0</v>
      </c>
      <c r="O128" t="n">
        <v>1</v>
      </c>
      <c r="P128" t="n">
        <v>0</v>
      </c>
      <c r="Q128" t="n">
        <v>1</v>
      </c>
      <c r="R128" s="2" t="inlineStr">
        <is>
          <t>Brunpudrad nållav</t>
        </is>
      </c>
      <c r="S128">
        <f>HYPERLINK("https://klasma.github.io/Logging_2380/artfynd/A 59433-2021 artfynd.xlsx", "A 59433-2021")</f>
        <v/>
      </c>
      <c r="T128">
        <f>HYPERLINK("https://klasma.github.io/Logging_2380/kartor/A 59433-2021 karta.png", "A 59433-2021")</f>
        <v/>
      </c>
      <c r="V128">
        <f>HYPERLINK("https://klasma.github.io/Logging_2380/klagomål/A 59433-2021 FSC-klagomål.docx", "A 59433-2021")</f>
        <v/>
      </c>
      <c r="W128">
        <f>HYPERLINK("https://klasma.github.io/Logging_2380/klagomålsmail/A 59433-2021 FSC-klagomål mail.docx", "A 59433-2021")</f>
        <v/>
      </c>
      <c r="X128">
        <f>HYPERLINK("https://klasma.github.io/Logging_2380/tillsyn/A 59433-2021 tillsynsbegäran.docx", "A 59433-2021")</f>
        <v/>
      </c>
      <c r="Y128">
        <f>HYPERLINK("https://klasma.github.io/Logging_2380/tillsynsmail/A 59433-2021 tillsynsbegäran mail.docx", "A 59433-2021")</f>
        <v/>
      </c>
    </row>
    <row r="129" ht="15" customHeight="1">
      <c r="A129" t="inlineStr">
        <is>
          <t>A 41312-2024</t>
        </is>
      </c>
      <c r="B129" s="1" t="n">
        <v>45559.63584490741</v>
      </c>
      <c r="C129" s="1" t="n">
        <v>45969</v>
      </c>
      <c r="D129" t="inlineStr">
        <is>
          <t>JÄMTLANDS LÄN</t>
        </is>
      </c>
      <c r="E129" t="inlineStr">
        <is>
          <t>ÖSTERSUND</t>
        </is>
      </c>
      <c r="F129" t="inlineStr">
        <is>
          <t>SCA</t>
        </is>
      </c>
      <c r="G129" t="n">
        <v>2.6</v>
      </c>
      <c r="H129" t="n">
        <v>0</v>
      </c>
      <c r="I129" t="n">
        <v>0</v>
      </c>
      <c r="J129" t="n">
        <v>1</v>
      </c>
      <c r="K129" t="n">
        <v>0</v>
      </c>
      <c r="L129" t="n">
        <v>0</v>
      </c>
      <c r="M129" t="n">
        <v>0</v>
      </c>
      <c r="N129" t="n">
        <v>0</v>
      </c>
      <c r="O129" t="n">
        <v>1</v>
      </c>
      <c r="P129" t="n">
        <v>0</v>
      </c>
      <c r="Q129" t="n">
        <v>1</v>
      </c>
      <c r="R129" s="2" t="inlineStr">
        <is>
          <t>Dvärgbägarlav</t>
        </is>
      </c>
      <c r="S129">
        <f>HYPERLINK("https://klasma.github.io/Logging_2380/artfynd/A 41312-2024 artfynd.xlsx", "A 41312-2024")</f>
        <v/>
      </c>
      <c r="T129">
        <f>HYPERLINK("https://klasma.github.io/Logging_2380/kartor/A 41312-2024 karta.png", "A 41312-2024")</f>
        <v/>
      </c>
      <c r="V129">
        <f>HYPERLINK("https://klasma.github.io/Logging_2380/klagomål/A 41312-2024 FSC-klagomål.docx", "A 41312-2024")</f>
        <v/>
      </c>
      <c r="W129">
        <f>HYPERLINK("https://klasma.github.io/Logging_2380/klagomålsmail/A 41312-2024 FSC-klagomål mail.docx", "A 41312-2024")</f>
        <v/>
      </c>
      <c r="X129">
        <f>HYPERLINK("https://klasma.github.io/Logging_2380/tillsyn/A 41312-2024 tillsynsbegäran.docx", "A 41312-2024")</f>
        <v/>
      </c>
      <c r="Y129">
        <f>HYPERLINK("https://klasma.github.io/Logging_2380/tillsynsmail/A 41312-2024 tillsynsbegäran mail.docx", "A 41312-2024")</f>
        <v/>
      </c>
    </row>
    <row r="130" ht="15" customHeight="1">
      <c r="A130" t="inlineStr">
        <is>
          <t>A 31883-2024</t>
        </is>
      </c>
      <c r="B130" s="1" t="n">
        <v>45509.9572800926</v>
      </c>
      <c r="C130" s="1" t="n">
        <v>45969</v>
      </c>
      <c r="D130" t="inlineStr">
        <is>
          <t>JÄMTLANDS LÄN</t>
        </is>
      </c>
      <c r="E130" t="inlineStr">
        <is>
          <t>ÖSTERSUND</t>
        </is>
      </c>
      <c r="F130" t="inlineStr">
        <is>
          <t>SCA</t>
        </is>
      </c>
      <c r="G130" t="n">
        <v>3.3</v>
      </c>
      <c r="H130" t="n">
        <v>1</v>
      </c>
      <c r="I130" t="n">
        <v>0</v>
      </c>
      <c r="J130" t="n">
        <v>0</v>
      </c>
      <c r="K130" t="n">
        <v>1</v>
      </c>
      <c r="L130" t="n">
        <v>0</v>
      </c>
      <c r="M130" t="n">
        <v>0</v>
      </c>
      <c r="N130" t="n">
        <v>0</v>
      </c>
      <c r="O130" t="n">
        <v>1</v>
      </c>
      <c r="P130" t="n">
        <v>1</v>
      </c>
      <c r="Q130" t="n">
        <v>1</v>
      </c>
      <c r="R130" s="2" t="inlineStr">
        <is>
          <t>Doftticka</t>
        </is>
      </c>
      <c r="S130">
        <f>HYPERLINK("https://klasma.github.io/Logging_2380/artfynd/A 31883-2024 artfynd.xlsx", "A 31883-2024")</f>
        <v/>
      </c>
      <c r="T130">
        <f>HYPERLINK("https://klasma.github.io/Logging_2380/kartor/A 31883-2024 karta.png", "A 31883-2024")</f>
        <v/>
      </c>
      <c r="V130">
        <f>HYPERLINK("https://klasma.github.io/Logging_2380/klagomål/A 31883-2024 FSC-klagomål.docx", "A 31883-2024")</f>
        <v/>
      </c>
      <c r="W130">
        <f>HYPERLINK("https://klasma.github.io/Logging_2380/klagomålsmail/A 31883-2024 FSC-klagomål mail.docx", "A 31883-2024")</f>
        <v/>
      </c>
      <c r="X130">
        <f>HYPERLINK("https://klasma.github.io/Logging_2380/tillsyn/A 31883-2024 tillsynsbegäran.docx", "A 31883-2024")</f>
        <v/>
      </c>
      <c r="Y130">
        <f>HYPERLINK("https://klasma.github.io/Logging_2380/tillsynsmail/A 31883-2024 tillsynsbegäran mail.docx", "A 31883-2024")</f>
        <v/>
      </c>
    </row>
    <row r="131" ht="15" customHeight="1">
      <c r="A131" t="inlineStr">
        <is>
          <t>A 56201-2024</t>
        </is>
      </c>
      <c r="B131" s="1" t="n">
        <v>45624.59462962963</v>
      </c>
      <c r="C131" s="1" t="n">
        <v>45969</v>
      </c>
      <c r="D131" t="inlineStr">
        <is>
          <t>JÄMTLANDS LÄN</t>
        </is>
      </c>
      <c r="E131" t="inlineStr">
        <is>
          <t>ÖSTERSUND</t>
        </is>
      </c>
      <c r="F131" t="inlineStr">
        <is>
          <t>SCA</t>
        </is>
      </c>
      <c r="G131" t="n">
        <v>5.9</v>
      </c>
      <c r="H131" t="n">
        <v>1</v>
      </c>
      <c r="I131" t="n">
        <v>0</v>
      </c>
      <c r="J131" t="n">
        <v>0</v>
      </c>
      <c r="K131" t="n">
        <v>1</v>
      </c>
      <c r="L131" t="n">
        <v>0</v>
      </c>
      <c r="M131" t="n">
        <v>0</v>
      </c>
      <c r="N131" t="n">
        <v>0</v>
      </c>
      <c r="O131" t="n">
        <v>1</v>
      </c>
      <c r="P131" t="n">
        <v>1</v>
      </c>
      <c r="Q131" t="n">
        <v>1</v>
      </c>
      <c r="R131" s="2" t="inlineStr">
        <is>
          <t>Doftticka</t>
        </is>
      </c>
      <c r="S131">
        <f>HYPERLINK("https://klasma.github.io/Logging_2380/artfynd/A 56201-2024 artfynd.xlsx", "A 56201-2024")</f>
        <v/>
      </c>
      <c r="T131">
        <f>HYPERLINK("https://klasma.github.io/Logging_2380/kartor/A 56201-2024 karta.png", "A 56201-2024")</f>
        <v/>
      </c>
      <c r="V131">
        <f>HYPERLINK("https://klasma.github.io/Logging_2380/klagomål/A 56201-2024 FSC-klagomål.docx", "A 56201-2024")</f>
        <v/>
      </c>
      <c r="W131">
        <f>HYPERLINK("https://klasma.github.io/Logging_2380/klagomålsmail/A 56201-2024 FSC-klagomål mail.docx", "A 56201-2024")</f>
        <v/>
      </c>
      <c r="X131">
        <f>HYPERLINK("https://klasma.github.io/Logging_2380/tillsyn/A 56201-2024 tillsynsbegäran.docx", "A 56201-2024")</f>
        <v/>
      </c>
      <c r="Y131">
        <f>HYPERLINK("https://klasma.github.io/Logging_2380/tillsynsmail/A 56201-2024 tillsynsbegäran mail.docx", "A 56201-2024")</f>
        <v/>
      </c>
    </row>
    <row r="132" ht="15" customHeight="1">
      <c r="A132" t="inlineStr">
        <is>
          <t>A 55821-2021</t>
        </is>
      </c>
      <c r="B132" s="1" t="n">
        <v>44476</v>
      </c>
      <c r="C132" s="1" t="n">
        <v>45969</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54354-2024</t>
        </is>
      </c>
      <c r="B133" s="1" t="n">
        <v>45617.40244212963</v>
      </c>
      <c r="C133" s="1" t="n">
        <v>45969</v>
      </c>
      <c r="D133" t="inlineStr">
        <is>
          <t>JÄMTLANDS LÄN</t>
        </is>
      </c>
      <c r="E133" t="inlineStr">
        <is>
          <t>ÖSTERSUND</t>
        </is>
      </c>
      <c r="G133" t="n">
        <v>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54354-2024 artfynd.xlsx", "A 54354-2024")</f>
        <v/>
      </c>
      <c r="T133">
        <f>HYPERLINK("https://klasma.github.io/Logging_2380/kartor/A 54354-2024 karta.png", "A 54354-2024")</f>
        <v/>
      </c>
      <c r="V133">
        <f>HYPERLINK("https://klasma.github.io/Logging_2380/klagomål/A 54354-2024 FSC-klagomål.docx", "A 54354-2024")</f>
        <v/>
      </c>
      <c r="W133">
        <f>HYPERLINK("https://klasma.github.io/Logging_2380/klagomålsmail/A 54354-2024 FSC-klagomål mail.docx", "A 54354-2024")</f>
        <v/>
      </c>
      <c r="X133">
        <f>HYPERLINK("https://klasma.github.io/Logging_2380/tillsyn/A 54354-2024 tillsynsbegäran.docx", "A 54354-2024")</f>
        <v/>
      </c>
      <c r="Y133">
        <f>HYPERLINK("https://klasma.github.io/Logging_2380/tillsynsmail/A 54354-2024 tillsynsbegäran mail.docx", "A 54354-2024")</f>
        <v/>
      </c>
      <c r="Z133">
        <f>HYPERLINK("https://klasma.github.io/Logging_2380/fåglar/A 54354-2024 prioriterade fågelarter.docx", "A 54354-2024")</f>
        <v/>
      </c>
    </row>
    <row r="134" ht="15" customHeight="1">
      <c r="A134" t="inlineStr">
        <is>
          <t>A 40781-2025</t>
        </is>
      </c>
      <c r="B134" s="1" t="n">
        <v>45897</v>
      </c>
      <c r="C134" s="1" t="n">
        <v>45969</v>
      </c>
      <c r="D134" t="inlineStr">
        <is>
          <t>JÄMTLANDS LÄN</t>
        </is>
      </c>
      <c r="E134" t="inlineStr">
        <is>
          <t>ÖSTERSUND</t>
        </is>
      </c>
      <c r="F134" t="inlineStr">
        <is>
          <t>Övriga Aktiebolag</t>
        </is>
      </c>
      <c r="G134" t="n">
        <v>2.2</v>
      </c>
      <c r="H134" t="n">
        <v>1</v>
      </c>
      <c r="I134" t="n">
        <v>0</v>
      </c>
      <c r="J134" t="n">
        <v>0</v>
      </c>
      <c r="K134" t="n">
        <v>0</v>
      </c>
      <c r="L134" t="n">
        <v>0</v>
      </c>
      <c r="M134" t="n">
        <v>0</v>
      </c>
      <c r="N134" t="n">
        <v>0</v>
      </c>
      <c r="O134" t="n">
        <v>0</v>
      </c>
      <c r="P134" t="n">
        <v>0</v>
      </c>
      <c r="Q134" t="n">
        <v>1</v>
      </c>
      <c r="R134" s="2" t="inlineStr">
        <is>
          <t>Blåsippa</t>
        </is>
      </c>
      <c r="S134">
        <f>HYPERLINK("https://klasma.github.io/Logging_2380/artfynd/A 40781-2025 artfynd.xlsx", "A 40781-2025")</f>
        <v/>
      </c>
      <c r="T134">
        <f>HYPERLINK("https://klasma.github.io/Logging_2380/kartor/A 40781-2025 karta.png", "A 40781-2025")</f>
        <v/>
      </c>
      <c r="V134">
        <f>HYPERLINK("https://klasma.github.io/Logging_2380/klagomål/A 40781-2025 FSC-klagomål.docx", "A 40781-2025")</f>
        <v/>
      </c>
      <c r="W134">
        <f>HYPERLINK("https://klasma.github.io/Logging_2380/klagomålsmail/A 40781-2025 FSC-klagomål mail.docx", "A 40781-2025")</f>
        <v/>
      </c>
      <c r="X134">
        <f>HYPERLINK("https://klasma.github.io/Logging_2380/tillsyn/A 40781-2025 tillsynsbegäran.docx", "A 40781-2025")</f>
        <v/>
      </c>
      <c r="Y134">
        <f>HYPERLINK("https://klasma.github.io/Logging_2380/tillsynsmail/A 40781-2025 tillsynsbegäran mail.docx", "A 40781-2025")</f>
        <v/>
      </c>
    </row>
    <row r="135" ht="15" customHeight="1">
      <c r="A135" t="inlineStr">
        <is>
          <t>A 44049-2024</t>
        </is>
      </c>
      <c r="B135" s="1" t="n">
        <v>45572.59462962963</v>
      </c>
      <c r="C135" s="1" t="n">
        <v>45969</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40694-2024</t>
        </is>
      </c>
      <c r="B136" s="1" t="n">
        <v>45558</v>
      </c>
      <c r="C136" s="1" t="n">
        <v>45969</v>
      </c>
      <c r="D136" t="inlineStr">
        <is>
          <t>JÄMTLANDS LÄN</t>
        </is>
      </c>
      <c r="E136" t="inlineStr">
        <is>
          <t>ÖSTERSUND</t>
        </is>
      </c>
      <c r="F136" t="inlineStr">
        <is>
          <t>SCA</t>
        </is>
      </c>
      <c r="G136" t="n">
        <v>6.2</v>
      </c>
      <c r="H136" t="n">
        <v>0</v>
      </c>
      <c r="I136" t="n">
        <v>0</v>
      </c>
      <c r="J136" t="n">
        <v>1</v>
      </c>
      <c r="K136" t="n">
        <v>0</v>
      </c>
      <c r="L136" t="n">
        <v>0</v>
      </c>
      <c r="M136" t="n">
        <v>0</v>
      </c>
      <c r="N136" t="n">
        <v>0</v>
      </c>
      <c r="O136" t="n">
        <v>1</v>
      </c>
      <c r="P136" t="n">
        <v>0</v>
      </c>
      <c r="Q136" t="n">
        <v>1</v>
      </c>
      <c r="R136" s="2" t="inlineStr">
        <is>
          <t>Reliktbock</t>
        </is>
      </c>
      <c r="S136">
        <f>HYPERLINK("https://klasma.github.io/Logging_2380/artfynd/A 40694-2024 artfynd.xlsx", "A 40694-2024")</f>
        <v/>
      </c>
      <c r="T136">
        <f>HYPERLINK("https://klasma.github.io/Logging_2380/kartor/A 40694-2024 karta.png", "A 40694-2024")</f>
        <v/>
      </c>
      <c r="V136">
        <f>HYPERLINK("https://klasma.github.io/Logging_2380/klagomål/A 40694-2024 FSC-klagomål.docx", "A 40694-2024")</f>
        <v/>
      </c>
      <c r="W136">
        <f>HYPERLINK("https://klasma.github.io/Logging_2380/klagomålsmail/A 40694-2024 FSC-klagomål mail.docx", "A 40694-2024")</f>
        <v/>
      </c>
      <c r="X136">
        <f>HYPERLINK("https://klasma.github.io/Logging_2380/tillsyn/A 40694-2024 tillsynsbegäran.docx", "A 40694-2024")</f>
        <v/>
      </c>
      <c r="Y136">
        <f>HYPERLINK("https://klasma.github.io/Logging_2380/tillsynsmail/A 40694-2024 tillsynsbegäran mail.docx", "A 40694-2024")</f>
        <v/>
      </c>
    </row>
    <row r="137" ht="15" customHeight="1">
      <c r="A137" t="inlineStr">
        <is>
          <t>A 43188-2025</t>
        </is>
      </c>
      <c r="B137" s="1" t="n">
        <v>45910.41201388889</v>
      </c>
      <c r="C137" s="1" t="n">
        <v>45969</v>
      </c>
      <c r="D137" t="inlineStr">
        <is>
          <t>JÄMTLANDS LÄN</t>
        </is>
      </c>
      <c r="E137" t="inlineStr">
        <is>
          <t>ÖSTERSUND</t>
        </is>
      </c>
      <c r="G137" t="n">
        <v>8.6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43188-2025 artfynd.xlsx", "A 43188-2025")</f>
        <v/>
      </c>
      <c r="T137">
        <f>HYPERLINK("https://klasma.github.io/Logging_2380/kartor/A 43188-2025 karta.png", "A 43188-2025")</f>
        <v/>
      </c>
      <c r="V137">
        <f>HYPERLINK("https://klasma.github.io/Logging_2380/klagomål/A 43188-2025 FSC-klagomål.docx", "A 43188-2025")</f>
        <v/>
      </c>
      <c r="W137">
        <f>HYPERLINK("https://klasma.github.io/Logging_2380/klagomålsmail/A 43188-2025 FSC-klagomål mail.docx", "A 43188-2025")</f>
        <v/>
      </c>
      <c r="X137">
        <f>HYPERLINK("https://klasma.github.io/Logging_2380/tillsyn/A 43188-2025 tillsynsbegäran.docx", "A 43188-2025")</f>
        <v/>
      </c>
      <c r="Y137">
        <f>HYPERLINK("https://klasma.github.io/Logging_2380/tillsynsmail/A 43188-2025 tillsynsbegäran mail.docx", "A 43188-2025")</f>
        <v/>
      </c>
      <c r="Z137">
        <f>HYPERLINK("https://klasma.github.io/Logging_2380/fåglar/A 43188-2025 prioriterade fågelarter.docx", "A 43188-2025")</f>
        <v/>
      </c>
    </row>
    <row r="138" ht="15" customHeight="1">
      <c r="A138" t="inlineStr">
        <is>
          <t>A 9739-2022</t>
        </is>
      </c>
      <c r="B138" s="1" t="n">
        <v>44617</v>
      </c>
      <c r="C138" s="1" t="n">
        <v>45969</v>
      </c>
      <c r="D138" t="inlineStr">
        <is>
          <t>JÄMTLANDS LÄN</t>
        </is>
      </c>
      <c r="E138" t="inlineStr">
        <is>
          <t>ÖSTERSUND</t>
        </is>
      </c>
      <c r="F138" t="inlineStr">
        <is>
          <t>SCA</t>
        </is>
      </c>
      <c r="G138" t="n">
        <v>13.5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53300-2025</t>
        </is>
      </c>
      <c r="B139" s="1" t="n">
        <v>45959.32394675926</v>
      </c>
      <c r="C139" s="1" t="n">
        <v>45969</v>
      </c>
      <c r="D139" t="inlineStr">
        <is>
          <t>JÄMTLANDS LÄN</t>
        </is>
      </c>
      <c r="E139" t="inlineStr">
        <is>
          <t>ÖSTERSUND</t>
        </is>
      </c>
      <c r="F139" t="inlineStr">
        <is>
          <t>Sveaskog</t>
        </is>
      </c>
      <c r="G139" t="n">
        <v>12.2</v>
      </c>
      <c r="H139" t="n">
        <v>0</v>
      </c>
      <c r="I139" t="n">
        <v>1</v>
      </c>
      <c r="J139" t="n">
        <v>0</v>
      </c>
      <c r="K139" t="n">
        <v>0</v>
      </c>
      <c r="L139" t="n">
        <v>0</v>
      </c>
      <c r="M139" t="n">
        <v>0</v>
      </c>
      <c r="N139" t="n">
        <v>0</v>
      </c>
      <c r="O139" t="n">
        <v>0</v>
      </c>
      <c r="P139" t="n">
        <v>0</v>
      </c>
      <c r="Q139" t="n">
        <v>1</v>
      </c>
      <c r="R139" s="2" t="inlineStr">
        <is>
          <t>Rödgul trumpetsvamp</t>
        </is>
      </c>
      <c r="S139">
        <f>HYPERLINK("https://klasma.github.io/Logging_2380/artfynd/A 53300-2025 artfynd.xlsx", "A 53300-2025")</f>
        <v/>
      </c>
      <c r="T139">
        <f>HYPERLINK("https://klasma.github.io/Logging_2380/kartor/A 53300-2025 karta.png", "A 53300-2025")</f>
        <v/>
      </c>
      <c r="V139">
        <f>HYPERLINK("https://klasma.github.io/Logging_2380/klagomål/A 53300-2025 FSC-klagomål.docx", "A 53300-2025")</f>
        <v/>
      </c>
      <c r="W139">
        <f>HYPERLINK("https://klasma.github.io/Logging_2380/klagomålsmail/A 53300-2025 FSC-klagomål mail.docx", "A 53300-2025")</f>
        <v/>
      </c>
      <c r="X139">
        <f>HYPERLINK("https://klasma.github.io/Logging_2380/tillsyn/A 53300-2025 tillsynsbegäran.docx", "A 53300-2025")</f>
        <v/>
      </c>
      <c r="Y139">
        <f>HYPERLINK("https://klasma.github.io/Logging_2380/tillsynsmail/A 53300-2025 tillsynsbegäran mail.docx", "A 53300-2025")</f>
        <v/>
      </c>
    </row>
    <row r="140" ht="15" customHeight="1">
      <c r="A140" t="inlineStr">
        <is>
          <t>A 33550-2025</t>
        </is>
      </c>
      <c r="B140" s="1" t="n">
        <v>45841.57331018519</v>
      </c>
      <c r="C140" s="1" t="n">
        <v>45969</v>
      </c>
      <c r="D140" t="inlineStr">
        <is>
          <t>JÄMTLANDS LÄN</t>
        </is>
      </c>
      <c r="E140" t="inlineStr">
        <is>
          <t>ÖSTERSUND</t>
        </is>
      </c>
      <c r="F140" t="inlineStr">
        <is>
          <t>SCA</t>
        </is>
      </c>
      <c r="G140" t="n">
        <v>7.3</v>
      </c>
      <c r="H140" t="n">
        <v>0</v>
      </c>
      <c r="I140" t="n">
        <v>1</v>
      </c>
      <c r="J140" t="n">
        <v>0</v>
      </c>
      <c r="K140" t="n">
        <v>0</v>
      </c>
      <c r="L140" t="n">
        <v>0</v>
      </c>
      <c r="M140" t="n">
        <v>0</v>
      </c>
      <c r="N140" t="n">
        <v>0</v>
      </c>
      <c r="O140" t="n">
        <v>0</v>
      </c>
      <c r="P140" t="n">
        <v>0</v>
      </c>
      <c r="Q140" t="n">
        <v>1</v>
      </c>
      <c r="R140" s="2" t="inlineStr">
        <is>
          <t>Dropptaggsvamp</t>
        </is>
      </c>
      <c r="S140">
        <f>HYPERLINK("https://klasma.github.io/Logging_2380/artfynd/A 33550-2025 artfynd.xlsx", "A 33550-2025")</f>
        <v/>
      </c>
      <c r="T140">
        <f>HYPERLINK("https://klasma.github.io/Logging_2380/kartor/A 33550-2025 karta.png", "A 33550-2025")</f>
        <v/>
      </c>
      <c r="V140">
        <f>HYPERLINK("https://klasma.github.io/Logging_2380/klagomål/A 33550-2025 FSC-klagomål.docx", "A 33550-2025")</f>
        <v/>
      </c>
      <c r="W140">
        <f>HYPERLINK("https://klasma.github.io/Logging_2380/klagomålsmail/A 33550-2025 FSC-klagomål mail.docx", "A 33550-2025")</f>
        <v/>
      </c>
      <c r="X140">
        <f>HYPERLINK("https://klasma.github.io/Logging_2380/tillsyn/A 33550-2025 tillsynsbegäran.docx", "A 33550-2025")</f>
        <v/>
      </c>
      <c r="Y140">
        <f>HYPERLINK("https://klasma.github.io/Logging_2380/tillsynsmail/A 33550-2025 tillsynsbegäran mail.docx", "A 33550-2025")</f>
        <v/>
      </c>
    </row>
    <row r="141" ht="15" customHeight="1">
      <c r="A141" t="inlineStr">
        <is>
          <t>A 11513-2024</t>
        </is>
      </c>
      <c r="B141" s="1" t="n">
        <v>45372</v>
      </c>
      <c r="C141" s="1" t="n">
        <v>45969</v>
      </c>
      <c r="D141" t="inlineStr">
        <is>
          <t>JÄMTLANDS LÄN</t>
        </is>
      </c>
      <c r="E141" t="inlineStr">
        <is>
          <t>ÖSTERSUND</t>
        </is>
      </c>
      <c r="G141" t="n">
        <v>21.2</v>
      </c>
      <c r="H141" t="n">
        <v>0</v>
      </c>
      <c r="I141" t="n">
        <v>1</v>
      </c>
      <c r="J141" t="n">
        <v>0</v>
      </c>
      <c r="K141" t="n">
        <v>0</v>
      </c>
      <c r="L141" t="n">
        <v>0</v>
      </c>
      <c r="M141" t="n">
        <v>0</v>
      </c>
      <c r="N141" t="n">
        <v>0</v>
      </c>
      <c r="O141" t="n">
        <v>0</v>
      </c>
      <c r="P141" t="n">
        <v>0</v>
      </c>
      <c r="Q141" t="n">
        <v>1</v>
      </c>
      <c r="R141" s="2" t="inlineStr">
        <is>
          <t>Tibast</t>
        </is>
      </c>
      <c r="S141">
        <f>HYPERLINK("https://klasma.github.io/Logging_2380/artfynd/A 11513-2024 artfynd.xlsx", "A 11513-2024")</f>
        <v/>
      </c>
      <c r="T141">
        <f>HYPERLINK("https://klasma.github.io/Logging_2380/kartor/A 11513-2024 karta.png", "A 11513-2024")</f>
        <v/>
      </c>
      <c r="V141">
        <f>HYPERLINK("https://klasma.github.io/Logging_2380/klagomål/A 11513-2024 FSC-klagomål.docx", "A 11513-2024")</f>
        <v/>
      </c>
      <c r="W141">
        <f>HYPERLINK("https://klasma.github.io/Logging_2380/klagomålsmail/A 11513-2024 FSC-klagomål mail.docx", "A 11513-2024")</f>
        <v/>
      </c>
      <c r="X141">
        <f>HYPERLINK("https://klasma.github.io/Logging_2380/tillsyn/A 11513-2024 tillsynsbegäran.docx", "A 11513-2024")</f>
        <v/>
      </c>
      <c r="Y141">
        <f>HYPERLINK("https://klasma.github.io/Logging_2380/tillsynsmail/A 11513-2024 tillsynsbegäran mail.docx", "A 11513-2024")</f>
        <v/>
      </c>
    </row>
    <row r="142" ht="15" customHeight="1">
      <c r="A142" t="inlineStr">
        <is>
          <t>A 36225-2025</t>
        </is>
      </c>
      <c r="B142" s="1" t="n">
        <v>45867.51128472222</v>
      </c>
      <c r="C142" s="1" t="n">
        <v>45969</v>
      </c>
      <c r="D142" t="inlineStr">
        <is>
          <t>JÄMTLANDS LÄN</t>
        </is>
      </c>
      <c r="E142" t="inlineStr">
        <is>
          <t>ÖSTERSUND</t>
        </is>
      </c>
      <c r="F142" t="inlineStr">
        <is>
          <t>SCA</t>
        </is>
      </c>
      <c r="G142" t="n">
        <v>1.8</v>
      </c>
      <c r="H142" t="n">
        <v>0</v>
      </c>
      <c r="I142" t="n">
        <v>0</v>
      </c>
      <c r="J142" t="n">
        <v>1</v>
      </c>
      <c r="K142" t="n">
        <v>0</v>
      </c>
      <c r="L142" t="n">
        <v>0</v>
      </c>
      <c r="M142" t="n">
        <v>0</v>
      </c>
      <c r="N142" t="n">
        <v>0</v>
      </c>
      <c r="O142" t="n">
        <v>1</v>
      </c>
      <c r="P142" t="n">
        <v>0</v>
      </c>
      <c r="Q142" t="n">
        <v>1</v>
      </c>
      <c r="R142" s="2" t="inlineStr">
        <is>
          <t>Kolflarnlav</t>
        </is>
      </c>
      <c r="S142">
        <f>HYPERLINK("https://klasma.github.io/Logging_2380/artfynd/A 36225-2025 artfynd.xlsx", "A 36225-2025")</f>
        <v/>
      </c>
      <c r="T142">
        <f>HYPERLINK("https://klasma.github.io/Logging_2380/kartor/A 36225-2025 karta.png", "A 36225-2025")</f>
        <v/>
      </c>
      <c r="V142">
        <f>HYPERLINK("https://klasma.github.io/Logging_2380/klagomål/A 36225-2025 FSC-klagomål.docx", "A 36225-2025")</f>
        <v/>
      </c>
      <c r="W142">
        <f>HYPERLINK("https://klasma.github.io/Logging_2380/klagomålsmail/A 36225-2025 FSC-klagomål mail.docx", "A 36225-2025")</f>
        <v/>
      </c>
      <c r="X142">
        <f>HYPERLINK("https://klasma.github.io/Logging_2380/tillsyn/A 36225-2025 tillsynsbegäran.docx", "A 36225-2025")</f>
        <v/>
      </c>
      <c r="Y142">
        <f>HYPERLINK("https://klasma.github.io/Logging_2380/tillsynsmail/A 36225-2025 tillsynsbegäran mail.docx", "A 36225-2025")</f>
        <v/>
      </c>
    </row>
    <row r="143" ht="15" customHeight="1">
      <c r="A143" t="inlineStr">
        <is>
          <t>A 41770-2024</t>
        </is>
      </c>
      <c r="B143" s="1" t="n">
        <v>45561.34641203703</v>
      </c>
      <c r="C143" s="1" t="n">
        <v>45969</v>
      </c>
      <c r="D143" t="inlineStr">
        <is>
          <t>JÄMTLANDS LÄN</t>
        </is>
      </c>
      <c r="E143" t="inlineStr">
        <is>
          <t>ÖSTERSUND</t>
        </is>
      </c>
      <c r="F143" t="inlineStr">
        <is>
          <t>SCA</t>
        </is>
      </c>
      <c r="G143" t="n">
        <v>4.4</v>
      </c>
      <c r="H143" t="n">
        <v>0</v>
      </c>
      <c r="I143" t="n">
        <v>1</v>
      </c>
      <c r="J143" t="n">
        <v>0</v>
      </c>
      <c r="K143" t="n">
        <v>0</v>
      </c>
      <c r="L143" t="n">
        <v>0</v>
      </c>
      <c r="M143" t="n">
        <v>0</v>
      </c>
      <c r="N143" t="n">
        <v>0</v>
      </c>
      <c r="O143" t="n">
        <v>0</v>
      </c>
      <c r="P143" t="n">
        <v>0</v>
      </c>
      <c r="Q143" t="n">
        <v>1</v>
      </c>
      <c r="R143" s="2" t="inlineStr">
        <is>
          <t>Vedticka</t>
        </is>
      </c>
      <c r="S143">
        <f>HYPERLINK("https://klasma.github.io/Logging_2380/artfynd/A 41770-2024 artfynd.xlsx", "A 41770-2024")</f>
        <v/>
      </c>
      <c r="T143">
        <f>HYPERLINK("https://klasma.github.io/Logging_2380/kartor/A 41770-2024 karta.png", "A 41770-2024")</f>
        <v/>
      </c>
      <c r="V143">
        <f>HYPERLINK("https://klasma.github.io/Logging_2380/klagomål/A 41770-2024 FSC-klagomål.docx", "A 41770-2024")</f>
        <v/>
      </c>
      <c r="W143">
        <f>HYPERLINK("https://klasma.github.io/Logging_2380/klagomålsmail/A 41770-2024 FSC-klagomål mail.docx", "A 41770-2024")</f>
        <v/>
      </c>
      <c r="X143">
        <f>HYPERLINK("https://klasma.github.io/Logging_2380/tillsyn/A 41770-2024 tillsynsbegäran.docx", "A 41770-2024")</f>
        <v/>
      </c>
      <c r="Y143">
        <f>HYPERLINK("https://klasma.github.io/Logging_2380/tillsynsmail/A 41770-2024 tillsynsbegäran mail.docx", "A 41770-2024")</f>
        <v/>
      </c>
    </row>
    <row r="144" ht="15" customHeight="1">
      <c r="A144" t="inlineStr">
        <is>
          <t>A 24368-2025</t>
        </is>
      </c>
      <c r="B144" s="1" t="n">
        <v>45797.60623842593</v>
      </c>
      <c r="C144" s="1" t="n">
        <v>45969</v>
      </c>
      <c r="D144" t="inlineStr">
        <is>
          <t>JÄMTLANDS LÄN</t>
        </is>
      </c>
      <c r="E144" t="inlineStr">
        <is>
          <t>ÖSTERSUND</t>
        </is>
      </c>
      <c r="G144" t="n">
        <v>2.9</v>
      </c>
      <c r="H144" t="n">
        <v>0</v>
      </c>
      <c r="I144" t="n">
        <v>0</v>
      </c>
      <c r="J144" t="n">
        <v>0</v>
      </c>
      <c r="K144" t="n">
        <v>1</v>
      </c>
      <c r="L144" t="n">
        <v>0</v>
      </c>
      <c r="M144" t="n">
        <v>0</v>
      </c>
      <c r="N144" t="n">
        <v>0</v>
      </c>
      <c r="O144" t="n">
        <v>1</v>
      </c>
      <c r="P144" t="n">
        <v>1</v>
      </c>
      <c r="Q144" t="n">
        <v>1</v>
      </c>
      <c r="R144" s="2" t="inlineStr">
        <is>
          <t>Fjällfotad fingersvamp</t>
        </is>
      </c>
      <c r="S144">
        <f>HYPERLINK("https://klasma.github.io/Logging_2380/artfynd/A 24368-2025 artfynd.xlsx", "A 24368-2025")</f>
        <v/>
      </c>
      <c r="T144">
        <f>HYPERLINK("https://klasma.github.io/Logging_2380/kartor/A 24368-2025 karta.png", "A 24368-2025")</f>
        <v/>
      </c>
      <c r="V144">
        <f>HYPERLINK("https://klasma.github.io/Logging_2380/klagomål/A 24368-2025 FSC-klagomål.docx", "A 24368-2025")</f>
        <v/>
      </c>
      <c r="W144">
        <f>HYPERLINK("https://klasma.github.io/Logging_2380/klagomålsmail/A 24368-2025 FSC-klagomål mail.docx", "A 24368-2025")</f>
        <v/>
      </c>
      <c r="X144">
        <f>HYPERLINK("https://klasma.github.io/Logging_2380/tillsyn/A 24368-2025 tillsynsbegäran.docx", "A 24368-2025")</f>
        <v/>
      </c>
      <c r="Y144">
        <f>HYPERLINK("https://klasma.github.io/Logging_2380/tillsynsmail/A 24368-2025 tillsynsbegäran mail.docx", "A 24368-2025")</f>
        <v/>
      </c>
    </row>
    <row r="145" ht="15" customHeight="1">
      <c r="A145" t="inlineStr">
        <is>
          <t>A 20620-2021</t>
        </is>
      </c>
      <c r="B145" s="1" t="n">
        <v>44316</v>
      </c>
      <c r="C145" s="1" t="n">
        <v>45969</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66288-2020</t>
        </is>
      </c>
      <c r="B146" s="1" t="n">
        <v>44174</v>
      </c>
      <c r="C146" s="1" t="n">
        <v>45969</v>
      </c>
      <c r="D146" t="inlineStr">
        <is>
          <t>JÄMTLANDS LÄN</t>
        </is>
      </c>
      <c r="E146" t="inlineStr">
        <is>
          <t>ÖSTERSUND</t>
        </is>
      </c>
      <c r="F146" t="inlineStr">
        <is>
          <t>Övriga statliga verk och myndigheter</t>
        </is>
      </c>
      <c r="G146" t="n">
        <v>1.2</v>
      </c>
      <c r="H146" t="n">
        <v>0</v>
      </c>
      <c r="I146" t="n">
        <v>0</v>
      </c>
      <c r="J146" t="n">
        <v>0</v>
      </c>
      <c r="K146" t="n">
        <v>0</v>
      </c>
      <c r="L146" t="n">
        <v>0</v>
      </c>
      <c r="M146" t="n">
        <v>0</v>
      </c>
      <c r="N146" t="n">
        <v>0</v>
      </c>
      <c r="O146" t="n">
        <v>0</v>
      </c>
      <c r="P146" t="n">
        <v>0</v>
      </c>
      <c r="Q146" t="n">
        <v>0</v>
      </c>
      <c r="R146" s="2" t="inlineStr"/>
    </row>
    <row r="147" ht="15" customHeight="1">
      <c r="A147" t="inlineStr">
        <is>
          <t>A 43310-2021</t>
        </is>
      </c>
      <c r="B147" s="1" t="n">
        <v>44432</v>
      </c>
      <c r="C147" s="1" t="n">
        <v>45969</v>
      </c>
      <c r="D147" t="inlineStr">
        <is>
          <t>JÄMTLANDS LÄN</t>
        </is>
      </c>
      <c r="E147" t="inlineStr">
        <is>
          <t>ÖSTERSUND</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501-2021</t>
        </is>
      </c>
      <c r="B148" s="1" t="n">
        <v>44200</v>
      </c>
      <c r="C148" s="1" t="n">
        <v>45969</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23187-2021</t>
        </is>
      </c>
      <c r="B149" s="1" t="n">
        <v>44328</v>
      </c>
      <c r="C149" s="1" t="n">
        <v>45969</v>
      </c>
      <c r="D149" t="inlineStr">
        <is>
          <t>JÄMTLANDS LÄN</t>
        </is>
      </c>
      <c r="E149" t="inlineStr">
        <is>
          <t>ÖSTERSUND</t>
        </is>
      </c>
      <c r="G149" t="n">
        <v>1.8</v>
      </c>
      <c r="H149" t="n">
        <v>0</v>
      </c>
      <c r="I149" t="n">
        <v>0</v>
      </c>
      <c r="J149" t="n">
        <v>0</v>
      </c>
      <c r="K149" t="n">
        <v>0</v>
      </c>
      <c r="L149" t="n">
        <v>0</v>
      </c>
      <c r="M149" t="n">
        <v>0</v>
      </c>
      <c r="N149" t="n">
        <v>0</v>
      </c>
      <c r="O149" t="n">
        <v>0</v>
      </c>
      <c r="P149" t="n">
        <v>0</v>
      </c>
      <c r="Q149" t="n">
        <v>0</v>
      </c>
      <c r="R149" s="2" t="inlineStr"/>
    </row>
    <row r="150" ht="15" customHeight="1">
      <c r="A150" t="inlineStr">
        <is>
          <t>A 53453-2022</t>
        </is>
      </c>
      <c r="B150" s="1" t="n">
        <v>44879.49488425926</v>
      </c>
      <c r="C150" s="1" t="n">
        <v>45969</v>
      </c>
      <c r="D150" t="inlineStr">
        <is>
          <t>JÄMTLANDS LÄN</t>
        </is>
      </c>
      <c r="E150" t="inlineStr">
        <is>
          <t>ÖSTERSUND</t>
        </is>
      </c>
      <c r="G150" t="n">
        <v>22.2</v>
      </c>
      <c r="H150" t="n">
        <v>0</v>
      </c>
      <c r="I150" t="n">
        <v>0</v>
      </c>
      <c r="J150" t="n">
        <v>0</v>
      </c>
      <c r="K150" t="n">
        <v>0</v>
      </c>
      <c r="L150" t="n">
        <v>0</v>
      </c>
      <c r="M150" t="n">
        <v>0</v>
      </c>
      <c r="N150" t="n">
        <v>0</v>
      </c>
      <c r="O150" t="n">
        <v>0</v>
      </c>
      <c r="P150" t="n">
        <v>0</v>
      </c>
      <c r="Q150" t="n">
        <v>0</v>
      </c>
      <c r="R150" s="2" t="inlineStr"/>
    </row>
    <row r="151" ht="15" customHeight="1">
      <c r="A151" t="inlineStr">
        <is>
          <t>A 8396-2021</t>
        </is>
      </c>
      <c r="B151" s="1" t="n">
        <v>44238</v>
      </c>
      <c r="C151" s="1" t="n">
        <v>45969</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64092-2021</t>
        </is>
      </c>
      <c r="B152" s="1" t="n">
        <v>44510.44064814815</v>
      </c>
      <c r="C152" s="1" t="n">
        <v>45969</v>
      </c>
      <c r="D152" t="inlineStr">
        <is>
          <t>JÄMTLANDS LÄN</t>
        </is>
      </c>
      <c r="E152" t="inlineStr">
        <is>
          <t>ÖSTERSUND</t>
        </is>
      </c>
      <c r="G152" t="n">
        <v>5.6</v>
      </c>
      <c r="H152" t="n">
        <v>0</v>
      </c>
      <c r="I152" t="n">
        <v>0</v>
      </c>
      <c r="J152" t="n">
        <v>0</v>
      </c>
      <c r="K152" t="n">
        <v>0</v>
      </c>
      <c r="L152" t="n">
        <v>0</v>
      </c>
      <c r="M152" t="n">
        <v>0</v>
      </c>
      <c r="N152" t="n">
        <v>0</v>
      </c>
      <c r="O152" t="n">
        <v>0</v>
      </c>
      <c r="P152" t="n">
        <v>0</v>
      </c>
      <c r="Q152" t="n">
        <v>0</v>
      </c>
      <c r="R152" s="2" t="inlineStr"/>
    </row>
    <row r="153" ht="15" customHeight="1">
      <c r="A153" t="inlineStr">
        <is>
          <t>A 40038-2021</t>
        </is>
      </c>
      <c r="B153" s="1" t="n">
        <v>44418.45925925926</v>
      </c>
      <c r="C153" s="1" t="n">
        <v>45969</v>
      </c>
      <c r="D153" t="inlineStr">
        <is>
          <t>JÄMTLANDS LÄN</t>
        </is>
      </c>
      <c r="E153" t="inlineStr">
        <is>
          <t>ÖSTERSUND</t>
        </is>
      </c>
      <c r="G153" t="n">
        <v>7</v>
      </c>
      <c r="H153" t="n">
        <v>0</v>
      </c>
      <c r="I153" t="n">
        <v>0</v>
      </c>
      <c r="J153" t="n">
        <v>0</v>
      </c>
      <c r="K153" t="n">
        <v>0</v>
      </c>
      <c r="L153" t="n">
        <v>0</v>
      </c>
      <c r="M153" t="n">
        <v>0</v>
      </c>
      <c r="N153" t="n">
        <v>0</v>
      </c>
      <c r="O153" t="n">
        <v>0</v>
      </c>
      <c r="P153" t="n">
        <v>0</v>
      </c>
      <c r="Q153" t="n">
        <v>0</v>
      </c>
      <c r="R153" s="2" t="inlineStr"/>
    </row>
    <row r="154" ht="15" customHeight="1">
      <c r="A154" t="inlineStr">
        <is>
          <t>A 67695-2021</t>
        </is>
      </c>
      <c r="B154" s="1" t="n">
        <v>44524.94607638889</v>
      </c>
      <c r="C154" s="1" t="n">
        <v>45969</v>
      </c>
      <c r="D154" t="inlineStr">
        <is>
          <t>JÄMTLANDS LÄN</t>
        </is>
      </c>
      <c r="E154" t="inlineStr">
        <is>
          <t>ÖSTERSUND</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32986-2021</t>
        </is>
      </c>
      <c r="B155" s="1" t="n">
        <v>44375</v>
      </c>
      <c r="C155" s="1" t="n">
        <v>45969</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29707-2021</t>
        </is>
      </c>
      <c r="B156" s="1" t="n">
        <v>44362</v>
      </c>
      <c r="C156" s="1" t="n">
        <v>45969</v>
      </c>
      <c r="D156" t="inlineStr">
        <is>
          <t>JÄMTLANDS LÄN</t>
        </is>
      </c>
      <c r="E156" t="inlineStr">
        <is>
          <t>ÖSTERSUND</t>
        </is>
      </c>
      <c r="G156" t="n">
        <v>4</v>
      </c>
      <c r="H156" t="n">
        <v>0</v>
      </c>
      <c r="I156" t="n">
        <v>0</v>
      </c>
      <c r="J156" t="n">
        <v>0</v>
      </c>
      <c r="K156" t="n">
        <v>0</v>
      </c>
      <c r="L156" t="n">
        <v>0</v>
      </c>
      <c r="M156" t="n">
        <v>0</v>
      </c>
      <c r="N156" t="n">
        <v>0</v>
      </c>
      <c r="O156" t="n">
        <v>0</v>
      </c>
      <c r="P156" t="n">
        <v>0</v>
      </c>
      <c r="Q156" t="n">
        <v>0</v>
      </c>
      <c r="R156" s="2" t="inlineStr"/>
    </row>
    <row r="157" ht="15" customHeight="1">
      <c r="A157" t="inlineStr">
        <is>
          <t>A 43951-2022</t>
        </is>
      </c>
      <c r="B157" s="1" t="n">
        <v>44838</v>
      </c>
      <c r="C157" s="1" t="n">
        <v>45969</v>
      </c>
      <c r="D157" t="inlineStr">
        <is>
          <t>JÄMTLANDS LÄN</t>
        </is>
      </c>
      <c r="E157" t="inlineStr">
        <is>
          <t>ÖSTERSUND</t>
        </is>
      </c>
      <c r="F157" t="inlineStr">
        <is>
          <t>Övriga Aktiebolag</t>
        </is>
      </c>
      <c r="G157" t="n">
        <v>2.9</v>
      </c>
      <c r="H157" t="n">
        <v>0</v>
      </c>
      <c r="I157" t="n">
        <v>0</v>
      </c>
      <c r="J157" t="n">
        <v>0</v>
      </c>
      <c r="K157" t="n">
        <v>0</v>
      </c>
      <c r="L157" t="n">
        <v>0</v>
      </c>
      <c r="M157" t="n">
        <v>0</v>
      </c>
      <c r="N157" t="n">
        <v>0</v>
      </c>
      <c r="O157" t="n">
        <v>0</v>
      </c>
      <c r="P157" t="n">
        <v>0</v>
      </c>
      <c r="Q157" t="n">
        <v>0</v>
      </c>
      <c r="R157" s="2" t="inlineStr"/>
    </row>
    <row r="158" ht="15" customHeight="1">
      <c r="A158" t="inlineStr">
        <is>
          <t>A 67646-2020</t>
        </is>
      </c>
      <c r="B158" s="1" t="n">
        <v>44180</v>
      </c>
      <c r="C158" s="1" t="n">
        <v>45969</v>
      </c>
      <c r="D158" t="inlineStr">
        <is>
          <t>JÄMTLANDS LÄN</t>
        </is>
      </c>
      <c r="E158" t="inlineStr">
        <is>
          <t>ÖSTERSUND</t>
        </is>
      </c>
      <c r="G158" t="n">
        <v>1.9</v>
      </c>
      <c r="H158" t="n">
        <v>0</v>
      </c>
      <c r="I158" t="n">
        <v>0</v>
      </c>
      <c r="J158" t="n">
        <v>0</v>
      </c>
      <c r="K158" t="n">
        <v>0</v>
      </c>
      <c r="L158" t="n">
        <v>0</v>
      </c>
      <c r="M158" t="n">
        <v>0</v>
      </c>
      <c r="N158" t="n">
        <v>0</v>
      </c>
      <c r="O158" t="n">
        <v>0</v>
      </c>
      <c r="P158" t="n">
        <v>0</v>
      </c>
      <c r="Q158" t="n">
        <v>0</v>
      </c>
      <c r="R158" s="2" t="inlineStr"/>
    </row>
    <row r="159" ht="15" customHeight="1">
      <c r="A159" t="inlineStr">
        <is>
          <t>A 72089-2021</t>
        </is>
      </c>
      <c r="B159" s="1" t="n">
        <v>44540</v>
      </c>
      <c r="C159" s="1" t="n">
        <v>45969</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33808-2022</t>
        </is>
      </c>
      <c r="B160" s="1" t="n">
        <v>44790</v>
      </c>
      <c r="C160" s="1" t="n">
        <v>45969</v>
      </c>
      <c r="D160" t="inlineStr">
        <is>
          <t>JÄMTLANDS LÄN</t>
        </is>
      </c>
      <c r="E160" t="inlineStr">
        <is>
          <t>ÖSTERSUND</t>
        </is>
      </c>
      <c r="G160" t="n">
        <v>4.1</v>
      </c>
      <c r="H160" t="n">
        <v>0</v>
      </c>
      <c r="I160" t="n">
        <v>0</v>
      </c>
      <c r="J160" t="n">
        <v>0</v>
      </c>
      <c r="K160" t="n">
        <v>0</v>
      </c>
      <c r="L160" t="n">
        <v>0</v>
      </c>
      <c r="M160" t="n">
        <v>0</v>
      </c>
      <c r="N160" t="n">
        <v>0</v>
      </c>
      <c r="O160" t="n">
        <v>0</v>
      </c>
      <c r="P160" t="n">
        <v>0</v>
      </c>
      <c r="Q160" t="n">
        <v>0</v>
      </c>
      <c r="R160" s="2" t="inlineStr"/>
    </row>
    <row r="161" ht="15" customHeight="1">
      <c r="A161" t="inlineStr">
        <is>
          <t>A 8647-2022</t>
        </is>
      </c>
      <c r="B161" s="1" t="n">
        <v>44613</v>
      </c>
      <c r="C161" s="1" t="n">
        <v>45969</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66286-2020</t>
        </is>
      </c>
      <c r="B162" s="1" t="n">
        <v>44174</v>
      </c>
      <c r="C162" s="1" t="n">
        <v>45969</v>
      </c>
      <c r="D162" t="inlineStr">
        <is>
          <t>JÄMTLANDS LÄN</t>
        </is>
      </c>
      <c r="E162" t="inlineStr">
        <is>
          <t>ÖSTERSUND</t>
        </is>
      </c>
      <c r="F162" t="inlineStr">
        <is>
          <t>Övriga statliga verk och myndigheter</t>
        </is>
      </c>
      <c r="G162" t="n">
        <v>1.1</v>
      </c>
      <c r="H162" t="n">
        <v>0</v>
      </c>
      <c r="I162" t="n">
        <v>0</v>
      </c>
      <c r="J162" t="n">
        <v>0</v>
      </c>
      <c r="K162" t="n">
        <v>0</v>
      </c>
      <c r="L162" t="n">
        <v>0</v>
      </c>
      <c r="M162" t="n">
        <v>0</v>
      </c>
      <c r="N162" t="n">
        <v>0</v>
      </c>
      <c r="O162" t="n">
        <v>0</v>
      </c>
      <c r="P162" t="n">
        <v>0</v>
      </c>
      <c r="Q162" t="n">
        <v>0</v>
      </c>
      <c r="R162" s="2" t="inlineStr"/>
    </row>
    <row r="163" ht="15" customHeight="1">
      <c r="A163" t="inlineStr">
        <is>
          <t>A 126-2021</t>
        </is>
      </c>
      <c r="B163" s="1" t="n">
        <v>44200</v>
      </c>
      <c r="C163" s="1" t="n">
        <v>45969</v>
      </c>
      <c r="D163" t="inlineStr">
        <is>
          <t>JÄMTLANDS LÄN</t>
        </is>
      </c>
      <c r="E163" t="inlineStr">
        <is>
          <t>ÖSTERSUND</t>
        </is>
      </c>
      <c r="G163" t="n">
        <v>1.6</v>
      </c>
      <c r="H163" t="n">
        <v>0</v>
      </c>
      <c r="I163" t="n">
        <v>0</v>
      </c>
      <c r="J163" t="n">
        <v>0</v>
      </c>
      <c r="K163" t="n">
        <v>0</v>
      </c>
      <c r="L163" t="n">
        <v>0</v>
      </c>
      <c r="M163" t="n">
        <v>0</v>
      </c>
      <c r="N163" t="n">
        <v>0</v>
      </c>
      <c r="O163" t="n">
        <v>0</v>
      </c>
      <c r="P163" t="n">
        <v>0</v>
      </c>
      <c r="Q163" t="n">
        <v>0</v>
      </c>
      <c r="R163" s="2" t="inlineStr"/>
    </row>
    <row r="164" ht="15" customHeight="1">
      <c r="A164" t="inlineStr">
        <is>
          <t>A 2763-2022</t>
        </is>
      </c>
      <c r="B164" s="1" t="n">
        <v>44580</v>
      </c>
      <c r="C164" s="1" t="n">
        <v>45969</v>
      </c>
      <c r="D164" t="inlineStr">
        <is>
          <t>JÄMTLANDS LÄN</t>
        </is>
      </c>
      <c r="E164" t="inlineStr">
        <is>
          <t>ÖSTERSUND</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19541-2021</t>
        </is>
      </c>
      <c r="B165" s="1" t="n">
        <v>44312.41724537037</v>
      </c>
      <c r="C165" s="1" t="n">
        <v>45969</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2880-2022</t>
        </is>
      </c>
      <c r="B166" s="1" t="n">
        <v>44581</v>
      </c>
      <c r="C166" s="1" t="n">
        <v>45969</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10834-2021</t>
        </is>
      </c>
      <c r="B167" s="1" t="n">
        <v>44259</v>
      </c>
      <c r="C167" s="1" t="n">
        <v>45969</v>
      </c>
      <c r="D167" t="inlineStr">
        <is>
          <t>JÄMTLANDS LÄN</t>
        </is>
      </c>
      <c r="E167" t="inlineStr">
        <is>
          <t>ÖSTERSUND</t>
        </is>
      </c>
      <c r="G167" t="n">
        <v>12.2</v>
      </c>
      <c r="H167" t="n">
        <v>0</v>
      </c>
      <c r="I167" t="n">
        <v>0</v>
      </c>
      <c r="J167" t="n">
        <v>0</v>
      </c>
      <c r="K167" t="n">
        <v>0</v>
      </c>
      <c r="L167" t="n">
        <v>0</v>
      </c>
      <c r="M167" t="n">
        <v>0</v>
      </c>
      <c r="N167" t="n">
        <v>0</v>
      </c>
      <c r="O167" t="n">
        <v>0</v>
      </c>
      <c r="P167" t="n">
        <v>0</v>
      </c>
      <c r="Q167" t="n">
        <v>0</v>
      </c>
      <c r="R167" s="2" t="inlineStr"/>
    </row>
    <row r="168" ht="15" customHeight="1">
      <c r="A168" t="inlineStr">
        <is>
          <t>A 47295-2022</t>
        </is>
      </c>
      <c r="B168" s="1" t="n">
        <v>44852</v>
      </c>
      <c r="C168" s="1" t="n">
        <v>45969</v>
      </c>
      <c r="D168" t="inlineStr">
        <is>
          <t>JÄMTLANDS LÄN</t>
        </is>
      </c>
      <c r="E168" t="inlineStr">
        <is>
          <t>ÖSTERSUND</t>
        </is>
      </c>
      <c r="G168" t="n">
        <v>1.1</v>
      </c>
      <c r="H168" t="n">
        <v>0</v>
      </c>
      <c r="I168" t="n">
        <v>0</v>
      </c>
      <c r="J168" t="n">
        <v>0</v>
      </c>
      <c r="K168" t="n">
        <v>0</v>
      </c>
      <c r="L168" t="n">
        <v>0</v>
      </c>
      <c r="M168" t="n">
        <v>0</v>
      </c>
      <c r="N168" t="n">
        <v>0</v>
      </c>
      <c r="O168" t="n">
        <v>0</v>
      </c>
      <c r="P168" t="n">
        <v>0</v>
      </c>
      <c r="Q168" t="n">
        <v>0</v>
      </c>
      <c r="R168" s="2" t="inlineStr"/>
    </row>
    <row r="169" ht="15" customHeight="1">
      <c r="A169" t="inlineStr">
        <is>
          <t>A 67400-2020</t>
        </is>
      </c>
      <c r="B169" s="1" t="n">
        <v>44181</v>
      </c>
      <c r="C169" s="1" t="n">
        <v>45969</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154-2022</t>
        </is>
      </c>
      <c r="B170" s="1" t="n">
        <v>44561</v>
      </c>
      <c r="C170" s="1" t="n">
        <v>45969</v>
      </c>
      <c r="D170" t="inlineStr">
        <is>
          <t>JÄMTLANDS LÄN</t>
        </is>
      </c>
      <c r="E170" t="inlineStr">
        <is>
          <t>ÖSTERSUND</t>
        </is>
      </c>
      <c r="G170" t="n">
        <v>4.2</v>
      </c>
      <c r="H170" t="n">
        <v>0</v>
      </c>
      <c r="I170" t="n">
        <v>0</v>
      </c>
      <c r="J170" t="n">
        <v>0</v>
      </c>
      <c r="K170" t="n">
        <v>0</v>
      </c>
      <c r="L170" t="n">
        <v>0</v>
      </c>
      <c r="M170" t="n">
        <v>0</v>
      </c>
      <c r="N170" t="n">
        <v>0</v>
      </c>
      <c r="O170" t="n">
        <v>0</v>
      </c>
      <c r="P170" t="n">
        <v>0</v>
      </c>
      <c r="Q170" t="n">
        <v>0</v>
      </c>
      <c r="R170" s="2" t="inlineStr"/>
    </row>
    <row r="171" ht="15" customHeight="1">
      <c r="A171" t="inlineStr">
        <is>
          <t>A 14155-2021</t>
        </is>
      </c>
      <c r="B171" s="1" t="n">
        <v>44278.42459490741</v>
      </c>
      <c r="C171" s="1" t="n">
        <v>45969</v>
      </c>
      <c r="D171" t="inlineStr">
        <is>
          <t>JÄMTLANDS LÄN</t>
        </is>
      </c>
      <c r="E171" t="inlineStr">
        <is>
          <t>ÖSTERSUND</t>
        </is>
      </c>
      <c r="G171" t="n">
        <v>2.6</v>
      </c>
      <c r="H171" t="n">
        <v>0</v>
      </c>
      <c r="I171" t="n">
        <v>0</v>
      </c>
      <c r="J171" t="n">
        <v>0</v>
      </c>
      <c r="K171" t="n">
        <v>0</v>
      </c>
      <c r="L171" t="n">
        <v>0</v>
      </c>
      <c r="M171" t="n">
        <v>0</v>
      </c>
      <c r="N171" t="n">
        <v>0</v>
      </c>
      <c r="O171" t="n">
        <v>0</v>
      </c>
      <c r="P171" t="n">
        <v>0</v>
      </c>
      <c r="Q171" t="n">
        <v>0</v>
      </c>
      <c r="R171" s="2" t="inlineStr"/>
    </row>
    <row r="172" ht="15" customHeight="1">
      <c r="A172" t="inlineStr">
        <is>
          <t>A 35032-2021</t>
        </is>
      </c>
      <c r="B172" s="1" t="n">
        <v>44383.85295138889</v>
      </c>
      <c r="C172" s="1" t="n">
        <v>45969</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26254-2021</t>
        </is>
      </c>
      <c r="B173" s="1" t="n">
        <v>44347</v>
      </c>
      <c r="C173" s="1" t="n">
        <v>45969</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46002-2021</t>
        </is>
      </c>
      <c r="B174" s="1" t="n">
        <v>44441.80453703704</v>
      </c>
      <c r="C174" s="1" t="n">
        <v>45969</v>
      </c>
      <c r="D174" t="inlineStr">
        <is>
          <t>JÄMTLANDS LÄN</t>
        </is>
      </c>
      <c r="E174" t="inlineStr">
        <is>
          <t>ÖSTERSUND</t>
        </is>
      </c>
      <c r="G174" t="n">
        <v>3.6</v>
      </c>
      <c r="H174" t="n">
        <v>0</v>
      </c>
      <c r="I174" t="n">
        <v>0</v>
      </c>
      <c r="J174" t="n">
        <v>0</v>
      </c>
      <c r="K174" t="n">
        <v>0</v>
      </c>
      <c r="L174" t="n">
        <v>0</v>
      </c>
      <c r="M174" t="n">
        <v>0</v>
      </c>
      <c r="N174" t="n">
        <v>0</v>
      </c>
      <c r="O174" t="n">
        <v>0</v>
      </c>
      <c r="P174" t="n">
        <v>0</v>
      </c>
      <c r="Q174" t="n">
        <v>0</v>
      </c>
      <c r="R174" s="2" t="inlineStr"/>
    </row>
    <row r="175" ht="15" customHeight="1">
      <c r="A175" t="inlineStr">
        <is>
          <t>A 24706-2021</t>
        </is>
      </c>
      <c r="B175" s="1" t="n">
        <v>44340</v>
      </c>
      <c r="C175" s="1" t="n">
        <v>45969</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48947-2021</t>
        </is>
      </c>
      <c r="B176" s="1" t="n">
        <v>44453</v>
      </c>
      <c r="C176" s="1" t="n">
        <v>45969</v>
      </c>
      <c r="D176" t="inlineStr">
        <is>
          <t>JÄMTLANDS LÄN</t>
        </is>
      </c>
      <c r="E176" t="inlineStr">
        <is>
          <t>ÖSTERSUND</t>
        </is>
      </c>
      <c r="G176" t="n">
        <v>22.3</v>
      </c>
      <c r="H176" t="n">
        <v>0</v>
      </c>
      <c r="I176" t="n">
        <v>0</v>
      </c>
      <c r="J176" t="n">
        <v>0</v>
      </c>
      <c r="K176" t="n">
        <v>0</v>
      </c>
      <c r="L176" t="n">
        <v>0</v>
      </c>
      <c r="M176" t="n">
        <v>0</v>
      </c>
      <c r="N176" t="n">
        <v>0</v>
      </c>
      <c r="O176" t="n">
        <v>0</v>
      </c>
      <c r="P176" t="n">
        <v>0</v>
      </c>
      <c r="Q176" t="n">
        <v>0</v>
      </c>
      <c r="R176" s="2" t="inlineStr"/>
    </row>
    <row r="177" ht="15" customHeight="1">
      <c r="A177" t="inlineStr">
        <is>
          <t>A 27061-2021</t>
        </is>
      </c>
      <c r="B177" s="1" t="n">
        <v>44349</v>
      </c>
      <c r="C177" s="1" t="n">
        <v>45969</v>
      </c>
      <c r="D177" t="inlineStr">
        <is>
          <t>JÄMTLANDS LÄN</t>
        </is>
      </c>
      <c r="E177" t="inlineStr">
        <is>
          <t>ÖSTERSUND</t>
        </is>
      </c>
      <c r="G177" t="n">
        <v>3.2</v>
      </c>
      <c r="H177" t="n">
        <v>0</v>
      </c>
      <c r="I177" t="n">
        <v>0</v>
      </c>
      <c r="J177" t="n">
        <v>0</v>
      </c>
      <c r="K177" t="n">
        <v>0</v>
      </c>
      <c r="L177" t="n">
        <v>0</v>
      </c>
      <c r="M177" t="n">
        <v>0</v>
      </c>
      <c r="N177" t="n">
        <v>0</v>
      </c>
      <c r="O177" t="n">
        <v>0</v>
      </c>
      <c r="P177" t="n">
        <v>0</v>
      </c>
      <c r="Q177" t="n">
        <v>0</v>
      </c>
      <c r="R177" s="2" t="inlineStr"/>
    </row>
    <row r="178" ht="15" customHeight="1">
      <c r="A178" t="inlineStr">
        <is>
          <t>A 26259-2021</t>
        </is>
      </c>
      <c r="B178" s="1" t="n">
        <v>44347</v>
      </c>
      <c r="C178" s="1" t="n">
        <v>45969</v>
      </c>
      <c r="D178" t="inlineStr">
        <is>
          <t>JÄMTLANDS LÄN</t>
        </is>
      </c>
      <c r="E178" t="inlineStr">
        <is>
          <t>ÖSTERSUND</t>
        </is>
      </c>
      <c r="G178" t="n">
        <v>4.3</v>
      </c>
      <c r="H178" t="n">
        <v>0</v>
      </c>
      <c r="I178" t="n">
        <v>0</v>
      </c>
      <c r="J178" t="n">
        <v>0</v>
      </c>
      <c r="K178" t="n">
        <v>0</v>
      </c>
      <c r="L178" t="n">
        <v>0</v>
      </c>
      <c r="M178" t="n">
        <v>0</v>
      </c>
      <c r="N178" t="n">
        <v>0</v>
      </c>
      <c r="O178" t="n">
        <v>0</v>
      </c>
      <c r="P178" t="n">
        <v>0</v>
      </c>
      <c r="Q178" t="n">
        <v>0</v>
      </c>
      <c r="R178" s="2" t="inlineStr"/>
    </row>
    <row r="179" ht="15" customHeight="1">
      <c r="A179" t="inlineStr">
        <is>
          <t>A 17362-2021</t>
        </is>
      </c>
      <c r="B179" s="1" t="n">
        <v>44298</v>
      </c>
      <c r="C179" s="1" t="n">
        <v>45969</v>
      </c>
      <c r="D179" t="inlineStr">
        <is>
          <t>JÄMTLANDS LÄN</t>
        </is>
      </c>
      <c r="E179" t="inlineStr">
        <is>
          <t>ÖSTERSUND</t>
        </is>
      </c>
      <c r="G179" t="n">
        <v>3.7</v>
      </c>
      <c r="H179" t="n">
        <v>0</v>
      </c>
      <c r="I179" t="n">
        <v>0</v>
      </c>
      <c r="J179" t="n">
        <v>0</v>
      </c>
      <c r="K179" t="n">
        <v>0</v>
      </c>
      <c r="L179" t="n">
        <v>0</v>
      </c>
      <c r="M179" t="n">
        <v>0</v>
      </c>
      <c r="N179" t="n">
        <v>0</v>
      </c>
      <c r="O179" t="n">
        <v>0</v>
      </c>
      <c r="P179" t="n">
        <v>0</v>
      </c>
      <c r="Q179" t="n">
        <v>0</v>
      </c>
      <c r="R179" s="2" t="inlineStr"/>
    </row>
    <row r="180" ht="15" customHeight="1">
      <c r="A180" t="inlineStr">
        <is>
          <t>A 695-2022</t>
        </is>
      </c>
      <c r="B180" s="1" t="n">
        <v>44566</v>
      </c>
      <c r="C180" s="1" t="n">
        <v>45969</v>
      </c>
      <c r="D180" t="inlineStr">
        <is>
          <t>JÄMTLANDS LÄN</t>
        </is>
      </c>
      <c r="E180" t="inlineStr">
        <is>
          <t>ÖSTERSUND</t>
        </is>
      </c>
      <c r="G180" t="n">
        <v>14.9</v>
      </c>
      <c r="H180" t="n">
        <v>0</v>
      </c>
      <c r="I180" t="n">
        <v>0</v>
      </c>
      <c r="J180" t="n">
        <v>0</v>
      </c>
      <c r="K180" t="n">
        <v>0</v>
      </c>
      <c r="L180" t="n">
        <v>0</v>
      </c>
      <c r="M180" t="n">
        <v>0</v>
      </c>
      <c r="N180" t="n">
        <v>0</v>
      </c>
      <c r="O180" t="n">
        <v>0</v>
      </c>
      <c r="P180" t="n">
        <v>0</v>
      </c>
      <c r="Q180" t="n">
        <v>0</v>
      </c>
      <c r="R180" s="2" t="inlineStr"/>
    </row>
    <row r="181" ht="15" customHeight="1">
      <c r="A181" t="inlineStr">
        <is>
          <t>A 29828-2022</t>
        </is>
      </c>
      <c r="B181" s="1" t="n">
        <v>44755</v>
      </c>
      <c r="C181" s="1" t="n">
        <v>45969</v>
      </c>
      <c r="D181" t="inlineStr">
        <is>
          <t>JÄMTLANDS LÄN</t>
        </is>
      </c>
      <c r="E181" t="inlineStr">
        <is>
          <t>ÖSTERSUND</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44267-2021</t>
        </is>
      </c>
      <c r="B182" s="1" t="n">
        <v>44434</v>
      </c>
      <c r="C182" s="1" t="n">
        <v>45969</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47296-2022</t>
        </is>
      </c>
      <c r="B183" s="1" t="n">
        <v>44852.95248842592</v>
      </c>
      <c r="C183" s="1" t="n">
        <v>45969</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72041-2021</t>
        </is>
      </c>
      <c r="B184" s="1" t="n">
        <v>44540</v>
      </c>
      <c r="C184" s="1" t="n">
        <v>45969</v>
      </c>
      <c r="D184" t="inlineStr">
        <is>
          <t>JÄMTLANDS LÄN</t>
        </is>
      </c>
      <c r="E184" t="inlineStr">
        <is>
          <t>ÖSTERSUND</t>
        </is>
      </c>
      <c r="G184" t="n">
        <v>0.4</v>
      </c>
      <c r="H184" t="n">
        <v>0</v>
      </c>
      <c r="I184" t="n">
        <v>0</v>
      </c>
      <c r="J184" t="n">
        <v>0</v>
      </c>
      <c r="K184" t="n">
        <v>0</v>
      </c>
      <c r="L184" t="n">
        <v>0</v>
      </c>
      <c r="M184" t="n">
        <v>0</v>
      </c>
      <c r="N184" t="n">
        <v>0</v>
      </c>
      <c r="O184" t="n">
        <v>0</v>
      </c>
      <c r="P184" t="n">
        <v>0</v>
      </c>
      <c r="Q184" t="n">
        <v>0</v>
      </c>
      <c r="R184" s="2" t="inlineStr"/>
    </row>
    <row r="185" ht="15" customHeight="1">
      <c r="A185" t="inlineStr">
        <is>
          <t>A 17596-2021</t>
        </is>
      </c>
      <c r="B185" s="1" t="n">
        <v>44299</v>
      </c>
      <c r="C185" s="1" t="n">
        <v>45969</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23895-2021</t>
        </is>
      </c>
      <c r="B186" s="1" t="n">
        <v>44335</v>
      </c>
      <c r="C186" s="1" t="n">
        <v>45969</v>
      </c>
      <c r="D186" t="inlineStr">
        <is>
          <t>JÄMTLANDS LÄN</t>
        </is>
      </c>
      <c r="E186" t="inlineStr">
        <is>
          <t>ÖSTERSUND</t>
        </is>
      </c>
      <c r="G186" t="n">
        <v>0.6</v>
      </c>
      <c r="H186" t="n">
        <v>0</v>
      </c>
      <c r="I186" t="n">
        <v>0</v>
      </c>
      <c r="J186" t="n">
        <v>0</v>
      </c>
      <c r="K186" t="n">
        <v>0</v>
      </c>
      <c r="L186" t="n">
        <v>0</v>
      </c>
      <c r="M186" t="n">
        <v>0</v>
      </c>
      <c r="N186" t="n">
        <v>0</v>
      </c>
      <c r="O186" t="n">
        <v>0</v>
      </c>
      <c r="P186" t="n">
        <v>0</v>
      </c>
      <c r="Q186" t="n">
        <v>0</v>
      </c>
      <c r="R186" s="2" t="inlineStr"/>
    </row>
    <row r="187" ht="15" customHeight="1">
      <c r="A187" t="inlineStr">
        <is>
          <t>A 70816-2021</t>
        </is>
      </c>
      <c r="B187" s="1" t="n">
        <v>44537.935</v>
      </c>
      <c r="C187" s="1" t="n">
        <v>45969</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8227-2022</t>
        </is>
      </c>
      <c r="B188" s="1" t="n">
        <v>44609.93075231482</v>
      </c>
      <c r="C188" s="1" t="n">
        <v>45969</v>
      </c>
      <c r="D188" t="inlineStr">
        <is>
          <t>JÄMTLANDS LÄN</t>
        </is>
      </c>
      <c r="E188" t="inlineStr">
        <is>
          <t>ÖSTERSUND</t>
        </is>
      </c>
      <c r="G188" t="n">
        <v>6.6</v>
      </c>
      <c r="H188" t="n">
        <v>0</v>
      </c>
      <c r="I188" t="n">
        <v>0</v>
      </c>
      <c r="J188" t="n">
        <v>0</v>
      </c>
      <c r="K188" t="n">
        <v>0</v>
      </c>
      <c r="L188" t="n">
        <v>0</v>
      </c>
      <c r="M188" t="n">
        <v>0</v>
      </c>
      <c r="N188" t="n">
        <v>0</v>
      </c>
      <c r="O188" t="n">
        <v>0</v>
      </c>
      <c r="P188" t="n">
        <v>0</v>
      </c>
      <c r="Q188" t="n">
        <v>0</v>
      </c>
      <c r="R188" s="2" t="inlineStr"/>
    </row>
    <row r="189" ht="15" customHeight="1">
      <c r="A189" t="inlineStr">
        <is>
          <t>A 56148-2022</t>
        </is>
      </c>
      <c r="B189" s="1" t="n">
        <v>44889.89929398148</v>
      </c>
      <c r="C189" s="1" t="n">
        <v>45969</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66269-2020</t>
        </is>
      </c>
      <c r="B190" s="1" t="n">
        <v>44174</v>
      </c>
      <c r="C190" s="1" t="n">
        <v>45969</v>
      </c>
      <c r="D190" t="inlineStr">
        <is>
          <t>JÄMTLANDS LÄN</t>
        </is>
      </c>
      <c r="E190" t="inlineStr">
        <is>
          <t>ÖSTERSUND</t>
        </is>
      </c>
      <c r="F190" t="inlineStr">
        <is>
          <t>Övriga statliga verk och myndigheter</t>
        </is>
      </c>
      <c r="G190" t="n">
        <v>10</v>
      </c>
      <c r="H190" t="n">
        <v>0</v>
      </c>
      <c r="I190" t="n">
        <v>0</v>
      </c>
      <c r="J190" t="n">
        <v>0</v>
      </c>
      <c r="K190" t="n">
        <v>0</v>
      </c>
      <c r="L190" t="n">
        <v>0</v>
      </c>
      <c r="M190" t="n">
        <v>0</v>
      </c>
      <c r="N190" t="n">
        <v>0</v>
      </c>
      <c r="O190" t="n">
        <v>0</v>
      </c>
      <c r="P190" t="n">
        <v>0</v>
      </c>
      <c r="Q190" t="n">
        <v>0</v>
      </c>
      <c r="R190" s="2" t="inlineStr"/>
    </row>
    <row r="191" ht="15" customHeight="1">
      <c r="A191" t="inlineStr">
        <is>
          <t>A 65866-2021</t>
        </is>
      </c>
      <c r="B191" s="1" t="n">
        <v>44516</v>
      </c>
      <c r="C191" s="1" t="n">
        <v>45969</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45969</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2627-2024</t>
        </is>
      </c>
      <c r="B193" s="1" t="n">
        <v>45313.9496875</v>
      </c>
      <c r="C193" s="1" t="n">
        <v>45969</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65991-2021</t>
        </is>
      </c>
      <c r="B194" s="1" t="n">
        <v>44517.55134259259</v>
      </c>
      <c r="C194" s="1" t="n">
        <v>45969</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45969</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45969</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45969</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45969</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45969</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45969</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32994-2021</t>
        </is>
      </c>
      <c r="B201" s="1" t="n">
        <v>44375</v>
      </c>
      <c r="C201" s="1" t="n">
        <v>45969</v>
      </c>
      <c r="D201" t="inlineStr">
        <is>
          <t>JÄMTLANDS LÄN</t>
        </is>
      </c>
      <c r="E201" t="inlineStr">
        <is>
          <t>ÖSTERSUND</t>
        </is>
      </c>
      <c r="G201" t="n">
        <v>0.1</v>
      </c>
      <c r="H201" t="n">
        <v>0</v>
      </c>
      <c r="I201" t="n">
        <v>0</v>
      </c>
      <c r="J201" t="n">
        <v>0</v>
      </c>
      <c r="K201" t="n">
        <v>0</v>
      </c>
      <c r="L201" t="n">
        <v>0</v>
      </c>
      <c r="M201" t="n">
        <v>0</v>
      </c>
      <c r="N201" t="n">
        <v>0</v>
      </c>
      <c r="O201" t="n">
        <v>0</v>
      </c>
      <c r="P201" t="n">
        <v>0</v>
      </c>
      <c r="Q201" t="n">
        <v>0</v>
      </c>
      <c r="R201" s="2" t="inlineStr"/>
    </row>
    <row r="202" ht="15" customHeight="1">
      <c r="A202" t="inlineStr">
        <is>
          <t>A 45654-2022</t>
        </is>
      </c>
      <c r="B202" s="1" t="n">
        <v>44845.67710648148</v>
      </c>
      <c r="C202" s="1" t="n">
        <v>45969</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55002-2024</t>
        </is>
      </c>
      <c r="B203" s="1" t="n">
        <v>45621</v>
      </c>
      <c r="C203" s="1" t="n">
        <v>45969</v>
      </c>
      <c r="D203" t="inlineStr">
        <is>
          <t>JÄMTLANDS LÄN</t>
        </is>
      </c>
      <c r="E203" t="inlineStr">
        <is>
          <t>ÖSTERSUND</t>
        </is>
      </c>
      <c r="F203" t="inlineStr">
        <is>
          <t>Övriga Aktiebolag</t>
        </is>
      </c>
      <c r="G203" t="n">
        <v>0.3</v>
      </c>
      <c r="H203" t="n">
        <v>0</v>
      </c>
      <c r="I203" t="n">
        <v>0</v>
      </c>
      <c r="J203" t="n">
        <v>0</v>
      </c>
      <c r="K203" t="n">
        <v>0</v>
      </c>
      <c r="L203" t="n">
        <v>0</v>
      </c>
      <c r="M203" t="n">
        <v>0</v>
      </c>
      <c r="N203" t="n">
        <v>0</v>
      </c>
      <c r="O203" t="n">
        <v>0</v>
      </c>
      <c r="P203" t="n">
        <v>0</v>
      </c>
      <c r="Q203" t="n">
        <v>0</v>
      </c>
      <c r="R203" s="2" t="inlineStr"/>
    </row>
    <row r="204" ht="15" customHeight="1">
      <c r="A204" t="inlineStr">
        <is>
          <t>A 68408-2020</t>
        </is>
      </c>
      <c r="B204" s="1" t="n">
        <v>44186</v>
      </c>
      <c r="C204" s="1" t="n">
        <v>45969</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42832-2021</t>
        </is>
      </c>
      <c r="B205" s="1" t="n">
        <v>44430</v>
      </c>
      <c r="C205" s="1" t="n">
        <v>45969</v>
      </c>
      <c r="D205" t="inlineStr">
        <is>
          <t>JÄMTLANDS LÄN</t>
        </is>
      </c>
      <c r="E205" t="inlineStr">
        <is>
          <t>ÖSTERSUND</t>
        </is>
      </c>
      <c r="G205" t="n">
        <v>9</v>
      </c>
      <c r="H205" t="n">
        <v>0</v>
      </c>
      <c r="I205" t="n">
        <v>0</v>
      </c>
      <c r="J205" t="n">
        <v>0</v>
      </c>
      <c r="K205" t="n">
        <v>0</v>
      </c>
      <c r="L205" t="n">
        <v>0</v>
      </c>
      <c r="M205" t="n">
        <v>0</v>
      </c>
      <c r="N205" t="n">
        <v>0</v>
      </c>
      <c r="O205" t="n">
        <v>0</v>
      </c>
      <c r="P205" t="n">
        <v>0</v>
      </c>
      <c r="Q205" t="n">
        <v>0</v>
      </c>
      <c r="R205" s="2" t="inlineStr"/>
    </row>
    <row r="206" ht="15" customHeight="1">
      <c r="A206" t="inlineStr">
        <is>
          <t>A 6351-2024</t>
        </is>
      </c>
      <c r="B206" s="1" t="n">
        <v>45338</v>
      </c>
      <c r="C206" s="1" t="n">
        <v>45969</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35755-2021</t>
        </is>
      </c>
      <c r="B207" s="1" t="n">
        <v>44385</v>
      </c>
      <c r="C207" s="1" t="n">
        <v>45969</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14867-2025</t>
        </is>
      </c>
      <c r="B208" s="1" t="n">
        <v>45743.44207175926</v>
      </c>
      <c r="C208" s="1" t="n">
        <v>45969</v>
      </c>
      <c r="D208" t="inlineStr">
        <is>
          <t>JÄMTLANDS LÄN</t>
        </is>
      </c>
      <c r="E208" t="inlineStr">
        <is>
          <t>ÖSTERSUND</t>
        </is>
      </c>
      <c r="G208" t="n">
        <v>3.3</v>
      </c>
      <c r="H208" t="n">
        <v>0</v>
      </c>
      <c r="I208" t="n">
        <v>0</v>
      </c>
      <c r="J208" t="n">
        <v>0</v>
      </c>
      <c r="K208" t="n">
        <v>0</v>
      </c>
      <c r="L208" t="n">
        <v>0</v>
      </c>
      <c r="M208" t="n">
        <v>0</v>
      </c>
      <c r="N208" t="n">
        <v>0</v>
      </c>
      <c r="O208" t="n">
        <v>0</v>
      </c>
      <c r="P208" t="n">
        <v>0</v>
      </c>
      <c r="Q208" t="n">
        <v>0</v>
      </c>
      <c r="R208" s="2" t="inlineStr"/>
    </row>
    <row r="209" ht="15" customHeight="1">
      <c r="A209" t="inlineStr">
        <is>
          <t>A 14947-2025</t>
        </is>
      </c>
      <c r="B209" s="1" t="n">
        <v>45743.57336805556</v>
      </c>
      <c r="C209" s="1" t="n">
        <v>45969</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45969</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10590-2021</t>
        </is>
      </c>
      <c r="B211" s="1" t="n">
        <v>44258</v>
      </c>
      <c r="C211" s="1" t="n">
        <v>45969</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32990-2021</t>
        </is>
      </c>
      <c r="B212" s="1" t="n">
        <v>44375</v>
      </c>
      <c r="C212" s="1" t="n">
        <v>45969</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65410-2020</t>
        </is>
      </c>
      <c r="B213" s="1" t="n">
        <v>44173</v>
      </c>
      <c r="C213" s="1" t="n">
        <v>45969</v>
      </c>
      <c r="D213" t="inlineStr">
        <is>
          <t>JÄMTLANDS LÄN</t>
        </is>
      </c>
      <c r="E213" t="inlineStr">
        <is>
          <t>ÖSTERSUND</t>
        </is>
      </c>
      <c r="F213" t="inlineStr">
        <is>
          <t>Kommuner</t>
        </is>
      </c>
      <c r="G213" t="n">
        <v>0.8</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45969</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44013-2021</t>
        </is>
      </c>
      <c r="B215" s="1" t="n">
        <v>44434</v>
      </c>
      <c r="C215" s="1" t="n">
        <v>45969</v>
      </c>
      <c r="D215" t="inlineStr">
        <is>
          <t>JÄMTLANDS LÄN</t>
        </is>
      </c>
      <c r="E215" t="inlineStr">
        <is>
          <t>ÖSTERSUND</t>
        </is>
      </c>
      <c r="G215" t="n">
        <v>1.9</v>
      </c>
      <c r="H215" t="n">
        <v>0</v>
      </c>
      <c r="I215" t="n">
        <v>0</v>
      </c>
      <c r="J215" t="n">
        <v>0</v>
      </c>
      <c r="K215" t="n">
        <v>0</v>
      </c>
      <c r="L215" t="n">
        <v>0</v>
      </c>
      <c r="M215" t="n">
        <v>0</v>
      </c>
      <c r="N215" t="n">
        <v>0</v>
      </c>
      <c r="O215" t="n">
        <v>0</v>
      </c>
      <c r="P215" t="n">
        <v>0</v>
      </c>
      <c r="Q215" t="n">
        <v>0</v>
      </c>
      <c r="R215" s="2" t="inlineStr"/>
    </row>
    <row r="216" ht="15" customHeight="1">
      <c r="A216" t="inlineStr">
        <is>
          <t>A 11182-2025</t>
        </is>
      </c>
      <c r="B216" s="1" t="n">
        <v>45725.44297453704</v>
      </c>
      <c r="C216" s="1" t="n">
        <v>45969</v>
      </c>
      <c r="D216" t="inlineStr">
        <is>
          <t>JÄMTLANDS LÄN</t>
        </is>
      </c>
      <c r="E216" t="inlineStr">
        <is>
          <t>ÖSTERSUND</t>
        </is>
      </c>
      <c r="G216" t="n">
        <v>3.3</v>
      </c>
      <c r="H216" t="n">
        <v>0</v>
      </c>
      <c r="I216" t="n">
        <v>0</v>
      </c>
      <c r="J216" t="n">
        <v>0</v>
      </c>
      <c r="K216" t="n">
        <v>0</v>
      </c>
      <c r="L216" t="n">
        <v>0</v>
      </c>
      <c r="M216" t="n">
        <v>0</v>
      </c>
      <c r="N216" t="n">
        <v>0</v>
      </c>
      <c r="O216" t="n">
        <v>0</v>
      </c>
      <c r="P216" t="n">
        <v>0</v>
      </c>
      <c r="Q216" t="n">
        <v>0</v>
      </c>
      <c r="R216" s="2" t="inlineStr"/>
    </row>
    <row r="217" ht="15" customHeight="1">
      <c r="A217" t="inlineStr">
        <is>
          <t>A 21849-2021</t>
        </is>
      </c>
      <c r="B217" s="1" t="n">
        <v>44322</v>
      </c>
      <c r="C217" s="1" t="n">
        <v>45969</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24721-2021</t>
        </is>
      </c>
      <c r="B218" s="1" t="n">
        <v>44340</v>
      </c>
      <c r="C218" s="1" t="n">
        <v>45969</v>
      </c>
      <c r="D218" t="inlineStr">
        <is>
          <t>JÄMTLANDS LÄN</t>
        </is>
      </c>
      <c r="E218" t="inlineStr">
        <is>
          <t>ÖSTERSUND</t>
        </is>
      </c>
      <c r="G218" t="n">
        <v>2.7</v>
      </c>
      <c r="H218" t="n">
        <v>0</v>
      </c>
      <c r="I218" t="n">
        <v>0</v>
      </c>
      <c r="J218" t="n">
        <v>0</v>
      </c>
      <c r="K218" t="n">
        <v>0</v>
      </c>
      <c r="L218" t="n">
        <v>0</v>
      </c>
      <c r="M218" t="n">
        <v>0</v>
      </c>
      <c r="N218" t="n">
        <v>0</v>
      </c>
      <c r="O218" t="n">
        <v>0</v>
      </c>
      <c r="P218" t="n">
        <v>0</v>
      </c>
      <c r="Q218" t="n">
        <v>0</v>
      </c>
      <c r="R218" s="2" t="inlineStr"/>
    </row>
    <row r="219" ht="15" customHeight="1">
      <c r="A219" t="inlineStr">
        <is>
          <t>A 52128-2023</t>
        </is>
      </c>
      <c r="B219" s="1" t="n">
        <v>45223</v>
      </c>
      <c r="C219" s="1" t="n">
        <v>45969</v>
      </c>
      <c r="D219" t="inlineStr">
        <is>
          <t>JÄMTLANDS LÄN</t>
        </is>
      </c>
      <c r="E219" t="inlineStr">
        <is>
          <t>ÖSTERSUND</t>
        </is>
      </c>
      <c r="F219" t="inlineStr">
        <is>
          <t>SCA</t>
        </is>
      </c>
      <c r="G219" t="n">
        <v>11.9</v>
      </c>
      <c r="H219" t="n">
        <v>0</v>
      </c>
      <c r="I219" t="n">
        <v>0</v>
      </c>
      <c r="J219" t="n">
        <v>0</v>
      </c>
      <c r="K219" t="n">
        <v>0</v>
      </c>
      <c r="L219" t="n">
        <v>0</v>
      </c>
      <c r="M219" t="n">
        <v>0</v>
      </c>
      <c r="N219" t="n">
        <v>0</v>
      </c>
      <c r="O219" t="n">
        <v>0</v>
      </c>
      <c r="P219" t="n">
        <v>0</v>
      </c>
      <c r="Q219" t="n">
        <v>0</v>
      </c>
      <c r="R219" s="2" t="inlineStr"/>
    </row>
    <row r="220" ht="15" customHeight="1">
      <c r="A220" t="inlineStr">
        <is>
          <t>A 65428-2021</t>
        </is>
      </c>
      <c r="B220" s="1" t="n">
        <v>44515</v>
      </c>
      <c r="C220" s="1" t="n">
        <v>45969</v>
      </c>
      <c r="D220" t="inlineStr">
        <is>
          <t>JÄMTLANDS LÄN</t>
        </is>
      </c>
      <c r="E220" t="inlineStr">
        <is>
          <t>ÖSTERSUND</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12821-2023</t>
        </is>
      </c>
      <c r="B221" s="1" t="n">
        <v>45000</v>
      </c>
      <c r="C221" s="1" t="n">
        <v>45969</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45969</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50088-2024</t>
        </is>
      </c>
      <c r="B223" s="1" t="n">
        <v>45600.38585648148</v>
      </c>
      <c r="C223" s="1" t="n">
        <v>45969</v>
      </c>
      <c r="D223" t="inlineStr">
        <is>
          <t>JÄMTLANDS LÄN</t>
        </is>
      </c>
      <c r="E223" t="inlineStr">
        <is>
          <t>ÖSTERSUND</t>
        </is>
      </c>
      <c r="F223" t="inlineStr">
        <is>
          <t>SCA</t>
        </is>
      </c>
      <c r="G223" t="n">
        <v>1.2</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45969</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45969</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45969</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24786-2024</t>
        </is>
      </c>
      <c r="B227" s="1" t="n">
        <v>45460.81277777778</v>
      </c>
      <c r="C227" s="1" t="n">
        <v>45969</v>
      </c>
      <c r="D227" t="inlineStr">
        <is>
          <t>JÄMTLANDS LÄN</t>
        </is>
      </c>
      <c r="E227" t="inlineStr">
        <is>
          <t>ÖSTERSUND</t>
        </is>
      </c>
      <c r="G227" t="n">
        <v>0.1</v>
      </c>
      <c r="H227" t="n">
        <v>0</v>
      </c>
      <c r="I227" t="n">
        <v>0</v>
      </c>
      <c r="J227" t="n">
        <v>0</v>
      </c>
      <c r="K227" t="n">
        <v>0</v>
      </c>
      <c r="L227" t="n">
        <v>0</v>
      </c>
      <c r="M227" t="n">
        <v>0</v>
      </c>
      <c r="N227" t="n">
        <v>0</v>
      </c>
      <c r="O227" t="n">
        <v>0</v>
      </c>
      <c r="P227" t="n">
        <v>0</v>
      </c>
      <c r="Q227" t="n">
        <v>0</v>
      </c>
      <c r="R227" s="2" t="inlineStr"/>
    </row>
    <row r="228" ht="15" customHeight="1">
      <c r="A228" t="inlineStr">
        <is>
          <t>A 17066-2024</t>
        </is>
      </c>
      <c r="B228" s="1" t="n">
        <v>45412.46636574074</v>
      </c>
      <c r="C228" s="1" t="n">
        <v>45969</v>
      </c>
      <c r="D228" t="inlineStr">
        <is>
          <t>JÄMTLANDS LÄN</t>
        </is>
      </c>
      <c r="E228" t="inlineStr">
        <is>
          <t>ÖSTERSUND</t>
        </is>
      </c>
      <c r="G228" t="n">
        <v>4.2</v>
      </c>
      <c r="H228" t="n">
        <v>0</v>
      </c>
      <c r="I228" t="n">
        <v>0</v>
      </c>
      <c r="J228" t="n">
        <v>0</v>
      </c>
      <c r="K228" t="n">
        <v>0</v>
      </c>
      <c r="L228" t="n">
        <v>0</v>
      </c>
      <c r="M228" t="n">
        <v>0</v>
      </c>
      <c r="N228" t="n">
        <v>0</v>
      </c>
      <c r="O228" t="n">
        <v>0</v>
      </c>
      <c r="P228" t="n">
        <v>0</v>
      </c>
      <c r="Q228" t="n">
        <v>0</v>
      </c>
      <c r="R228" s="2" t="inlineStr"/>
    </row>
    <row r="229" ht="15" customHeight="1">
      <c r="A229" t="inlineStr">
        <is>
          <t>A 8423-2023</t>
        </is>
      </c>
      <c r="B229" s="1" t="n">
        <v>44977</v>
      </c>
      <c r="C229" s="1" t="n">
        <v>45969</v>
      </c>
      <c r="D229" t="inlineStr">
        <is>
          <t>JÄMTLANDS LÄN</t>
        </is>
      </c>
      <c r="E229" t="inlineStr">
        <is>
          <t>ÖSTERSUND</t>
        </is>
      </c>
      <c r="F229" t="inlineStr">
        <is>
          <t>Övriga Aktiebolag</t>
        </is>
      </c>
      <c r="G229" t="n">
        <v>53.1</v>
      </c>
      <c r="H229" t="n">
        <v>0</v>
      </c>
      <c r="I229" t="n">
        <v>0</v>
      </c>
      <c r="J229" t="n">
        <v>0</v>
      </c>
      <c r="K229" t="n">
        <v>0</v>
      </c>
      <c r="L229" t="n">
        <v>0</v>
      </c>
      <c r="M229" t="n">
        <v>0</v>
      </c>
      <c r="N229" t="n">
        <v>0</v>
      </c>
      <c r="O229" t="n">
        <v>0</v>
      </c>
      <c r="P229" t="n">
        <v>0</v>
      </c>
      <c r="Q229" t="n">
        <v>0</v>
      </c>
      <c r="R229" s="2" t="inlineStr"/>
    </row>
    <row r="230" ht="15" customHeight="1">
      <c r="A230" t="inlineStr">
        <is>
          <t>A 3749-2023</t>
        </is>
      </c>
      <c r="B230" s="1" t="n">
        <v>44949</v>
      </c>
      <c r="C230" s="1" t="n">
        <v>45969</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14657-2022</t>
        </is>
      </c>
      <c r="B231" s="1" t="n">
        <v>44655</v>
      </c>
      <c r="C231" s="1" t="n">
        <v>45969</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5145-2022</t>
        </is>
      </c>
      <c r="B232" s="1" t="n">
        <v>44594</v>
      </c>
      <c r="C232" s="1" t="n">
        <v>45969</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13024-2022</t>
        </is>
      </c>
      <c r="B233" s="1" t="n">
        <v>44643</v>
      </c>
      <c r="C233" s="1" t="n">
        <v>45969</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4350-2024</t>
        </is>
      </c>
      <c r="B234" s="1" t="n">
        <v>45324.93804398148</v>
      </c>
      <c r="C234" s="1" t="n">
        <v>45969</v>
      </c>
      <c r="D234" t="inlineStr">
        <is>
          <t>JÄMTLANDS LÄN</t>
        </is>
      </c>
      <c r="E234" t="inlineStr">
        <is>
          <t>ÖSTERSUND</t>
        </is>
      </c>
      <c r="F234" t="inlineStr">
        <is>
          <t>SCA</t>
        </is>
      </c>
      <c r="G234" t="n">
        <v>6</v>
      </c>
      <c r="H234" t="n">
        <v>0</v>
      </c>
      <c r="I234" t="n">
        <v>0</v>
      </c>
      <c r="J234" t="n">
        <v>0</v>
      </c>
      <c r="K234" t="n">
        <v>0</v>
      </c>
      <c r="L234" t="n">
        <v>0</v>
      </c>
      <c r="M234" t="n">
        <v>0</v>
      </c>
      <c r="N234" t="n">
        <v>0</v>
      </c>
      <c r="O234" t="n">
        <v>0</v>
      </c>
      <c r="P234" t="n">
        <v>0</v>
      </c>
      <c r="Q234" t="n">
        <v>0</v>
      </c>
      <c r="R234" s="2" t="inlineStr"/>
    </row>
    <row r="235" ht="15" customHeight="1">
      <c r="A235" t="inlineStr">
        <is>
          <t>A 29128-2022</t>
        </is>
      </c>
      <c r="B235" s="1" t="n">
        <v>44750</v>
      </c>
      <c r="C235" s="1" t="n">
        <v>45969</v>
      </c>
      <c r="D235" t="inlineStr">
        <is>
          <t>JÄMTLANDS LÄN</t>
        </is>
      </c>
      <c r="E235" t="inlineStr">
        <is>
          <t>ÖSTERSUND</t>
        </is>
      </c>
      <c r="G235" t="n">
        <v>3</v>
      </c>
      <c r="H235" t="n">
        <v>0</v>
      </c>
      <c r="I235" t="n">
        <v>0</v>
      </c>
      <c r="J235" t="n">
        <v>0</v>
      </c>
      <c r="K235" t="n">
        <v>0</v>
      </c>
      <c r="L235" t="n">
        <v>0</v>
      </c>
      <c r="M235" t="n">
        <v>0</v>
      </c>
      <c r="N235" t="n">
        <v>0</v>
      </c>
      <c r="O235" t="n">
        <v>0</v>
      </c>
      <c r="P235" t="n">
        <v>0</v>
      </c>
      <c r="Q235" t="n">
        <v>0</v>
      </c>
      <c r="R235" s="2" t="inlineStr"/>
    </row>
    <row r="236" ht="15" customHeight="1">
      <c r="A236" t="inlineStr">
        <is>
          <t>A 24312-2021</t>
        </is>
      </c>
      <c r="B236" s="1" t="n">
        <v>44336</v>
      </c>
      <c r="C236" s="1" t="n">
        <v>45969</v>
      </c>
      <c r="D236" t="inlineStr">
        <is>
          <t>JÄMTLANDS LÄN</t>
        </is>
      </c>
      <c r="E236" t="inlineStr">
        <is>
          <t>ÖSTERSUND</t>
        </is>
      </c>
      <c r="G236" t="n">
        <v>10.6</v>
      </c>
      <c r="H236" t="n">
        <v>0</v>
      </c>
      <c r="I236" t="n">
        <v>0</v>
      </c>
      <c r="J236" t="n">
        <v>0</v>
      </c>
      <c r="K236" t="n">
        <v>0</v>
      </c>
      <c r="L236" t="n">
        <v>0</v>
      </c>
      <c r="M236" t="n">
        <v>0</v>
      </c>
      <c r="N236" t="n">
        <v>0</v>
      </c>
      <c r="O236" t="n">
        <v>0</v>
      </c>
      <c r="P236" t="n">
        <v>0</v>
      </c>
      <c r="Q236" t="n">
        <v>0</v>
      </c>
      <c r="R236" s="2" t="inlineStr"/>
    </row>
    <row r="237" ht="15" customHeight="1">
      <c r="A237" t="inlineStr">
        <is>
          <t>A 7233-2025</t>
        </is>
      </c>
      <c r="B237" s="1" t="n">
        <v>45702.51765046296</v>
      </c>
      <c r="C237" s="1" t="n">
        <v>45969</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15659-2021</t>
        </is>
      </c>
      <c r="B238" s="1" t="n">
        <v>44298</v>
      </c>
      <c r="C238" s="1" t="n">
        <v>45969</v>
      </c>
      <c r="D238" t="inlineStr">
        <is>
          <t>JÄMTLANDS LÄN</t>
        </is>
      </c>
      <c r="E238" t="inlineStr">
        <is>
          <t>ÖSTERSUND</t>
        </is>
      </c>
      <c r="G238" t="n">
        <v>13.3</v>
      </c>
      <c r="H238" t="n">
        <v>0</v>
      </c>
      <c r="I238" t="n">
        <v>0</v>
      </c>
      <c r="J238" t="n">
        <v>0</v>
      </c>
      <c r="K238" t="n">
        <v>0</v>
      </c>
      <c r="L238" t="n">
        <v>0</v>
      </c>
      <c r="M238" t="n">
        <v>0</v>
      </c>
      <c r="N238" t="n">
        <v>0</v>
      </c>
      <c r="O238" t="n">
        <v>0</v>
      </c>
      <c r="P238" t="n">
        <v>0</v>
      </c>
      <c r="Q238" t="n">
        <v>0</v>
      </c>
      <c r="R238" s="2" t="inlineStr"/>
    </row>
    <row r="239" ht="15" customHeight="1">
      <c r="A239" t="inlineStr">
        <is>
          <t>A 38142-2021</t>
        </is>
      </c>
      <c r="B239" s="1" t="n">
        <v>44405</v>
      </c>
      <c r="C239" s="1" t="n">
        <v>45969</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45969</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5341-2025</t>
        </is>
      </c>
      <c r="B241" s="1" t="n">
        <v>45692.55256944444</v>
      </c>
      <c r="C241" s="1" t="n">
        <v>45969</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55678-2023</t>
        </is>
      </c>
      <c r="B242" s="1" t="n">
        <v>45239.33032407407</v>
      </c>
      <c r="C242" s="1" t="n">
        <v>45969</v>
      </c>
      <c r="D242" t="inlineStr">
        <is>
          <t>JÄMTLANDS LÄN</t>
        </is>
      </c>
      <c r="E242" t="inlineStr">
        <is>
          <t>ÖSTERSUND</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23563-2022</t>
        </is>
      </c>
      <c r="B243" s="1" t="n">
        <v>44721.47241898148</v>
      </c>
      <c r="C243" s="1" t="n">
        <v>45969</v>
      </c>
      <c r="D243" t="inlineStr">
        <is>
          <t>JÄMTLANDS LÄN</t>
        </is>
      </c>
      <c r="E243" t="inlineStr">
        <is>
          <t>ÖSTERSUND</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1255-2025</t>
        </is>
      </c>
      <c r="B244" s="1" t="n">
        <v>45667.46922453704</v>
      </c>
      <c r="C244" s="1" t="n">
        <v>45969</v>
      </c>
      <c r="D244" t="inlineStr">
        <is>
          <t>JÄMTLANDS LÄN</t>
        </is>
      </c>
      <c r="E244" t="inlineStr">
        <is>
          <t>ÖSTERSUND</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53380-2023</t>
        </is>
      </c>
      <c r="B245" s="1" t="n">
        <v>45223</v>
      </c>
      <c r="C245" s="1" t="n">
        <v>45969</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5549-2025</t>
        </is>
      </c>
      <c r="B246" s="1" t="n">
        <v>45693</v>
      </c>
      <c r="C246" s="1" t="n">
        <v>45969</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46139-2021</t>
        </is>
      </c>
      <c r="B247" s="1" t="n">
        <v>44441</v>
      </c>
      <c r="C247" s="1" t="n">
        <v>45969</v>
      </c>
      <c r="D247" t="inlineStr">
        <is>
          <t>JÄMTLANDS LÄN</t>
        </is>
      </c>
      <c r="E247" t="inlineStr">
        <is>
          <t>ÖSTERSUND</t>
        </is>
      </c>
      <c r="G247" t="n">
        <v>12.8</v>
      </c>
      <c r="H247" t="n">
        <v>0</v>
      </c>
      <c r="I247" t="n">
        <v>0</v>
      </c>
      <c r="J247" t="n">
        <v>0</v>
      </c>
      <c r="K247" t="n">
        <v>0</v>
      </c>
      <c r="L247" t="n">
        <v>0</v>
      </c>
      <c r="M247" t="n">
        <v>0</v>
      </c>
      <c r="N247" t="n">
        <v>0</v>
      </c>
      <c r="O247" t="n">
        <v>0</v>
      </c>
      <c r="P247" t="n">
        <v>0</v>
      </c>
      <c r="Q247" t="n">
        <v>0</v>
      </c>
      <c r="R247" s="2" t="inlineStr"/>
    </row>
    <row r="248" ht="15" customHeight="1">
      <c r="A248" t="inlineStr">
        <is>
          <t>A 64645-2021</t>
        </is>
      </c>
      <c r="B248" s="1" t="n">
        <v>44511.94629629629</v>
      </c>
      <c r="C248" s="1" t="n">
        <v>45969</v>
      </c>
      <c r="D248" t="inlineStr">
        <is>
          <t>JÄMTLANDS LÄN</t>
        </is>
      </c>
      <c r="E248" t="inlineStr">
        <is>
          <t>ÖSTERSUND</t>
        </is>
      </c>
      <c r="G248" t="n">
        <v>3.2</v>
      </c>
      <c r="H248" t="n">
        <v>0</v>
      </c>
      <c r="I248" t="n">
        <v>0</v>
      </c>
      <c r="J248" t="n">
        <v>0</v>
      </c>
      <c r="K248" t="n">
        <v>0</v>
      </c>
      <c r="L248" t="n">
        <v>0</v>
      </c>
      <c r="M248" t="n">
        <v>0</v>
      </c>
      <c r="N248" t="n">
        <v>0</v>
      </c>
      <c r="O248" t="n">
        <v>0</v>
      </c>
      <c r="P248" t="n">
        <v>0</v>
      </c>
      <c r="Q248" t="n">
        <v>0</v>
      </c>
      <c r="R248" s="2" t="inlineStr"/>
    </row>
    <row r="249" ht="15" customHeight="1">
      <c r="A249" t="inlineStr">
        <is>
          <t>A 15669-2025</t>
        </is>
      </c>
      <c r="B249" s="1" t="n">
        <v>45748.4396412037</v>
      </c>
      <c r="C249" s="1" t="n">
        <v>45969</v>
      </c>
      <c r="D249" t="inlineStr">
        <is>
          <t>JÄMTLANDS LÄN</t>
        </is>
      </c>
      <c r="E249" t="inlineStr">
        <is>
          <t>ÖSTERSUND</t>
        </is>
      </c>
      <c r="G249" t="n">
        <v>0.9</v>
      </c>
      <c r="H249" t="n">
        <v>0</v>
      </c>
      <c r="I249" t="n">
        <v>0</v>
      </c>
      <c r="J249" t="n">
        <v>0</v>
      </c>
      <c r="K249" t="n">
        <v>0</v>
      </c>
      <c r="L249" t="n">
        <v>0</v>
      </c>
      <c r="M249" t="n">
        <v>0</v>
      </c>
      <c r="N249" t="n">
        <v>0</v>
      </c>
      <c r="O249" t="n">
        <v>0</v>
      </c>
      <c r="P249" t="n">
        <v>0</v>
      </c>
      <c r="Q249" t="n">
        <v>0</v>
      </c>
      <c r="R249" s="2" t="inlineStr"/>
    </row>
    <row r="250" ht="15" customHeight="1">
      <c r="A250" t="inlineStr">
        <is>
          <t>A 33831-2021</t>
        </is>
      </c>
      <c r="B250" s="1" t="n">
        <v>44378</v>
      </c>
      <c r="C250" s="1" t="n">
        <v>45969</v>
      </c>
      <c r="D250" t="inlineStr">
        <is>
          <t>JÄMTLANDS LÄN</t>
        </is>
      </c>
      <c r="E250" t="inlineStr">
        <is>
          <t>ÖSTERSUND</t>
        </is>
      </c>
      <c r="G250" t="n">
        <v>2.5</v>
      </c>
      <c r="H250" t="n">
        <v>0</v>
      </c>
      <c r="I250" t="n">
        <v>0</v>
      </c>
      <c r="J250" t="n">
        <v>0</v>
      </c>
      <c r="K250" t="n">
        <v>0</v>
      </c>
      <c r="L250" t="n">
        <v>0</v>
      </c>
      <c r="M250" t="n">
        <v>0</v>
      </c>
      <c r="N250" t="n">
        <v>0</v>
      </c>
      <c r="O250" t="n">
        <v>0</v>
      </c>
      <c r="P250" t="n">
        <v>0</v>
      </c>
      <c r="Q250" t="n">
        <v>0</v>
      </c>
      <c r="R250" s="2" t="inlineStr"/>
    </row>
    <row r="251" ht="15" customHeight="1">
      <c r="A251" t="inlineStr">
        <is>
          <t>A 2984-2024</t>
        </is>
      </c>
      <c r="B251" s="1" t="n">
        <v>45315</v>
      </c>
      <c r="C251" s="1" t="n">
        <v>45969</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10756-2025</t>
        </is>
      </c>
      <c r="B252" s="1" t="n">
        <v>45722.44892361111</v>
      </c>
      <c r="C252" s="1" t="n">
        <v>45969</v>
      </c>
      <c r="D252" t="inlineStr">
        <is>
          <t>JÄMTLANDS LÄN</t>
        </is>
      </c>
      <c r="E252" t="inlineStr">
        <is>
          <t>ÖSTERSUND</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54913-2024</t>
        </is>
      </c>
      <c r="B253" s="1" t="n">
        <v>45618.6917824074</v>
      </c>
      <c r="C253" s="1" t="n">
        <v>45969</v>
      </c>
      <c r="D253" t="inlineStr">
        <is>
          <t>JÄMTLANDS LÄN</t>
        </is>
      </c>
      <c r="E253" t="inlineStr">
        <is>
          <t>ÖSTERSUND</t>
        </is>
      </c>
      <c r="G253" t="n">
        <v>4.7</v>
      </c>
      <c r="H253" t="n">
        <v>0</v>
      </c>
      <c r="I253" t="n">
        <v>0</v>
      </c>
      <c r="J253" t="n">
        <v>0</v>
      </c>
      <c r="K253" t="n">
        <v>0</v>
      </c>
      <c r="L253" t="n">
        <v>0</v>
      </c>
      <c r="M253" t="n">
        <v>0</v>
      </c>
      <c r="N253" t="n">
        <v>0</v>
      </c>
      <c r="O253" t="n">
        <v>0</v>
      </c>
      <c r="P253" t="n">
        <v>0</v>
      </c>
      <c r="Q253" t="n">
        <v>0</v>
      </c>
      <c r="R253" s="2" t="inlineStr"/>
    </row>
    <row r="254" ht="15" customHeight="1">
      <c r="A254" t="inlineStr">
        <is>
          <t>A 50218-2024</t>
        </is>
      </c>
      <c r="B254" s="1" t="n">
        <v>45600.53160879629</v>
      </c>
      <c r="C254" s="1" t="n">
        <v>45969</v>
      </c>
      <c r="D254" t="inlineStr">
        <is>
          <t>JÄMTLANDS LÄN</t>
        </is>
      </c>
      <c r="E254" t="inlineStr">
        <is>
          <t>ÖSTERSUND</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9971-2025</t>
        </is>
      </c>
      <c r="B255" s="1" t="n">
        <v>45719.38630787037</v>
      </c>
      <c r="C255" s="1" t="n">
        <v>45969</v>
      </c>
      <c r="D255" t="inlineStr">
        <is>
          <t>JÄMTLANDS LÄN</t>
        </is>
      </c>
      <c r="E255" t="inlineStr">
        <is>
          <t>ÖSTERSUND</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25385-2024</t>
        </is>
      </c>
      <c r="B256" s="1" t="n">
        <v>45462.96347222223</v>
      </c>
      <c r="C256" s="1" t="n">
        <v>45969</v>
      </c>
      <c r="D256" t="inlineStr">
        <is>
          <t>JÄMTLANDS LÄN</t>
        </is>
      </c>
      <c r="E256" t="inlineStr">
        <is>
          <t>ÖSTERSUND</t>
        </is>
      </c>
      <c r="F256" t="inlineStr">
        <is>
          <t>SCA</t>
        </is>
      </c>
      <c r="G256" t="n">
        <v>5.2</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45969</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38871-2025</t>
        </is>
      </c>
      <c r="B258" s="1" t="n">
        <v>45887.57407407407</v>
      </c>
      <c r="C258" s="1" t="n">
        <v>45969</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30602-2023</t>
        </is>
      </c>
      <c r="B259" s="1" t="n">
        <v>45112</v>
      </c>
      <c r="C259" s="1" t="n">
        <v>45969</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1893-2023</t>
        </is>
      </c>
      <c r="B260" s="1" t="n">
        <v>44937</v>
      </c>
      <c r="C260" s="1" t="n">
        <v>45969</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39030-2025</t>
        </is>
      </c>
      <c r="B261" s="1" t="n">
        <v>45888.40700231482</v>
      </c>
      <c r="C261" s="1" t="n">
        <v>45969</v>
      </c>
      <c r="D261" t="inlineStr">
        <is>
          <t>JÄMTLANDS LÄN</t>
        </is>
      </c>
      <c r="E261" t="inlineStr">
        <is>
          <t>ÖSTERSUND</t>
        </is>
      </c>
      <c r="G261" t="n">
        <v>1.8</v>
      </c>
      <c r="H261" t="n">
        <v>0</v>
      </c>
      <c r="I261" t="n">
        <v>0</v>
      </c>
      <c r="J261" t="n">
        <v>0</v>
      </c>
      <c r="K261" t="n">
        <v>0</v>
      </c>
      <c r="L261" t="n">
        <v>0</v>
      </c>
      <c r="M261" t="n">
        <v>0</v>
      </c>
      <c r="N261" t="n">
        <v>0</v>
      </c>
      <c r="O261" t="n">
        <v>0</v>
      </c>
      <c r="P261" t="n">
        <v>0</v>
      </c>
      <c r="Q261" t="n">
        <v>0</v>
      </c>
      <c r="R261" s="2" t="inlineStr"/>
    </row>
    <row r="262" ht="15" customHeight="1">
      <c r="A262" t="inlineStr">
        <is>
          <t>A 17574-2022</t>
        </is>
      </c>
      <c r="B262" s="1" t="n">
        <v>44679.92574074074</v>
      </c>
      <c r="C262" s="1" t="n">
        <v>45969</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38853-2025</t>
        </is>
      </c>
      <c r="B263" s="1" t="n">
        <v>45887.55666666666</v>
      </c>
      <c r="C263" s="1" t="n">
        <v>45969</v>
      </c>
      <c r="D263" t="inlineStr">
        <is>
          <t>JÄMTLANDS LÄN</t>
        </is>
      </c>
      <c r="E263" t="inlineStr">
        <is>
          <t>ÖSTERSUND</t>
        </is>
      </c>
      <c r="G263" t="n">
        <v>2.5</v>
      </c>
      <c r="H263" t="n">
        <v>0</v>
      </c>
      <c r="I263" t="n">
        <v>0</v>
      </c>
      <c r="J263" t="n">
        <v>0</v>
      </c>
      <c r="K263" t="n">
        <v>0</v>
      </c>
      <c r="L263" t="n">
        <v>0</v>
      </c>
      <c r="M263" t="n">
        <v>0</v>
      </c>
      <c r="N263" t="n">
        <v>0</v>
      </c>
      <c r="O263" t="n">
        <v>0</v>
      </c>
      <c r="P263" t="n">
        <v>0</v>
      </c>
      <c r="Q263" t="n">
        <v>0</v>
      </c>
      <c r="R263" s="2" t="inlineStr"/>
    </row>
    <row r="264" ht="15" customHeight="1">
      <c r="A264" t="inlineStr">
        <is>
          <t>A 46748-2023</t>
        </is>
      </c>
      <c r="B264" s="1" t="n">
        <v>45198</v>
      </c>
      <c r="C264" s="1" t="n">
        <v>45969</v>
      </c>
      <c r="D264" t="inlineStr">
        <is>
          <t>JÄMTLANDS LÄN</t>
        </is>
      </c>
      <c r="E264" t="inlineStr">
        <is>
          <t>ÖSTERSUND</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46763-2023</t>
        </is>
      </c>
      <c r="B265" s="1" t="n">
        <v>45198</v>
      </c>
      <c r="C265" s="1" t="n">
        <v>45969</v>
      </c>
      <c r="D265" t="inlineStr">
        <is>
          <t>JÄMTLANDS LÄN</t>
        </is>
      </c>
      <c r="E265" t="inlineStr">
        <is>
          <t>ÖSTERSUND</t>
        </is>
      </c>
      <c r="F265" t="inlineStr">
        <is>
          <t>Sveaskog</t>
        </is>
      </c>
      <c r="G265" t="n">
        <v>13.3</v>
      </c>
      <c r="H265" t="n">
        <v>0</v>
      </c>
      <c r="I265" t="n">
        <v>0</v>
      </c>
      <c r="J265" t="n">
        <v>0</v>
      </c>
      <c r="K265" t="n">
        <v>0</v>
      </c>
      <c r="L265" t="n">
        <v>0</v>
      </c>
      <c r="M265" t="n">
        <v>0</v>
      </c>
      <c r="N265" t="n">
        <v>0</v>
      </c>
      <c r="O265" t="n">
        <v>0</v>
      </c>
      <c r="P265" t="n">
        <v>0</v>
      </c>
      <c r="Q265" t="n">
        <v>0</v>
      </c>
      <c r="R265" s="2" t="inlineStr"/>
    </row>
    <row r="266" ht="15" customHeight="1">
      <c r="A266" t="inlineStr">
        <is>
          <t>A 16335-2025</t>
        </is>
      </c>
      <c r="B266" s="1" t="n">
        <v>45751.36518518518</v>
      </c>
      <c r="C266" s="1" t="n">
        <v>45969</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56646-2024</t>
        </is>
      </c>
      <c r="B267" s="1" t="n">
        <v>45625</v>
      </c>
      <c r="C267" s="1" t="n">
        <v>45969</v>
      </c>
      <c r="D267" t="inlineStr">
        <is>
          <t>JÄMTLANDS LÄN</t>
        </is>
      </c>
      <c r="E267" t="inlineStr">
        <is>
          <t>ÖSTERSUND</t>
        </is>
      </c>
      <c r="G267" t="n">
        <v>18.9</v>
      </c>
      <c r="H267" t="n">
        <v>0</v>
      </c>
      <c r="I267" t="n">
        <v>0</v>
      </c>
      <c r="J267" t="n">
        <v>0</v>
      </c>
      <c r="K267" t="n">
        <v>0</v>
      </c>
      <c r="L267" t="n">
        <v>0</v>
      </c>
      <c r="M267" t="n">
        <v>0</v>
      </c>
      <c r="N267" t="n">
        <v>0</v>
      </c>
      <c r="O267" t="n">
        <v>0</v>
      </c>
      <c r="P267" t="n">
        <v>0</v>
      </c>
      <c r="Q267" t="n">
        <v>0</v>
      </c>
      <c r="R267" s="2" t="inlineStr"/>
    </row>
    <row r="268" ht="15" customHeight="1">
      <c r="A268" t="inlineStr">
        <is>
          <t>A 47128-2025</t>
        </is>
      </c>
      <c r="B268" s="1" t="n">
        <v>45929.69074074074</v>
      </c>
      <c r="C268" s="1" t="n">
        <v>45969</v>
      </c>
      <c r="D268" t="inlineStr">
        <is>
          <t>JÄMTLANDS LÄN</t>
        </is>
      </c>
      <c r="E268" t="inlineStr">
        <is>
          <t>ÖSTERSUND</t>
        </is>
      </c>
      <c r="G268" t="n">
        <v>4.1</v>
      </c>
      <c r="H268" t="n">
        <v>0</v>
      </c>
      <c r="I268" t="n">
        <v>0</v>
      </c>
      <c r="J268" t="n">
        <v>0</v>
      </c>
      <c r="K268" t="n">
        <v>0</v>
      </c>
      <c r="L268" t="n">
        <v>0</v>
      </c>
      <c r="M268" t="n">
        <v>0</v>
      </c>
      <c r="N268" t="n">
        <v>0</v>
      </c>
      <c r="O268" t="n">
        <v>0</v>
      </c>
      <c r="P268" t="n">
        <v>0</v>
      </c>
      <c r="Q268" t="n">
        <v>0</v>
      </c>
      <c r="R268" s="2" t="inlineStr"/>
    </row>
    <row r="269" ht="15" customHeight="1">
      <c r="A269" t="inlineStr">
        <is>
          <t>A 10305-2023</t>
        </is>
      </c>
      <c r="B269" s="1" t="n">
        <v>44986</v>
      </c>
      <c r="C269" s="1" t="n">
        <v>45969</v>
      </c>
      <c r="D269" t="inlineStr">
        <is>
          <t>JÄMTLANDS LÄN</t>
        </is>
      </c>
      <c r="E269" t="inlineStr">
        <is>
          <t>ÖSTERSUND</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15686-2025</t>
        </is>
      </c>
      <c r="B270" s="1" t="n">
        <v>45748.46021990741</v>
      </c>
      <c r="C270" s="1" t="n">
        <v>45969</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57398-2023</t>
        </is>
      </c>
      <c r="B271" s="1" t="n">
        <v>45245</v>
      </c>
      <c r="C271" s="1" t="n">
        <v>45969</v>
      </c>
      <c r="D271" t="inlineStr">
        <is>
          <t>JÄMTLANDS LÄN</t>
        </is>
      </c>
      <c r="E271" t="inlineStr">
        <is>
          <t>ÖSTERSUND</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5024-2025</t>
        </is>
      </c>
      <c r="B272" s="1" t="n">
        <v>45691.40832175926</v>
      </c>
      <c r="C272" s="1" t="n">
        <v>45969</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5025-2025</t>
        </is>
      </c>
      <c r="B273" s="1" t="n">
        <v>45691.40836805556</v>
      </c>
      <c r="C273" s="1" t="n">
        <v>45969</v>
      </c>
      <c r="D273" t="inlineStr">
        <is>
          <t>JÄMTLANDS LÄN</t>
        </is>
      </c>
      <c r="E273" t="inlineStr">
        <is>
          <t>ÖSTERSUND</t>
        </is>
      </c>
      <c r="G273" t="n">
        <v>0.1</v>
      </c>
      <c r="H273" t="n">
        <v>0</v>
      </c>
      <c r="I273" t="n">
        <v>0</v>
      </c>
      <c r="J273" t="n">
        <v>0</v>
      </c>
      <c r="K273" t="n">
        <v>0</v>
      </c>
      <c r="L273" t="n">
        <v>0</v>
      </c>
      <c r="M273" t="n">
        <v>0</v>
      </c>
      <c r="N273" t="n">
        <v>0</v>
      </c>
      <c r="O273" t="n">
        <v>0</v>
      </c>
      <c r="P273" t="n">
        <v>0</v>
      </c>
      <c r="Q273" t="n">
        <v>0</v>
      </c>
      <c r="R273" s="2" t="inlineStr"/>
    </row>
    <row r="274" ht="15" customHeight="1">
      <c r="A274" t="inlineStr">
        <is>
          <t>A 7327-2023</t>
        </is>
      </c>
      <c r="B274" s="1" t="n">
        <v>44970.97871527778</v>
      </c>
      <c r="C274" s="1" t="n">
        <v>45969</v>
      </c>
      <c r="D274" t="inlineStr">
        <is>
          <t>JÄMTLANDS LÄN</t>
        </is>
      </c>
      <c r="E274" t="inlineStr">
        <is>
          <t>ÖSTERSUND</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7022-2025</t>
        </is>
      </c>
      <c r="B275" s="1" t="n">
        <v>45701.61899305556</v>
      </c>
      <c r="C275" s="1" t="n">
        <v>45969</v>
      </c>
      <c r="D275" t="inlineStr">
        <is>
          <t>JÄMTLANDS LÄN</t>
        </is>
      </c>
      <c r="E275" t="inlineStr">
        <is>
          <t>ÖSTERSUND</t>
        </is>
      </c>
      <c r="G275" t="n">
        <v>4.8</v>
      </c>
      <c r="H275" t="n">
        <v>0</v>
      </c>
      <c r="I275" t="n">
        <v>0</v>
      </c>
      <c r="J275" t="n">
        <v>0</v>
      </c>
      <c r="K275" t="n">
        <v>0</v>
      </c>
      <c r="L275" t="n">
        <v>0</v>
      </c>
      <c r="M275" t="n">
        <v>0</v>
      </c>
      <c r="N275" t="n">
        <v>0</v>
      </c>
      <c r="O275" t="n">
        <v>0</v>
      </c>
      <c r="P275" t="n">
        <v>0</v>
      </c>
      <c r="Q275" t="n">
        <v>0</v>
      </c>
      <c r="R275" s="2" t="inlineStr"/>
    </row>
    <row r="276" ht="15" customHeight="1">
      <c r="A276" t="inlineStr">
        <is>
          <t>A 7573-2022</t>
        </is>
      </c>
      <c r="B276" s="1" t="n">
        <v>44607</v>
      </c>
      <c r="C276" s="1" t="n">
        <v>45969</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27343-2022</t>
        </is>
      </c>
      <c r="B277" s="1" t="n">
        <v>44742</v>
      </c>
      <c r="C277" s="1" t="n">
        <v>45969</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45569.39229166666</v>
      </c>
      <c r="C278" s="1" t="n">
        <v>45969</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21667-2024</t>
        </is>
      </c>
      <c r="B279" s="1" t="n">
        <v>45442.38511574074</v>
      </c>
      <c r="C279" s="1" t="n">
        <v>45969</v>
      </c>
      <c r="D279" t="inlineStr">
        <is>
          <t>JÄMTLANDS LÄN</t>
        </is>
      </c>
      <c r="E279" t="inlineStr">
        <is>
          <t>ÖSTERSUND</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36406-2023</t>
        </is>
      </c>
      <c r="B280" s="1" t="n">
        <v>45149</v>
      </c>
      <c r="C280" s="1" t="n">
        <v>45969</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4311-2025</t>
        </is>
      </c>
      <c r="B281" s="1" t="n">
        <v>45685.69267361111</v>
      </c>
      <c r="C281" s="1" t="n">
        <v>45969</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59691-2024</t>
        </is>
      </c>
      <c r="B282" s="1" t="n">
        <v>45639.40684027778</v>
      </c>
      <c r="C282" s="1" t="n">
        <v>45969</v>
      </c>
      <c r="D282" t="inlineStr">
        <is>
          <t>JÄMTLANDS LÄN</t>
        </is>
      </c>
      <c r="E282" t="inlineStr">
        <is>
          <t>ÖSTERSUND</t>
        </is>
      </c>
      <c r="F282" t="inlineStr">
        <is>
          <t>SCA</t>
        </is>
      </c>
      <c r="G282" t="n">
        <v>15.9</v>
      </c>
      <c r="H282" t="n">
        <v>0</v>
      </c>
      <c r="I282" t="n">
        <v>0</v>
      </c>
      <c r="J282" t="n">
        <v>0</v>
      </c>
      <c r="K282" t="n">
        <v>0</v>
      </c>
      <c r="L282" t="n">
        <v>0</v>
      </c>
      <c r="M282" t="n">
        <v>0</v>
      </c>
      <c r="N282" t="n">
        <v>0</v>
      </c>
      <c r="O282" t="n">
        <v>0</v>
      </c>
      <c r="P282" t="n">
        <v>0</v>
      </c>
      <c r="Q282" t="n">
        <v>0</v>
      </c>
      <c r="R282" s="2" t="inlineStr"/>
    </row>
    <row r="283" ht="15" customHeight="1">
      <c r="A283" t="inlineStr">
        <is>
          <t>A 8003-2025</t>
        </is>
      </c>
      <c r="B283" s="1" t="n">
        <v>45707</v>
      </c>
      <c r="C283" s="1" t="n">
        <v>45969</v>
      </c>
      <c r="D283" t="inlineStr">
        <is>
          <t>JÄMTLANDS LÄN</t>
        </is>
      </c>
      <c r="E283" t="inlineStr">
        <is>
          <t>ÖSTERSUND</t>
        </is>
      </c>
      <c r="F283" t="inlineStr">
        <is>
          <t>Övriga Aktiebolag</t>
        </is>
      </c>
      <c r="G283" t="n">
        <v>35.1</v>
      </c>
      <c r="H283" t="n">
        <v>0</v>
      </c>
      <c r="I283" t="n">
        <v>0</v>
      </c>
      <c r="J283" t="n">
        <v>0</v>
      </c>
      <c r="K283" t="n">
        <v>0</v>
      </c>
      <c r="L283" t="n">
        <v>0</v>
      </c>
      <c r="M283" t="n">
        <v>0</v>
      </c>
      <c r="N283" t="n">
        <v>0</v>
      </c>
      <c r="O283" t="n">
        <v>0</v>
      </c>
      <c r="P283" t="n">
        <v>0</v>
      </c>
      <c r="Q283" t="n">
        <v>0</v>
      </c>
      <c r="R283" s="2" t="inlineStr"/>
    </row>
    <row r="284" ht="15" customHeight="1">
      <c r="A284" t="inlineStr">
        <is>
          <t>A 38644-2021</t>
        </is>
      </c>
      <c r="B284" s="1" t="n">
        <v>44410.35376157407</v>
      </c>
      <c r="C284" s="1" t="n">
        <v>45969</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19581-2025</t>
        </is>
      </c>
      <c r="B285" s="1" t="n">
        <v>45770.56363425926</v>
      </c>
      <c r="C285" s="1" t="n">
        <v>45969</v>
      </c>
      <c r="D285" t="inlineStr">
        <is>
          <t>JÄMTLANDS LÄN</t>
        </is>
      </c>
      <c r="E285" t="inlineStr">
        <is>
          <t>ÖSTERSUND</t>
        </is>
      </c>
      <c r="G285" t="n">
        <v>17.2</v>
      </c>
      <c r="H285" t="n">
        <v>0</v>
      </c>
      <c r="I285" t="n">
        <v>0</v>
      </c>
      <c r="J285" t="n">
        <v>0</v>
      </c>
      <c r="K285" t="n">
        <v>0</v>
      </c>
      <c r="L285" t="n">
        <v>0</v>
      </c>
      <c r="M285" t="n">
        <v>0</v>
      </c>
      <c r="N285" t="n">
        <v>0</v>
      </c>
      <c r="O285" t="n">
        <v>0</v>
      </c>
      <c r="P285" t="n">
        <v>0</v>
      </c>
      <c r="Q285" t="n">
        <v>0</v>
      </c>
      <c r="R285" s="2" t="inlineStr"/>
    </row>
    <row r="286" ht="15" customHeight="1">
      <c r="A286" t="inlineStr">
        <is>
          <t>A 62111-2024</t>
        </is>
      </c>
      <c r="B286" s="1" t="n">
        <v>45656.53215277778</v>
      </c>
      <c r="C286" s="1" t="n">
        <v>45969</v>
      </c>
      <c r="D286" t="inlineStr">
        <is>
          <t>JÄMTLANDS LÄN</t>
        </is>
      </c>
      <c r="E286" t="inlineStr">
        <is>
          <t>ÖSTERSUND</t>
        </is>
      </c>
      <c r="G286" t="n">
        <v>3.4</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45969</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2228-2024</t>
        </is>
      </c>
      <c r="B288" s="1" t="n">
        <v>45309</v>
      </c>
      <c r="C288" s="1" t="n">
        <v>45969</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20400-2024</t>
        </is>
      </c>
      <c r="B289" s="1" t="n">
        <v>45435.55372685185</v>
      </c>
      <c r="C289" s="1" t="n">
        <v>45969</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41802-2021</t>
        </is>
      </c>
      <c r="B290" s="1" t="n">
        <v>44425</v>
      </c>
      <c r="C290" s="1" t="n">
        <v>45969</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12998-2025</t>
        </is>
      </c>
      <c r="B291" s="1" t="n">
        <v>45734.48991898148</v>
      </c>
      <c r="C291" s="1" t="n">
        <v>45969</v>
      </c>
      <c r="D291" t="inlineStr">
        <is>
          <t>JÄMTLANDS LÄN</t>
        </is>
      </c>
      <c r="E291" t="inlineStr">
        <is>
          <t>ÖSTERSUND</t>
        </is>
      </c>
      <c r="F291" t="inlineStr">
        <is>
          <t>SCA</t>
        </is>
      </c>
      <c r="G291" t="n">
        <v>5.7</v>
      </c>
      <c r="H291" t="n">
        <v>0</v>
      </c>
      <c r="I291" t="n">
        <v>0</v>
      </c>
      <c r="J291" t="n">
        <v>0</v>
      </c>
      <c r="K291" t="n">
        <v>0</v>
      </c>
      <c r="L291" t="n">
        <v>0</v>
      </c>
      <c r="M291" t="n">
        <v>0</v>
      </c>
      <c r="N291" t="n">
        <v>0</v>
      </c>
      <c r="O291" t="n">
        <v>0</v>
      </c>
      <c r="P291" t="n">
        <v>0</v>
      </c>
      <c r="Q291" t="n">
        <v>0</v>
      </c>
      <c r="R291" s="2" t="inlineStr"/>
    </row>
    <row r="292" ht="15" customHeight="1">
      <c r="A292" t="inlineStr">
        <is>
          <t>A 28179-2024</t>
        </is>
      </c>
      <c r="B292" s="1" t="n">
        <v>45477.26746527778</v>
      </c>
      <c r="C292" s="1" t="n">
        <v>45969</v>
      </c>
      <c r="D292" t="inlineStr">
        <is>
          <t>JÄMTLANDS LÄN</t>
        </is>
      </c>
      <c r="E292" t="inlineStr">
        <is>
          <t>ÖSTERSUND</t>
        </is>
      </c>
      <c r="G292" t="n">
        <v>2.2</v>
      </c>
      <c r="H292" t="n">
        <v>0</v>
      </c>
      <c r="I292" t="n">
        <v>0</v>
      </c>
      <c r="J292" t="n">
        <v>0</v>
      </c>
      <c r="K292" t="n">
        <v>0</v>
      </c>
      <c r="L292" t="n">
        <v>0</v>
      </c>
      <c r="M292" t="n">
        <v>0</v>
      </c>
      <c r="N292" t="n">
        <v>0</v>
      </c>
      <c r="O292" t="n">
        <v>0</v>
      </c>
      <c r="P292" t="n">
        <v>0</v>
      </c>
      <c r="Q292" t="n">
        <v>0</v>
      </c>
      <c r="R292" s="2" t="inlineStr"/>
    </row>
    <row r="293" ht="15" customHeight="1">
      <c r="A293" t="inlineStr">
        <is>
          <t>A 14518-2023</t>
        </is>
      </c>
      <c r="B293" s="1" t="n">
        <v>45012</v>
      </c>
      <c r="C293" s="1" t="n">
        <v>45969</v>
      </c>
      <c r="D293" t="inlineStr">
        <is>
          <t>JÄMTLANDS LÄN</t>
        </is>
      </c>
      <c r="E293" t="inlineStr">
        <is>
          <t>ÖSTERSUND</t>
        </is>
      </c>
      <c r="G293" t="n">
        <v>14.4</v>
      </c>
      <c r="H293" t="n">
        <v>0</v>
      </c>
      <c r="I293" t="n">
        <v>0</v>
      </c>
      <c r="J293" t="n">
        <v>0</v>
      </c>
      <c r="K293" t="n">
        <v>0</v>
      </c>
      <c r="L293" t="n">
        <v>0</v>
      </c>
      <c r="M293" t="n">
        <v>0</v>
      </c>
      <c r="N293" t="n">
        <v>0</v>
      </c>
      <c r="O293" t="n">
        <v>0</v>
      </c>
      <c r="P293" t="n">
        <v>0</v>
      </c>
      <c r="Q293" t="n">
        <v>0</v>
      </c>
      <c r="R293" s="2" t="inlineStr"/>
    </row>
    <row r="294" ht="15" customHeight="1">
      <c r="A294" t="inlineStr">
        <is>
          <t>A 32225-2024</t>
        </is>
      </c>
      <c r="B294" s="1" t="n">
        <v>45511.92825231481</v>
      </c>
      <c r="C294" s="1" t="n">
        <v>45969</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7953-2025</t>
        </is>
      </c>
      <c r="B295" s="1" t="n">
        <v>45707.42392361111</v>
      </c>
      <c r="C295" s="1" t="n">
        <v>45969</v>
      </c>
      <c r="D295" t="inlineStr">
        <is>
          <t>JÄMTLANDS LÄN</t>
        </is>
      </c>
      <c r="E295" t="inlineStr">
        <is>
          <t>ÖSTERSUND</t>
        </is>
      </c>
      <c r="G295" t="n">
        <v>1.8</v>
      </c>
      <c r="H295" t="n">
        <v>0</v>
      </c>
      <c r="I295" t="n">
        <v>0</v>
      </c>
      <c r="J295" t="n">
        <v>0</v>
      </c>
      <c r="K295" t="n">
        <v>0</v>
      </c>
      <c r="L295" t="n">
        <v>0</v>
      </c>
      <c r="M295" t="n">
        <v>0</v>
      </c>
      <c r="N295" t="n">
        <v>0</v>
      </c>
      <c r="O295" t="n">
        <v>0</v>
      </c>
      <c r="P295" t="n">
        <v>0</v>
      </c>
      <c r="Q295" t="n">
        <v>0</v>
      </c>
      <c r="R295" s="2" t="inlineStr"/>
    </row>
    <row r="296" ht="15" customHeight="1">
      <c r="A296" t="inlineStr">
        <is>
          <t>A 13738-2025</t>
        </is>
      </c>
      <c r="B296" s="1" t="n">
        <v>45737.40131944444</v>
      </c>
      <c r="C296" s="1" t="n">
        <v>45969</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55365-2024</t>
        </is>
      </c>
      <c r="B297" s="1" t="n">
        <v>45621.86827546296</v>
      </c>
      <c r="C297" s="1" t="n">
        <v>45969</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27906-2024</t>
        </is>
      </c>
      <c r="B298" s="1" t="n">
        <v>45475.94585648148</v>
      </c>
      <c r="C298" s="1" t="n">
        <v>45969</v>
      </c>
      <c r="D298" t="inlineStr">
        <is>
          <t>JÄMTLANDS LÄN</t>
        </is>
      </c>
      <c r="E298" t="inlineStr">
        <is>
          <t>ÖSTERSUND</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60349-2024</t>
        </is>
      </c>
      <c r="B299" s="1" t="n">
        <v>45643.42986111111</v>
      </c>
      <c r="C299" s="1" t="n">
        <v>45969</v>
      </c>
      <c r="D299" t="inlineStr">
        <is>
          <t>JÄMTLANDS LÄN</t>
        </is>
      </c>
      <c r="E299" t="inlineStr">
        <is>
          <t>ÖSTERSUND</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45969</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13166-2023</t>
        </is>
      </c>
      <c r="B301" s="1" t="n">
        <v>45002</v>
      </c>
      <c r="C301" s="1" t="n">
        <v>45969</v>
      </c>
      <c r="D301" t="inlineStr">
        <is>
          <t>JÄMTLANDS LÄN</t>
        </is>
      </c>
      <c r="E301" t="inlineStr">
        <is>
          <t>ÖSTERSUND</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31464-2024</t>
        </is>
      </c>
      <c r="B302" s="1" t="n">
        <v>45505.95078703704</v>
      </c>
      <c r="C302" s="1" t="n">
        <v>45969</v>
      </c>
      <c r="D302" t="inlineStr">
        <is>
          <t>JÄMTLANDS LÄN</t>
        </is>
      </c>
      <c r="E302" t="inlineStr">
        <is>
          <t>ÖSTERSUND</t>
        </is>
      </c>
      <c r="F302" t="inlineStr">
        <is>
          <t>SCA</t>
        </is>
      </c>
      <c r="G302" t="n">
        <v>8.1</v>
      </c>
      <c r="H302" t="n">
        <v>0</v>
      </c>
      <c r="I302" t="n">
        <v>0</v>
      </c>
      <c r="J302" t="n">
        <v>0</v>
      </c>
      <c r="K302" t="n">
        <v>0</v>
      </c>
      <c r="L302" t="n">
        <v>0</v>
      </c>
      <c r="M302" t="n">
        <v>0</v>
      </c>
      <c r="N302" t="n">
        <v>0</v>
      </c>
      <c r="O302" t="n">
        <v>0</v>
      </c>
      <c r="P302" t="n">
        <v>0</v>
      </c>
      <c r="Q302" t="n">
        <v>0</v>
      </c>
      <c r="R302" s="2" t="inlineStr"/>
    </row>
    <row r="303" ht="15" customHeight="1">
      <c r="A303" t="inlineStr">
        <is>
          <t>A 43252-2023</t>
        </is>
      </c>
      <c r="B303" s="1" t="n">
        <v>45183</v>
      </c>
      <c r="C303" s="1" t="n">
        <v>45969</v>
      </c>
      <c r="D303" t="inlineStr">
        <is>
          <t>JÄMTLANDS LÄN</t>
        </is>
      </c>
      <c r="E303" t="inlineStr">
        <is>
          <t>ÖSTERSUND</t>
        </is>
      </c>
      <c r="G303" t="n">
        <v>2.9</v>
      </c>
      <c r="H303" t="n">
        <v>0</v>
      </c>
      <c r="I303" t="n">
        <v>0</v>
      </c>
      <c r="J303" t="n">
        <v>0</v>
      </c>
      <c r="K303" t="n">
        <v>0</v>
      </c>
      <c r="L303" t="n">
        <v>0</v>
      </c>
      <c r="M303" t="n">
        <v>0</v>
      </c>
      <c r="N303" t="n">
        <v>0</v>
      </c>
      <c r="O303" t="n">
        <v>0</v>
      </c>
      <c r="P303" t="n">
        <v>0</v>
      </c>
      <c r="Q303" t="n">
        <v>0</v>
      </c>
      <c r="R303" s="2" t="inlineStr"/>
    </row>
    <row r="304" ht="15" customHeight="1">
      <c r="A304" t="inlineStr">
        <is>
          <t>A 60088-2024</t>
        </is>
      </c>
      <c r="B304" s="1" t="n">
        <v>45642.54847222222</v>
      </c>
      <c r="C304" s="1" t="n">
        <v>45969</v>
      </c>
      <c r="D304" t="inlineStr">
        <is>
          <t>JÄMTLANDS LÄN</t>
        </is>
      </c>
      <c r="E304" t="inlineStr">
        <is>
          <t>ÖSTERSUND</t>
        </is>
      </c>
      <c r="G304" t="n">
        <v>5</v>
      </c>
      <c r="H304" t="n">
        <v>0</v>
      </c>
      <c r="I304" t="n">
        <v>0</v>
      </c>
      <c r="J304" t="n">
        <v>0</v>
      </c>
      <c r="K304" t="n">
        <v>0</v>
      </c>
      <c r="L304" t="n">
        <v>0</v>
      </c>
      <c r="M304" t="n">
        <v>0</v>
      </c>
      <c r="N304" t="n">
        <v>0</v>
      </c>
      <c r="O304" t="n">
        <v>0</v>
      </c>
      <c r="P304" t="n">
        <v>0</v>
      </c>
      <c r="Q304" t="n">
        <v>0</v>
      </c>
      <c r="R304" s="2" t="inlineStr"/>
    </row>
    <row r="305" ht="15" customHeight="1">
      <c r="A305" t="inlineStr">
        <is>
          <t>A 47022-2024</t>
        </is>
      </c>
      <c r="B305" s="1" t="n">
        <v>45586.40660879629</v>
      </c>
      <c r="C305" s="1" t="n">
        <v>45969</v>
      </c>
      <c r="D305" t="inlineStr">
        <is>
          <t>JÄMTLANDS LÄN</t>
        </is>
      </c>
      <c r="E305" t="inlineStr">
        <is>
          <t>ÖSTERSUND</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4135-2023</t>
        </is>
      </c>
      <c r="B306" s="1" t="n">
        <v>44952</v>
      </c>
      <c r="C306" s="1" t="n">
        <v>45969</v>
      </c>
      <c r="D306" t="inlineStr">
        <is>
          <t>JÄMTLANDS LÄN</t>
        </is>
      </c>
      <c r="E306" t="inlineStr">
        <is>
          <t>ÖSTERSUND</t>
        </is>
      </c>
      <c r="G306" t="n">
        <v>1.3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45969</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62225-2022</t>
        </is>
      </c>
      <c r="B308" s="1" t="n">
        <v>44922</v>
      </c>
      <c r="C308" s="1" t="n">
        <v>45969</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7549-2025</t>
        </is>
      </c>
      <c r="B309" s="1" t="n">
        <v>45705.57454861111</v>
      </c>
      <c r="C309" s="1" t="n">
        <v>45969</v>
      </c>
      <c r="D309" t="inlineStr">
        <is>
          <t>JÄMTLANDS LÄN</t>
        </is>
      </c>
      <c r="E309" t="inlineStr">
        <is>
          <t>ÖSTERSUND</t>
        </is>
      </c>
      <c r="F309" t="inlineStr">
        <is>
          <t>SCA</t>
        </is>
      </c>
      <c r="G309" t="n">
        <v>6.4</v>
      </c>
      <c r="H309" t="n">
        <v>0</v>
      </c>
      <c r="I309" t="n">
        <v>0</v>
      </c>
      <c r="J309" t="n">
        <v>0</v>
      </c>
      <c r="K309" t="n">
        <v>0</v>
      </c>
      <c r="L309" t="n">
        <v>0</v>
      </c>
      <c r="M309" t="n">
        <v>0</v>
      </c>
      <c r="N309" t="n">
        <v>0</v>
      </c>
      <c r="O309" t="n">
        <v>0</v>
      </c>
      <c r="P309" t="n">
        <v>0</v>
      </c>
      <c r="Q309" t="n">
        <v>0</v>
      </c>
      <c r="R309" s="2" t="inlineStr"/>
    </row>
    <row r="310" ht="15" customHeight="1">
      <c r="A310" t="inlineStr">
        <is>
          <t>A 9552-2025</t>
        </is>
      </c>
      <c r="B310" s="1" t="n">
        <v>45715.59545138889</v>
      </c>
      <c r="C310" s="1" t="n">
        <v>45969</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4500-2025</t>
        </is>
      </c>
      <c r="B311" s="1" t="n">
        <v>45686.6859375</v>
      </c>
      <c r="C311" s="1" t="n">
        <v>45969</v>
      </c>
      <c r="D311" t="inlineStr">
        <is>
          <t>JÄMTLANDS LÄN</t>
        </is>
      </c>
      <c r="E311" t="inlineStr">
        <is>
          <t>ÖSTERSUND</t>
        </is>
      </c>
      <c r="G311" t="n">
        <v>28.4</v>
      </c>
      <c r="H311" t="n">
        <v>0</v>
      </c>
      <c r="I311" t="n">
        <v>0</v>
      </c>
      <c r="J311" t="n">
        <v>0</v>
      </c>
      <c r="K311" t="n">
        <v>0</v>
      </c>
      <c r="L311" t="n">
        <v>0</v>
      </c>
      <c r="M311" t="n">
        <v>0</v>
      </c>
      <c r="N311" t="n">
        <v>0</v>
      </c>
      <c r="O311" t="n">
        <v>0</v>
      </c>
      <c r="P311" t="n">
        <v>0</v>
      </c>
      <c r="Q311" t="n">
        <v>0</v>
      </c>
      <c r="R311" s="2" t="inlineStr"/>
    </row>
    <row r="312" ht="15" customHeight="1">
      <c r="A312" t="inlineStr">
        <is>
          <t>A 39103-2025</t>
        </is>
      </c>
      <c r="B312" s="1" t="n">
        <v>45888.52440972222</v>
      </c>
      <c r="C312" s="1" t="n">
        <v>45969</v>
      </c>
      <c r="D312" t="inlineStr">
        <is>
          <t>JÄMTLANDS LÄN</t>
        </is>
      </c>
      <c r="E312" t="inlineStr">
        <is>
          <t>ÖSTERSUND</t>
        </is>
      </c>
      <c r="G312" t="n">
        <v>23.9</v>
      </c>
      <c r="H312" t="n">
        <v>0</v>
      </c>
      <c r="I312" t="n">
        <v>0</v>
      </c>
      <c r="J312" t="n">
        <v>0</v>
      </c>
      <c r="K312" t="n">
        <v>0</v>
      </c>
      <c r="L312" t="n">
        <v>0</v>
      </c>
      <c r="M312" t="n">
        <v>0</v>
      </c>
      <c r="N312" t="n">
        <v>0</v>
      </c>
      <c r="O312" t="n">
        <v>0</v>
      </c>
      <c r="P312" t="n">
        <v>0</v>
      </c>
      <c r="Q312" t="n">
        <v>0</v>
      </c>
      <c r="R312" s="2" t="inlineStr"/>
    </row>
    <row r="313" ht="15" customHeight="1">
      <c r="A313" t="inlineStr">
        <is>
          <t>A 44051-2021</t>
        </is>
      </c>
      <c r="B313" s="1" t="n">
        <v>44434</v>
      </c>
      <c r="C313" s="1" t="n">
        <v>45969</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61256-2022</t>
        </is>
      </c>
      <c r="B314" s="1" t="n">
        <v>44909</v>
      </c>
      <c r="C314" s="1" t="n">
        <v>45969</v>
      </c>
      <c r="D314" t="inlineStr">
        <is>
          <t>JÄMTLANDS LÄN</t>
        </is>
      </c>
      <c r="E314" t="inlineStr">
        <is>
          <t>ÖSTERSUND</t>
        </is>
      </c>
      <c r="G314" t="n">
        <v>3.9</v>
      </c>
      <c r="H314" t="n">
        <v>0</v>
      </c>
      <c r="I314" t="n">
        <v>0</v>
      </c>
      <c r="J314" t="n">
        <v>0</v>
      </c>
      <c r="K314" t="n">
        <v>0</v>
      </c>
      <c r="L314" t="n">
        <v>0</v>
      </c>
      <c r="M314" t="n">
        <v>0</v>
      </c>
      <c r="N314" t="n">
        <v>0</v>
      </c>
      <c r="O314" t="n">
        <v>0</v>
      </c>
      <c r="P314" t="n">
        <v>0</v>
      </c>
      <c r="Q314" t="n">
        <v>0</v>
      </c>
      <c r="R314" s="2" t="inlineStr"/>
    </row>
    <row r="315" ht="15" customHeight="1">
      <c r="A315" t="inlineStr">
        <is>
          <t>A 6067-2025</t>
        </is>
      </c>
      <c r="B315" s="1" t="n">
        <v>45696.34405092592</v>
      </c>
      <c r="C315" s="1" t="n">
        <v>45969</v>
      </c>
      <c r="D315" t="inlineStr">
        <is>
          <t>JÄMTLANDS LÄN</t>
        </is>
      </c>
      <c r="E315" t="inlineStr">
        <is>
          <t>ÖSTERSUND</t>
        </is>
      </c>
      <c r="G315" t="n">
        <v>2.1</v>
      </c>
      <c r="H315" t="n">
        <v>0</v>
      </c>
      <c r="I315" t="n">
        <v>0</v>
      </c>
      <c r="J315" t="n">
        <v>0</v>
      </c>
      <c r="K315" t="n">
        <v>0</v>
      </c>
      <c r="L315" t="n">
        <v>0</v>
      </c>
      <c r="M315" t="n">
        <v>0</v>
      </c>
      <c r="N315" t="n">
        <v>0</v>
      </c>
      <c r="O315" t="n">
        <v>0</v>
      </c>
      <c r="P315" t="n">
        <v>0</v>
      </c>
      <c r="Q315" t="n">
        <v>0</v>
      </c>
      <c r="R315" s="2" t="inlineStr"/>
    </row>
    <row r="316" ht="15" customHeight="1">
      <c r="A316" t="inlineStr">
        <is>
          <t>A 54663-2022</t>
        </is>
      </c>
      <c r="B316" s="1" t="n">
        <v>44883.44737268519</v>
      </c>
      <c r="C316" s="1" t="n">
        <v>45969</v>
      </c>
      <c r="D316" t="inlineStr">
        <is>
          <t>JÄMTLANDS LÄN</t>
        </is>
      </c>
      <c r="E316" t="inlineStr">
        <is>
          <t>ÖSTERSUND</t>
        </is>
      </c>
      <c r="G316" t="n">
        <v>0.8</v>
      </c>
      <c r="H316" t="n">
        <v>0</v>
      </c>
      <c r="I316" t="n">
        <v>0</v>
      </c>
      <c r="J316" t="n">
        <v>0</v>
      </c>
      <c r="K316" t="n">
        <v>0</v>
      </c>
      <c r="L316" t="n">
        <v>0</v>
      </c>
      <c r="M316" t="n">
        <v>0</v>
      </c>
      <c r="N316" t="n">
        <v>0</v>
      </c>
      <c r="O316" t="n">
        <v>0</v>
      </c>
      <c r="P316" t="n">
        <v>0</v>
      </c>
      <c r="Q316" t="n">
        <v>0</v>
      </c>
      <c r="R316" s="2" t="inlineStr"/>
    </row>
    <row r="317" ht="15" customHeight="1">
      <c r="A317" t="inlineStr">
        <is>
          <t>A 60560-2022</t>
        </is>
      </c>
      <c r="B317" s="1" t="n">
        <v>44911.54984953703</v>
      </c>
      <c r="C317" s="1" t="n">
        <v>45969</v>
      </c>
      <c r="D317" t="inlineStr">
        <is>
          <t>JÄMTLANDS LÄN</t>
        </is>
      </c>
      <c r="E317" t="inlineStr">
        <is>
          <t>ÖSTERSUND</t>
        </is>
      </c>
      <c r="G317" t="n">
        <v>0.9</v>
      </c>
      <c r="H317" t="n">
        <v>0</v>
      </c>
      <c r="I317" t="n">
        <v>0</v>
      </c>
      <c r="J317" t="n">
        <v>0</v>
      </c>
      <c r="K317" t="n">
        <v>0</v>
      </c>
      <c r="L317" t="n">
        <v>0</v>
      </c>
      <c r="M317" t="n">
        <v>0</v>
      </c>
      <c r="N317" t="n">
        <v>0</v>
      </c>
      <c r="O317" t="n">
        <v>0</v>
      </c>
      <c r="P317" t="n">
        <v>0</v>
      </c>
      <c r="Q317" t="n">
        <v>0</v>
      </c>
      <c r="R317" s="2" t="inlineStr"/>
    </row>
    <row r="318" ht="15" customHeight="1">
      <c r="A318" t="inlineStr">
        <is>
          <t>A 18578-2025</t>
        </is>
      </c>
      <c r="B318" s="1" t="n">
        <v>45763</v>
      </c>
      <c r="C318" s="1" t="n">
        <v>45969</v>
      </c>
      <c r="D318" t="inlineStr">
        <is>
          <t>JÄMTLANDS LÄN</t>
        </is>
      </c>
      <c r="E318" t="inlineStr">
        <is>
          <t>ÖSTERSUND</t>
        </is>
      </c>
      <c r="G318" t="n">
        <v>0.8</v>
      </c>
      <c r="H318" t="n">
        <v>0</v>
      </c>
      <c r="I318" t="n">
        <v>0</v>
      </c>
      <c r="J318" t="n">
        <v>0</v>
      </c>
      <c r="K318" t="n">
        <v>0</v>
      </c>
      <c r="L318" t="n">
        <v>0</v>
      </c>
      <c r="M318" t="n">
        <v>0</v>
      </c>
      <c r="N318" t="n">
        <v>0</v>
      </c>
      <c r="O318" t="n">
        <v>0</v>
      </c>
      <c r="P318" t="n">
        <v>0</v>
      </c>
      <c r="Q318" t="n">
        <v>0</v>
      </c>
      <c r="R318" s="2" t="inlineStr"/>
    </row>
    <row r="319" ht="15" customHeight="1">
      <c r="A319" t="inlineStr">
        <is>
          <t>A 25187-2024</t>
        </is>
      </c>
      <c r="B319" s="1" t="n">
        <v>45462.56172453704</v>
      </c>
      <c r="C319" s="1" t="n">
        <v>45969</v>
      </c>
      <c r="D319" t="inlineStr">
        <is>
          <t>JÄMTLANDS LÄN</t>
        </is>
      </c>
      <c r="E319" t="inlineStr">
        <is>
          <t>ÖSTERSUND</t>
        </is>
      </c>
      <c r="G319" t="n">
        <v>2.4</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45969</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25221-2025</t>
        </is>
      </c>
      <c r="B321" s="1" t="n">
        <v>45800.47802083333</v>
      </c>
      <c r="C321" s="1" t="n">
        <v>45969</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2730-2025</t>
        </is>
      </c>
      <c r="B322" s="1" t="n">
        <v>45677.44393518518</v>
      </c>
      <c r="C322" s="1" t="n">
        <v>45969</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47579-2025</t>
        </is>
      </c>
      <c r="B323" s="1" t="n">
        <v>45931.40671296296</v>
      </c>
      <c r="C323" s="1" t="n">
        <v>45969</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61449-2024</t>
        </is>
      </c>
      <c r="B324" s="1" t="n">
        <v>45646.48988425926</v>
      </c>
      <c r="C324" s="1" t="n">
        <v>45969</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61450-2024</t>
        </is>
      </c>
      <c r="B325" s="1" t="n">
        <v>45646.49012731481</v>
      </c>
      <c r="C325" s="1" t="n">
        <v>45969</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61451-2024</t>
        </is>
      </c>
      <c r="B326" s="1" t="n">
        <v>45646.49017361111</v>
      </c>
      <c r="C326" s="1" t="n">
        <v>45969</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42151-2023</t>
        </is>
      </c>
      <c r="B327" s="1" t="n">
        <v>45177.93612268518</v>
      </c>
      <c r="C327" s="1" t="n">
        <v>45969</v>
      </c>
      <c r="D327" t="inlineStr">
        <is>
          <t>JÄMTLANDS LÄN</t>
        </is>
      </c>
      <c r="E327" t="inlineStr">
        <is>
          <t>ÖSTERSUND</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43016-2024</t>
        </is>
      </c>
      <c r="B328" s="1" t="n">
        <v>45567.39192129629</v>
      </c>
      <c r="C328" s="1" t="n">
        <v>45969</v>
      </c>
      <c r="D328" t="inlineStr">
        <is>
          <t>JÄMTLANDS LÄN</t>
        </is>
      </c>
      <c r="E328" t="inlineStr">
        <is>
          <t>ÖSTERSUND</t>
        </is>
      </c>
      <c r="G328" t="n">
        <v>5.3</v>
      </c>
      <c r="H328" t="n">
        <v>0</v>
      </c>
      <c r="I328" t="n">
        <v>0</v>
      </c>
      <c r="J328" t="n">
        <v>0</v>
      </c>
      <c r="K328" t="n">
        <v>0</v>
      </c>
      <c r="L328" t="n">
        <v>0</v>
      </c>
      <c r="M328" t="n">
        <v>0</v>
      </c>
      <c r="N328" t="n">
        <v>0</v>
      </c>
      <c r="O328" t="n">
        <v>0</v>
      </c>
      <c r="P328" t="n">
        <v>0</v>
      </c>
      <c r="Q328" t="n">
        <v>0</v>
      </c>
      <c r="R328" s="2" t="inlineStr"/>
    </row>
    <row r="329" ht="15" customHeight="1">
      <c r="A329" t="inlineStr">
        <is>
          <t>A 16753-2025</t>
        </is>
      </c>
      <c r="B329" s="1" t="n">
        <v>45754.56839120371</v>
      </c>
      <c r="C329" s="1" t="n">
        <v>45969</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51865-2024</t>
        </is>
      </c>
      <c r="B330" s="1" t="n">
        <v>45607.55260416667</v>
      </c>
      <c r="C330" s="1" t="n">
        <v>45969</v>
      </c>
      <c r="D330" t="inlineStr">
        <is>
          <t>JÄMTLANDS LÄN</t>
        </is>
      </c>
      <c r="E330" t="inlineStr">
        <is>
          <t>ÖSTERSUND</t>
        </is>
      </c>
      <c r="F330" t="inlineStr">
        <is>
          <t>SCA</t>
        </is>
      </c>
      <c r="G330" t="n">
        <v>5.4</v>
      </c>
      <c r="H330" t="n">
        <v>0</v>
      </c>
      <c r="I330" t="n">
        <v>0</v>
      </c>
      <c r="J330" t="n">
        <v>0</v>
      </c>
      <c r="K330" t="n">
        <v>0</v>
      </c>
      <c r="L330" t="n">
        <v>0</v>
      </c>
      <c r="M330" t="n">
        <v>0</v>
      </c>
      <c r="N330" t="n">
        <v>0</v>
      </c>
      <c r="O330" t="n">
        <v>0</v>
      </c>
      <c r="P330" t="n">
        <v>0</v>
      </c>
      <c r="Q330" t="n">
        <v>0</v>
      </c>
      <c r="R330" s="2" t="inlineStr"/>
    </row>
    <row r="331" ht="15" customHeight="1">
      <c r="A331" t="inlineStr">
        <is>
          <t>A 58364-2024</t>
        </is>
      </c>
      <c r="B331" s="1" t="n">
        <v>45632.68814814815</v>
      </c>
      <c r="C331" s="1" t="n">
        <v>45969</v>
      </c>
      <c r="D331" t="inlineStr">
        <is>
          <t>JÄMTLANDS LÄN</t>
        </is>
      </c>
      <c r="E331" t="inlineStr">
        <is>
          <t>ÖSTERSUND</t>
        </is>
      </c>
      <c r="G331" t="n">
        <v>5.5</v>
      </c>
      <c r="H331" t="n">
        <v>0</v>
      </c>
      <c r="I331" t="n">
        <v>0</v>
      </c>
      <c r="J331" t="n">
        <v>0</v>
      </c>
      <c r="K331" t="n">
        <v>0</v>
      </c>
      <c r="L331" t="n">
        <v>0</v>
      </c>
      <c r="M331" t="n">
        <v>0</v>
      </c>
      <c r="N331" t="n">
        <v>0</v>
      </c>
      <c r="O331" t="n">
        <v>0</v>
      </c>
      <c r="P331" t="n">
        <v>0</v>
      </c>
      <c r="Q331" t="n">
        <v>0</v>
      </c>
      <c r="R331" s="2" t="inlineStr"/>
    </row>
    <row r="332" ht="15" customHeight="1">
      <c r="A332" t="inlineStr">
        <is>
          <t>A 28181-2024</t>
        </is>
      </c>
      <c r="B332" s="1" t="n">
        <v>45477.28482638889</v>
      </c>
      <c r="C332" s="1" t="n">
        <v>45969</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7941-2025</t>
        </is>
      </c>
      <c r="B333" s="1" t="n">
        <v>45707</v>
      </c>
      <c r="C333" s="1" t="n">
        <v>45969</v>
      </c>
      <c r="D333" t="inlineStr">
        <is>
          <t>JÄMTLANDS LÄN</t>
        </is>
      </c>
      <c r="E333" t="inlineStr">
        <is>
          <t>ÖSTERSUND</t>
        </is>
      </c>
      <c r="G333" t="n">
        <v>2</v>
      </c>
      <c r="H333" t="n">
        <v>0</v>
      </c>
      <c r="I333" t="n">
        <v>0</v>
      </c>
      <c r="J333" t="n">
        <v>0</v>
      </c>
      <c r="K333" t="n">
        <v>0</v>
      </c>
      <c r="L333" t="n">
        <v>0</v>
      </c>
      <c r="M333" t="n">
        <v>0</v>
      </c>
      <c r="N333" t="n">
        <v>0</v>
      </c>
      <c r="O333" t="n">
        <v>0</v>
      </c>
      <c r="P333" t="n">
        <v>0</v>
      </c>
      <c r="Q333" t="n">
        <v>0</v>
      </c>
      <c r="R333" s="2" t="inlineStr"/>
    </row>
    <row r="334" ht="15" customHeight="1">
      <c r="A334" t="inlineStr">
        <is>
          <t>A 18577-2025</t>
        </is>
      </c>
      <c r="B334" s="1" t="n">
        <v>45763</v>
      </c>
      <c r="C334" s="1" t="n">
        <v>45969</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55302-2021</t>
        </is>
      </c>
      <c r="B335" s="1" t="n">
        <v>44475</v>
      </c>
      <c r="C335" s="1" t="n">
        <v>45969</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60174-2022</t>
        </is>
      </c>
      <c r="B336" s="1" t="n">
        <v>44909.9640162037</v>
      </c>
      <c r="C336" s="1" t="n">
        <v>45969</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846-2024</t>
        </is>
      </c>
      <c r="B337" s="1" t="n">
        <v>45300</v>
      </c>
      <c r="C337" s="1" t="n">
        <v>45969</v>
      </c>
      <c r="D337" t="inlineStr">
        <is>
          <t>JÄMTLANDS LÄN</t>
        </is>
      </c>
      <c r="E337" t="inlineStr">
        <is>
          <t>ÖSTERSUND</t>
        </is>
      </c>
      <c r="G337" t="n">
        <v>2.8</v>
      </c>
      <c r="H337" t="n">
        <v>0</v>
      </c>
      <c r="I337" t="n">
        <v>0</v>
      </c>
      <c r="J337" t="n">
        <v>0</v>
      </c>
      <c r="K337" t="n">
        <v>0</v>
      </c>
      <c r="L337" t="n">
        <v>0</v>
      </c>
      <c r="M337" t="n">
        <v>0</v>
      </c>
      <c r="N337" t="n">
        <v>0</v>
      </c>
      <c r="O337" t="n">
        <v>0</v>
      </c>
      <c r="P337" t="n">
        <v>0</v>
      </c>
      <c r="Q337" t="n">
        <v>0</v>
      </c>
      <c r="R337" s="2" t="inlineStr"/>
    </row>
    <row r="338" ht="15" customHeight="1">
      <c r="A338" t="inlineStr">
        <is>
          <t>A 20634-2023</t>
        </is>
      </c>
      <c r="B338" s="1" t="n">
        <v>45057.9441087963</v>
      </c>
      <c r="C338" s="1" t="n">
        <v>45969</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44489-2024</t>
        </is>
      </c>
      <c r="B339" s="1" t="n">
        <v>45574.38943287037</v>
      </c>
      <c r="C339" s="1" t="n">
        <v>45969</v>
      </c>
      <c r="D339" t="inlineStr">
        <is>
          <t>JÄMTLANDS LÄN</t>
        </is>
      </c>
      <c r="E339" t="inlineStr">
        <is>
          <t>ÖSTERSUND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56111-2022</t>
        </is>
      </c>
      <c r="B340" s="1" t="n">
        <v>44889</v>
      </c>
      <c r="C340" s="1" t="n">
        <v>45969</v>
      </c>
      <c r="D340" t="inlineStr">
        <is>
          <t>JÄMTLANDS LÄN</t>
        </is>
      </c>
      <c r="E340" t="inlineStr">
        <is>
          <t>ÖSTERSUND</t>
        </is>
      </c>
      <c r="G340" t="n">
        <v>2.5</v>
      </c>
      <c r="H340" t="n">
        <v>0</v>
      </c>
      <c r="I340" t="n">
        <v>0</v>
      </c>
      <c r="J340" t="n">
        <v>0</v>
      </c>
      <c r="K340" t="n">
        <v>0</v>
      </c>
      <c r="L340" t="n">
        <v>0</v>
      </c>
      <c r="M340" t="n">
        <v>0</v>
      </c>
      <c r="N340" t="n">
        <v>0</v>
      </c>
      <c r="O340" t="n">
        <v>0</v>
      </c>
      <c r="P340" t="n">
        <v>0</v>
      </c>
      <c r="Q340" t="n">
        <v>0</v>
      </c>
      <c r="R340" s="2" t="inlineStr"/>
    </row>
    <row r="341" ht="15" customHeight="1">
      <c r="A341" t="inlineStr">
        <is>
          <t>A 4521-2025</t>
        </is>
      </c>
      <c r="B341" s="1" t="n">
        <v>45686</v>
      </c>
      <c r="C341" s="1" t="n">
        <v>45969</v>
      </c>
      <c r="D341" t="inlineStr">
        <is>
          <t>JÄMTLANDS LÄN</t>
        </is>
      </c>
      <c r="E341" t="inlineStr">
        <is>
          <t>ÖSTERSUND</t>
        </is>
      </c>
      <c r="G341" t="n">
        <v>28.4</v>
      </c>
      <c r="H341" t="n">
        <v>0</v>
      </c>
      <c r="I341" t="n">
        <v>0</v>
      </c>
      <c r="J341" t="n">
        <v>0</v>
      </c>
      <c r="K341" t="n">
        <v>0</v>
      </c>
      <c r="L341" t="n">
        <v>0</v>
      </c>
      <c r="M341" t="n">
        <v>0</v>
      </c>
      <c r="N341" t="n">
        <v>0</v>
      </c>
      <c r="O341" t="n">
        <v>0</v>
      </c>
      <c r="P341" t="n">
        <v>0</v>
      </c>
      <c r="Q341" t="n">
        <v>0</v>
      </c>
      <c r="R341" s="2" t="inlineStr"/>
    </row>
    <row r="342" ht="15" customHeight="1">
      <c r="A342" t="inlineStr">
        <is>
          <t>A 53060-2024</t>
        </is>
      </c>
      <c r="B342" s="1" t="n">
        <v>45611.46912037037</v>
      </c>
      <c r="C342" s="1" t="n">
        <v>45969</v>
      </c>
      <c r="D342" t="inlineStr">
        <is>
          <t>JÄMTLANDS LÄN</t>
        </is>
      </c>
      <c r="E342" t="inlineStr">
        <is>
          <t>ÖSTERSUND</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64309-2023</t>
        </is>
      </c>
      <c r="B343" s="1" t="n">
        <v>45280</v>
      </c>
      <c r="C343" s="1" t="n">
        <v>45969</v>
      </c>
      <c r="D343" t="inlineStr">
        <is>
          <t>JÄMTLANDS LÄN</t>
        </is>
      </c>
      <c r="E343" t="inlineStr">
        <is>
          <t>ÖSTERSUND</t>
        </is>
      </c>
      <c r="G343" t="n">
        <v>0.8</v>
      </c>
      <c r="H343" t="n">
        <v>0</v>
      </c>
      <c r="I343" t="n">
        <v>0</v>
      </c>
      <c r="J343" t="n">
        <v>0</v>
      </c>
      <c r="K343" t="n">
        <v>0</v>
      </c>
      <c r="L343" t="n">
        <v>0</v>
      </c>
      <c r="M343" t="n">
        <v>0</v>
      </c>
      <c r="N343" t="n">
        <v>0</v>
      </c>
      <c r="O343" t="n">
        <v>0</v>
      </c>
      <c r="P343" t="n">
        <v>0</v>
      </c>
      <c r="Q343" t="n">
        <v>0</v>
      </c>
      <c r="R343" s="2" t="inlineStr"/>
    </row>
    <row r="344" ht="15" customHeight="1">
      <c r="A344" t="inlineStr">
        <is>
          <t>A 6578-2021</t>
        </is>
      </c>
      <c r="B344" s="1" t="n">
        <v>44236</v>
      </c>
      <c r="C344" s="1" t="n">
        <v>45969</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6013-2022</t>
        </is>
      </c>
      <c r="B345" s="1" t="n">
        <v>44599.45850694444</v>
      </c>
      <c r="C345" s="1" t="n">
        <v>45969</v>
      </c>
      <c r="D345" t="inlineStr">
        <is>
          <t>JÄMTLANDS LÄN</t>
        </is>
      </c>
      <c r="E345" t="inlineStr">
        <is>
          <t>ÖSTERSUND</t>
        </is>
      </c>
      <c r="G345" t="n">
        <v>2.5</v>
      </c>
      <c r="H345" t="n">
        <v>0</v>
      </c>
      <c r="I345" t="n">
        <v>0</v>
      </c>
      <c r="J345" t="n">
        <v>0</v>
      </c>
      <c r="K345" t="n">
        <v>0</v>
      </c>
      <c r="L345" t="n">
        <v>0</v>
      </c>
      <c r="M345" t="n">
        <v>0</v>
      </c>
      <c r="N345" t="n">
        <v>0</v>
      </c>
      <c r="O345" t="n">
        <v>0</v>
      </c>
      <c r="P345" t="n">
        <v>0</v>
      </c>
      <c r="Q345" t="n">
        <v>0</v>
      </c>
      <c r="R345" s="2" t="inlineStr"/>
    </row>
    <row r="346" ht="15" customHeight="1">
      <c r="A346" t="inlineStr">
        <is>
          <t>A 51826-2024</t>
        </is>
      </c>
      <c r="B346" s="1" t="n">
        <v>45607.50137731482</v>
      </c>
      <c r="C346" s="1" t="n">
        <v>45969</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17570-2025</t>
        </is>
      </c>
      <c r="B347" s="1" t="n">
        <v>45757.64563657407</v>
      </c>
      <c r="C347" s="1" t="n">
        <v>45969</v>
      </c>
      <c r="D347" t="inlineStr">
        <is>
          <t>JÄMTLANDS LÄN</t>
        </is>
      </c>
      <c r="E347" t="inlineStr">
        <is>
          <t>ÖSTERSUND</t>
        </is>
      </c>
      <c r="G347" t="n">
        <v>2.4</v>
      </c>
      <c r="H347" t="n">
        <v>0</v>
      </c>
      <c r="I347" t="n">
        <v>0</v>
      </c>
      <c r="J347" t="n">
        <v>0</v>
      </c>
      <c r="K347" t="n">
        <v>0</v>
      </c>
      <c r="L347" t="n">
        <v>0</v>
      </c>
      <c r="M347" t="n">
        <v>0</v>
      </c>
      <c r="N347" t="n">
        <v>0</v>
      </c>
      <c r="O347" t="n">
        <v>0</v>
      </c>
      <c r="P347" t="n">
        <v>0</v>
      </c>
      <c r="Q347" t="n">
        <v>0</v>
      </c>
      <c r="R347" s="2" t="inlineStr"/>
    </row>
    <row r="348" ht="15" customHeight="1">
      <c r="A348" t="inlineStr">
        <is>
          <t>A 27124-2023</t>
        </is>
      </c>
      <c r="B348" s="1" t="n">
        <v>45096</v>
      </c>
      <c r="C348" s="1" t="n">
        <v>45969</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60681-2022</t>
        </is>
      </c>
      <c r="B349" s="1" t="n">
        <v>44911.93994212963</v>
      </c>
      <c r="C349" s="1" t="n">
        <v>45969</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53714-2022</t>
        </is>
      </c>
      <c r="B350" s="1" t="n">
        <v>44880</v>
      </c>
      <c r="C350" s="1" t="n">
        <v>45969</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48696-2024</t>
        </is>
      </c>
      <c r="B351" s="1" t="n">
        <v>45593.51123842593</v>
      </c>
      <c r="C351" s="1" t="n">
        <v>45969</v>
      </c>
      <c r="D351" t="inlineStr">
        <is>
          <t>JÄMTLANDS LÄN</t>
        </is>
      </c>
      <c r="E351" t="inlineStr">
        <is>
          <t>ÖSTERSUND</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22126-2021</t>
        </is>
      </c>
      <c r="B352" s="1" t="n">
        <v>44323</v>
      </c>
      <c r="C352" s="1" t="n">
        <v>45969</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11181-2025</t>
        </is>
      </c>
      <c r="B353" s="1" t="n">
        <v>45725.44039351852</v>
      </c>
      <c r="C353" s="1" t="n">
        <v>45969</v>
      </c>
      <c r="D353" t="inlineStr">
        <is>
          <t>JÄMTLANDS LÄN</t>
        </is>
      </c>
      <c r="E353" t="inlineStr">
        <is>
          <t>ÖSTERSUND</t>
        </is>
      </c>
      <c r="G353" t="n">
        <v>15.4</v>
      </c>
      <c r="H353" t="n">
        <v>0</v>
      </c>
      <c r="I353" t="n">
        <v>0</v>
      </c>
      <c r="J353" t="n">
        <v>0</v>
      </c>
      <c r="K353" t="n">
        <v>0</v>
      </c>
      <c r="L353" t="n">
        <v>0</v>
      </c>
      <c r="M353" t="n">
        <v>0</v>
      </c>
      <c r="N353" t="n">
        <v>0</v>
      </c>
      <c r="O353" t="n">
        <v>0</v>
      </c>
      <c r="P353" t="n">
        <v>0</v>
      </c>
      <c r="Q353" t="n">
        <v>0</v>
      </c>
      <c r="R353" s="2" t="inlineStr"/>
    </row>
    <row r="354" ht="15" customHeight="1">
      <c r="A354" t="inlineStr">
        <is>
          <t>A 47575-2025</t>
        </is>
      </c>
      <c r="B354" s="1" t="n">
        <v>45931.40100694444</v>
      </c>
      <c r="C354" s="1" t="n">
        <v>45969</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60767-2022</t>
        </is>
      </c>
      <c r="B355" s="1" t="n">
        <v>44914.35599537037</v>
      </c>
      <c r="C355" s="1" t="n">
        <v>45969</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61530-2023</t>
        </is>
      </c>
      <c r="B356" s="1" t="n">
        <v>45261</v>
      </c>
      <c r="C356" s="1" t="n">
        <v>45969</v>
      </c>
      <c r="D356" t="inlineStr">
        <is>
          <t>JÄMTLANDS LÄN</t>
        </is>
      </c>
      <c r="E356" t="inlineStr">
        <is>
          <t>ÖSTERSUND</t>
        </is>
      </c>
      <c r="F356" t="inlineStr">
        <is>
          <t>Övriga statliga verk och myndigheter</t>
        </is>
      </c>
      <c r="G356" t="n">
        <v>1</v>
      </c>
      <c r="H356" t="n">
        <v>0</v>
      </c>
      <c r="I356" t="n">
        <v>0</v>
      </c>
      <c r="J356" t="n">
        <v>0</v>
      </c>
      <c r="K356" t="n">
        <v>0</v>
      </c>
      <c r="L356" t="n">
        <v>0</v>
      </c>
      <c r="M356" t="n">
        <v>0</v>
      </c>
      <c r="N356" t="n">
        <v>0</v>
      </c>
      <c r="O356" t="n">
        <v>0</v>
      </c>
      <c r="P356" t="n">
        <v>0</v>
      </c>
      <c r="Q356" t="n">
        <v>0</v>
      </c>
      <c r="R356" s="2" t="inlineStr"/>
    </row>
    <row r="357" ht="15" customHeight="1">
      <c r="A357" t="inlineStr">
        <is>
          <t>A 48059-2025</t>
        </is>
      </c>
      <c r="B357" s="1" t="n">
        <v>45932.67961805555</v>
      </c>
      <c r="C357" s="1" t="n">
        <v>45969</v>
      </c>
      <c r="D357" t="inlineStr">
        <is>
          <t>JÄMTLANDS LÄN</t>
        </is>
      </c>
      <c r="E357" t="inlineStr">
        <is>
          <t>ÖSTERSUND</t>
        </is>
      </c>
      <c r="G357" t="n">
        <v>12.2</v>
      </c>
      <c r="H357" t="n">
        <v>0</v>
      </c>
      <c r="I357" t="n">
        <v>0</v>
      </c>
      <c r="J357" t="n">
        <v>0</v>
      </c>
      <c r="K357" t="n">
        <v>0</v>
      </c>
      <c r="L357" t="n">
        <v>0</v>
      </c>
      <c r="M357" t="n">
        <v>0</v>
      </c>
      <c r="N357" t="n">
        <v>0</v>
      </c>
      <c r="O357" t="n">
        <v>0</v>
      </c>
      <c r="P357" t="n">
        <v>0</v>
      </c>
      <c r="Q357" t="n">
        <v>0</v>
      </c>
      <c r="R357" s="2" t="inlineStr"/>
    </row>
    <row r="358" ht="15" customHeight="1">
      <c r="A358" t="inlineStr">
        <is>
          <t>A 47563-2025</t>
        </is>
      </c>
      <c r="B358" s="1" t="n">
        <v>45931.38956018518</v>
      </c>
      <c r="C358" s="1" t="n">
        <v>45969</v>
      </c>
      <c r="D358" t="inlineStr">
        <is>
          <t>JÄMTLANDS LÄN</t>
        </is>
      </c>
      <c r="E358" t="inlineStr">
        <is>
          <t>ÖSTERSUND</t>
        </is>
      </c>
      <c r="G358" t="n">
        <v>2.3</v>
      </c>
      <c r="H358" t="n">
        <v>0</v>
      </c>
      <c r="I358" t="n">
        <v>0</v>
      </c>
      <c r="J358" t="n">
        <v>0</v>
      </c>
      <c r="K358" t="n">
        <v>0</v>
      </c>
      <c r="L358" t="n">
        <v>0</v>
      </c>
      <c r="M358" t="n">
        <v>0</v>
      </c>
      <c r="N358" t="n">
        <v>0</v>
      </c>
      <c r="O358" t="n">
        <v>0</v>
      </c>
      <c r="P358" t="n">
        <v>0</v>
      </c>
      <c r="Q358" t="n">
        <v>0</v>
      </c>
      <c r="R358" s="2" t="inlineStr"/>
    </row>
    <row r="359" ht="15" customHeight="1">
      <c r="A359" t="inlineStr">
        <is>
          <t>A 39975-2024</t>
        </is>
      </c>
      <c r="B359" s="1" t="n">
        <v>45553.60474537037</v>
      </c>
      <c r="C359" s="1" t="n">
        <v>45969</v>
      </c>
      <c r="D359" t="inlineStr">
        <is>
          <t>JÄMTLANDS LÄN</t>
        </is>
      </c>
      <c r="E359" t="inlineStr">
        <is>
          <t>ÖSTERSUND</t>
        </is>
      </c>
      <c r="G359" t="n">
        <v>3.8</v>
      </c>
      <c r="H359" t="n">
        <v>0</v>
      </c>
      <c r="I359" t="n">
        <v>0</v>
      </c>
      <c r="J359" t="n">
        <v>0</v>
      </c>
      <c r="K359" t="n">
        <v>0</v>
      </c>
      <c r="L359" t="n">
        <v>0</v>
      </c>
      <c r="M359" t="n">
        <v>0</v>
      </c>
      <c r="N359" t="n">
        <v>0</v>
      </c>
      <c r="O359" t="n">
        <v>0</v>
      </c>
      <c r="P359" t="n">
        <v>0</v>
      </c>
      <c r="Q359" t="n">
        <v>0</v>
      </c>
      <c r="R359" s="2" t="inlineStr"/>
    </row>
    <row r="360" ht="15" customHeight="1">
      <c r="A360" t="inlineStr">
        <is>
          <t>A 47759-2025</t>
        </is>
      </c>
      <c r="B360" s="1" t="n">
        <v>45931.67381944445</v>
      </c>
      <c r="C360" s="1" t="n">
        <v>45969</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58952-2024</t>
        </is>
      </c>
      <c r="B361" s="1" t="n">
        <v>45636.5674537037</v>
      </c>
      <c r="C361" s="1" t="n">
        <v>45969</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51936-2023</t>
        </is>
      </c>
      <c r="B362" s="1" t="n">
        <v>45223.5036574074</v>
      </c>
      <c r="C362" s="1" t="n">
        <v>45969</v>
      </c>
      <c r="D362" t="inlineStr">
        <is>
          <t>JÄMTLANDS LÄN</t>
        </is>
      </c>
      <c r="E362" t="inlineStr">
        <is>
          <t>ÖSTERSUND</t>
        </is>
      </c>
      <c r="G362" t="n">
        <v>8.4</v>
      </c>
      <c r="H362" t="n">
        <v>0</v>
      </c>
      <c r="I362" t="n">
        <v>0</v>
      </c>
      <c r="J362" t="n">
        <v>0</v>
      </c>
      <c r="K362" t="n">
        <v>0</v>
      </c>
      <c r="L362" t="n">
        <v>0</v>
      </c>
      <c r="M362" t="n">
        <v>0</v>
      </c>
      <c r="N362" t="n">
        <v>0</v>
      </c>
      <c r="O362" t="n">
        <v>0</v>
      </c>
      <c r="P362" t="n">
        <v>0</v>
      </c>
      <c r="Q362" t="n">
        <v>0</v>
      </c>
      <c r="R362" s="2" t="inlineStr"/>
    </row>
    <row r="363" ht="15" customHeight="1">
      <c r="A363" t="inlineStr">
        <is>
          <t>A 51941-2023</t>
        </is>
      </c>
      <c r="B363" s="1" t="n">
        <v>45223</v>
      </c>
      <c r="C363" s="1" t="n">
        <v>45969</v>
      </c>
      <c r="D363" t="inlineStr">
        <is>
          <t>JÄMTLANDS LÄN</t>
        </is>
      </c>
      <c r="E363" t="inlineStr">
        <is>
          <t>ÖSTERSUND</t>
        </is>
      </c>
      <c r="G363" t="n">
        <v>4.6</v>
      </c>
      <c r="H363" t="n">
        <v>0</v>
      </c>
      <c r="I363" t="n">
        <v>0</v>
      </c>
      <c r="J363" t="n">
        <v>0</v>
      </c>
      <c r="K363" t="n">
        <v>0</v>
      </c>
      <c r="L363" t="n">
        <v>0</v>
      </c>
      <c r="M363" t="n">
        <v>0</v>
      </c>
      <c r="N363" t="n">
        <v>0</v>
      </c>
      <c r="O363" t="n">
        <v>0</v>
      </c>
      <c r="P363" t="n">
        <v>0</v>
      </c>
      <c r="Q363" t="n">
        <v>0</v>
      </c>
      <c r="R363" s="2" t="inlineStr"/>
    </row>
    <row r="364" ht="15" customHeight="1">
      <c r="A364" t="inlineStr">
        <is>
          <t>A 14523-2023</t>
        </is>
      </c>
      <c r="B364" s="1" t="n">
        <v>45012</v>
      </c>
      <c r="C364" s="1" t="n">
        <v>45969</v>
      </c>
      <c r="D364" t="inlineStr">
        <is>
          <t>JÄMTLANDS LÄN</t>
        </is>
      </c>
      <c r="E364" t="inlineStr">
        <is>
          <t>ÖSTERSUND</t>
        </is>
      </c>
      <c r="G364" t="n">
        <v>4.5</v>
      </c>
      <c r="H364" t="n">
        <v>0</v>
      </c>
      <c r="I364" t="n">
        <v>0</v>
      </c>
      <c r="J364" t="n">
        <v>0</v>
      </c>
      <c r="K364" t="n">
        <v>0</v>
      </c>
      <c r="L364" t="n">
        <v>0</v>
      </c>
      <c r="M364" t="n">
        <v>0</v>
      </c>
      <c r="N364" t="n">
        <v>0</v>
      </c>
      <c r="O364" t="n">
        <v>0</v>
      </c>
      <c r="P364" t="n">
        <v>0</v>
      </c>
      <c r="Q364" t="n">
        <v>0</v>
      </c>
      <c r="R364" s="2" t="inlineStr"/>
    </row>
    <row r="365" ht="15" customHeight="1">
      <c r="A365" t="inlineStr">
        <is>
          <t>A 13282-2023</t>
        </is>
      </c>
      <c r="B365" s="1" t="n">
        <v>45004</v>
      </c>
      <c r="C365" s="1" t="n">
        <v>45969</v>
      </c>
      <c r="D365" t="inlineStr">
        <is>
          <t>JÄMTLANDS LÄN</t>
        </is>
      </c>
      <c r="E365" t="inlineStr">
        <is>
          <t>ÖSTERSUND</t>
        </is>
      </c>
      <c r="G365" t="n">
        <v>28.5</v>
      </c>
      <c r="H365" t="n">
        <v>0</v>
      </c>
      <c r="I365" t="n">
        <v>0</v>
      </c>
      <c r="J365" t="n">
        <v>0</v>
      </c>
      <c r="K365" t="n">
        <v>0</v>
      </c>
      <c r="L365" t="n">
        <v>0</v>
      </c>
      <c r="M365" t="n">
        <v>0</v>
      </c>
      <c r="N365" t="n">
        <v>0</v>
      </c>
      <c r="O365" t="n">
        <v>0</v>
      </c>
      <c r="P365" t="n">
        <v>0</v>
      </c>
      <c r="Q365" t="n">
        <v>0</v>
      </c>
      <c r="R365" s="2" t="inlineStr"/>
    </row>
    <row r="366" ht="15" customHeight="1">
      <c r="A366" t="inlineStr">
        <is>
          <t>A 54973-2023</t>
        </is>
      </c>
      <c r="B366" s="1" t="n">
        <v>45236.92776620371</v>
      </c>
      <c r="C366" s="1" t="n">
        <v>45969</v>
      </c>
      <c r="D366" t="inlineStr">
        <is>
          <t>JÄMTLANDS LÄN</t>
        </is>
      </c>
      <c r="E366" t="inlineStr">
        <is>
          <t>ÖSTERSUND</t>
        </is>
      </c>
      <c r="G366" t="n">
        <v>15.4</v>
      </c>
      <c r="H366" t="n">
        <v>0</v>
      </c>
      <c r="I366" t="n">
        <v>0</v>
      </c>
      <c r="J366" t="n">
        <v>0</v>
      </c>
      <c r="K366" t="n">
        <v>0</v>
      </c>
      <c r="L366" t="n">
        <v>0</v>
      </c>
      <c r="M366" t="n">
        <v>0</v>
      </c>
      <c r="N366" t="n">
        <v>0</v>
      </c>
      <c r="O366" t="n">
        <v>0</v>
      </c>
      <c r="P366" t="n">
        <v>0</v>
      </c>
      <c r="Q366" t="n">
        <v>0</v>
      </c>
      <c r="R366" s="2" t="inlineStr"/>
    </row>
    <row r="367" ht="15" customHeight="1">
      <c r="A367" t="inlineStr">
        <is>
          <t>A 4901-2025</t>
        </is>
      </c>
      <c r="B367" s="1" t="n">
        <v>45688.67965277778</v>
      </c>
      <c r="C367" s="1" t="n">
        <v>45969</v>
      </c>
      <c r="D367" t="inlineStr">
        <is>
          <t>JÄMTLANDS LÄN</t>
        </is>
      </c>
      <c r="E367" t="inlineStr">
        <is>
          <t>ÖSTERSUND</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45969</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47727-2023</t>
        </is>
      </c>
      <c r="B369" s="1" t="n">
        <v>45203</v>
      </c>
      <c r="C369" s="1" t="n">
        <v>45969</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5544-2025</t>
        </is>
      </c>
      <c r="B370" s="1" t="n">
        <v>45693</v>
      </c>
      <c r="C370" s="1" t="n">
        <v>45969</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47804-2024</t>
        </is>
      </c>
      <c r="B371" s="1" t="n">
        <v>45588.61498842593</v>
      </c>
      <c r="C371" s="1" t="n">
        <v>45969</v>
      </c>
      <c r="D371" t="inlineStr">
        <is>
          <t>JÄMTLANDS LÄN</t>
        </is>
      </c>
      <c r="E371" t="inlineStr">
        <is>
          <t>ÖSTERSUND</t>
        </is>
      </c>
      <c r="F371" t="inlineStr">
        <is>
          <t>SCA</t>
        </is>
      </c>
      <c r="G371" t="n">
        <v>7.3</v>
      </c>
      <c r="H371" t="n">
        <v>0</v>
      </c>
      <c r="I371" t="n">
        <v>0</v>
      </c>
      <c r="J371" t="n">
        <v>0</v>
      </c>
      <c r="K371" t="n">
        <v>0</v>
      </c>
      <c r="L371" t="n">
        <v>0</v>
      </c>
      <c r="M371" t="n">
        <v>0</v>
      </c>
      <c r="N371" t="n">
        <v>0</v>
      </c>
      <c r="O371" t="n">
        <v>0</v>
      </c>
      <c r="P371" t="n">
        <v>0</v>
      </c>
      <c r="Q371" t="n">
        <v>0</v>
      </c>
      <c r="R371" s="2" t="inlineStr"/>
    </row>
    <row r="372" ht="15" customHeight="1">
      <c r="A372" t="inlineStr">
        <is>
          <t>A 47805-2024</t>
        </is>
      </c>
      <c r="B372" s="1" t="n">
        <v>45588.61512731481</v>
      </c>
      <c r="C372" s="1" t="n">
        <v>45969</v>
      </c>
      <c r="D372" t="inlineStr">
        <is>
          <t>JÄMTLANDS LÄN</t>
        </is>
      </c>
      <c r="E372" t="inlineStr">
        <is>
          <t>ÖSTERSUND</t>
        </is>
      </c>
      <c r="G372" t="n">
        <v>7.4</v>
      </c>
      <c r="H372" t="n">
        <v>0</v>
      </c>
      <c r="I372" t="n">
        <v>0</v>
      </c>
      <c r="J372" t="n">
        <v>0</v>
      </c>
      <c r="K372" t="n">
        <v>0</v>
      </c>
      <c r="L372" t="n">
        <v>0</v>
      </c>
      <c r="M372" t="n">
        <v>0</v>
      </c>
      <c r="N372" t="n">
        <v>0</v>
      </c>
      <c r="O372" t="n">
        <v>0</v>
      </c>
      <c r="P372" t="n">
        <v>0</v>
      </c>
      <c r="Q372" t="n">
        <v>0</v>
      </c>
      <c r="R372" s="2" t="inlineStr"/>
    </row>
    <row r="373" ht="15" customHeight="1">
      <c r="A373" t="inlineStr">
        <is>
          <t>A 1322-2021</t>
        </is>
      </c>
      <c r="B373" s="1" t="n">
        <v>44208</v>
      </c>
      <c r="C373" s="1" t="n">
        <v>45969</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14118-2025</t>
        </is>
      </c>
      <c r="B374" s="1" t="n">
        <v>45740.46325231482</v>
      </c>
      <c r="C374" s="1" t="n">
        <v>45969</v>
      </c>
      <c r="D374" t="inlineStr">
        <is>
          <t>JÄMTLANDS LÄN</t>
        </is>
      </c>
      <c r="E374" t="inlineStr">
        <is>
          <t>ÖSTERSUND</t>
        </is>
      </c>
      <c r="G374" t="n">
        <v>3.6</v>
      </c>
      <c r="H374" t="n">
        <v>0</v>
      </c>
      <c r="I374" t="n">
        <v>0</v>
      </c>
      <c r="J374" t="n">
        <v>0</v>
      </c>
      <c r="K374" t="n">
        <v>0</v>
      </c>
      <c r="L374" t="n">
        <v>0</v>
      </c>
      <c r="M374" t="n">
        <v>0</v>
      </c>
      <c r="N374" t="n">
        <v>0</v>
      </c>
      <c r="O374" t="n">
        <v>0</v>
      </c>
      <c r="P374" t="n">
        <v>0</v>
      </c>
      <c r="Q374" t="n">
        <v>0</v>
      </c>
      <c r="R374" s="2" t="inlineStr"/>
    </row>
    <row r="375" ht="15" customHeight="1">
      <c r="A375" t="inlineStr">
        <is>
          <t>A 10306-2023</t>
        </is>
      </c>
      <c r="B375" s="1" t="n">
        <v>44986.94196759259</v>
      </c>
      <c r="C375" s="1" t="n">
        <v>45969</v>
      </c>
      <c r="D375" t="inlineStr">
        <is>
          <t>JÄMTLANDS LÄN</t>
        </is>
      </c>
      <c r="E375" t="inlineStr">
        <is>
          <t>ÖSTERSUND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58407-2024</t>
        </is>
      </c>
      <c r="B376" s="1" t="n">
        <v>45634.72633101852</v>
      </c>
      <c r="C376" s="1" t="n">
        <v>45969</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8261-2025</t>
        </is>
      </c>
      <c r="B377" s="1" t="n">
        <v>45708.50256944444</v>
      </c>
      <c r="C377" s="1" t="n">
        <v>45969</v>
      </c>
      <c r="D377" t="inlineStr">
        <is>
          <t>JÄMTLANDS LÄN</t>
        </is>
      </c>
      <c r="E377" t="inlineStr">
        <is>
          <t>ÖSTERSUND</t>
        </is>
      </c>
      <c r="G377" t="n">
        <v>5.4</v>
      </c>
      <c r="H377" t="n">
        <v>0</v>
      </c>
      <c r="I377" t="n">
        <v>0</v>
      </c>
      <c r="J377" t="n">
        <v>0</v>
      </c>
      <c r="K377" t="n">
        <v>0</v>
      </c>
      <c r="L377" t="n">
        <v>0</v>
      </c>
      <c r="M377" t="n">
        <v>0</v>
      </c>
      <c r="N377" t="n">
        <v>0</v>
      </c>
      <c r="O377" t="n">
        <v>0</v>
      </c>
      <c r="P377" t="n">
        <v>0</v>
      </c>
      <c r="Q377" t="n">
        <v>0</v>
      </c>
      <c r="R377" s="2" t="inlineStr"/>
    </row>
    <row r="378" ht="15" customHeight="1">
      <c r="A378" t="inlineStr">
        <is>
          <t>A 12352-2025</t>
        </is>
      </c>
      <c r="B378" s="1" t="n">
        <v>45730.36263888889</v>
      </c>
      <c r="C378" s="1" t="n">
        <v>45969</v>
      </c>
      <c r="D378" t="inlineStr">
        <is>
          <t>JÄMTLANDS LÄN</t>
        </is>
      </c>
      <c r="E378" t="inlineStr">
        <is>
          <t>ÖSTERSUND</t>
        </is>
      </c>
      <c r="G378" t="n">
        <v>7.8</v>
      </c>
      <c r="H378" t="n">
        <v>0</v>
      </c>
      <c r="I378" t="n">
        <v>0</v>
      </c>
      <c r="J378" t="n">
        <v>0</v>
      </c>
      <c r="K378" t="n">
        <v>0</v>
      </c>
      <c r="L378" t="n">
        <v>0</v>
      </c>
      <c r="M378" t="n">
        <v>0</v>
      </c>
      <c r="N378" t="n">
        <v>0</v>
      </c>
      <c r="O378" t="n">
        <v>0</v>
      </c>
      <c r="P378" t="n">
        <v>0</v>
      </c>
      <c r="Q378" t="n">
        <v>0</v>
      </c>
      <c r="R378" s="2" t="inlineStr"/>
    </row>
    <row r="379" ht="15" customHeight="1">
      <c r="A379" t="inlineStr">
        <is>
          <t>A 296-2023</t>
        </is>
      </c>
      <c r="B379" s="1" t="n">
        <v>44922</v>
      </c>
      <c r="C379" s="1" t="n">
        <v>45969</v>
      </c>
      <c r="D379" t="inlineStr">
        <is>
          <t>JÄMTLANDS LÄN</t>
        </is>
      </c>
      <c r="E379" t="inlineStr">
        <is>
          <t>ÖSTERSUND</t>
        </is>
      </c>
      <c r="G379" t="n">
        <v>0.8</v>
      </c>
      <c r="H379" t="n">
        <v>0</v>
      </c>
      <c r="I379" t="n">
        <v>0</v>
      </c>
      <c r="J379" t="n">
        <v>0</v>
      </c>
      <c r="K379" t="n">
        <v>0</v>
      </c>
      <c r="L379" t="n">
        <v>0</v>
      </c>
      <c r="M379" t="n">
        <v>0</v>
      </c>
      <c r="N379" t="n">
        <v>0</v>
      </c>
      <c r="O379" t="n">
        <v>0</v>
      </c>
      <c r="P379" t="n">
        <v>0</v>
      </c>
      <c r="Q379" t="n">
        <v>0</v>
      </c>
      <c r="R379" s="2" t="inlineStr"/>
    </row>
    <row r="380" ht="15" customHeight="1">
      <c r="A380" t="inlineStr">
        <is>
          <t>A 5553-2025</t>
        </is>
      </c>
      <c r="B380" s="1" t="n">
        <v>45693</v>
      </c>
      <c r="C380" s="1" t="n">
        <v>45969</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25535-2023</t>
        </is>
      </c>
      <c r="B381" s="1" t="n">
        <v>45089.54944444444</v>
      </c>
      <c r="C381" s="1" t="n">
        <v>45969</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17732-2022</t>
        </is>
      </c>
      <c r="B382" s="1" t="n">
        <v>44680.92873842592</v>
      </c>
      <c r="C382" s="1" t="n">
        <v>45969</v>
      </c>
      <c r="D382" t="inlineStr">
        <is>
          <t>JÄMTLANDS LÄN</t>
        </is>
      </c>
      <c r="E382" t="inlineStr">
        <is>
          <t>ÖSTERSUND</t>
        </is>
      </c>
      <c r="G382" t="n">
        <v>5.4</v>
      </c>
      <c r="H382" t="n">
        <v>0</v>
      </c>
      <c r="I382" t="n">
        <v>0</v>
      </c>
      <c r="J382" t="n">
        <v>0</v>
      </c>
      <c r="K382" t="n">
        <v>0</v>
      </c>
      <c r="L382" t="n">
        <v>0</v>
      </c>
      <c r="M382" t="n">
        <v>0</v>
      </c>
      <c r="N382" t="n">
        <v>0</v>
      </c>
      <c r="O382" t="n">
        <v>0</v>
      </c>
      <c r="P382" t="n">
        <v>0</v>
      </c>
      <c r="Q382" t="n">
        <v>0</v>
      </c>
      <c r="R382" s="2" t="inlineStr"/>
    </row>
    <row r="383" ht="15" customHeight="1">
      <c r="A383" t="inlineStr">
        <is>
          <t>A 6048-2024</t>
        </is>
      </c>
      <c r="B383" s="1" t="n">
        <v>45336</v>
      </c>
      <c r="C383" s="1" t="n">
        <v>45969</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45969</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64314-2023</t>
        </is>
      </c>
      <c r="B385" s="1" t="n">
        <v>45280</v>
      </c>
      <c r="C385" s="1" t="n">
        <v>45969</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13655-2025</t>
        </is>
      </c>
      <c r="B386" s="1" t="n">
        <v>45736.71956018519</v>
      </c>
      <c r="C386" s="1" t="n">
        <v>45969</v>
      </c>
      <c r="D386" t="inlineStr">
        <is>
          <t>JÄMTLANDS LÄN</t>
        </is>
      </c>
      <c r="E386" t="inlineStr">
        <is>
          <t>ÖSTERSUND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54883-2023</t>
        </is>
      </c>
      <c r="B387" s="1" t="n">
        <v>45236.62300925926</v>
      </c>
      <c r="C387" s="1" t="n">
        <v>45969</v>
      </c>
      <c r="D387" t="inlineStr">
        <is>
          <t>JÄMTLANDS LÄN</t>
        </is>
      </c>
      <c r="E387" t="inlineStr">
        <is>
          <t>ÖSTERSUND</t>
        </is>
      </c>
      <c r="F387" t="inlineStr">
        <is>
          <t>Övriga Aktiebolag</t>
        </is>
      </c>
      <c r="G387" t="n">
        <v>3.2</v>
      </c>
      <c r="H387" t="n">
        <v>0</v>
      </c>
      <c r="I387" t="n">
        <v>0</v>
      </c>
      <c r="J387" t="n">
        <v>0</v>
      </c>
      <c r="K387" t="n">
        <v>0</v>
      </c>
      <c r="L387" t="n">
        <v>0</v>
      </c>
      <c r="M387" t="n">
        <v>0</v>
      </c>
      <c r="N387" t="n">
        <v>0</v>
      </c>
      <c r="O387" t="n">
        <v>0</v>
      </c>
      <c r="P387" t="n">
        <v>0</v>
      </c>
      <c r="Q387" t="n">
        <v>0</v>
      </c>
      <c r="R387" s="2" t="inlineStr"/>
    </row>
    <row r="388" ht="15" customHeight="1">
      <c r="A388" t="inlineStr">
        <is>
          <t>A 3122-2025</t>
        </is>
      </c>
      <c r="B388" s="1" t="n">
        <v>45678</v>
      </c>
      <c r="C388" s="1" t="n">
        <v>45969</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62222-2022</t>
        </is>
      </c>
      <c r="B389" s="1" t="n">
        <v>44922</v>
      </c>
      <c r="C389" s="1" t="n">
        <v>45969</v>
      </c>
      <c r="D389" t="inlineStr">
        <is>
          <t>JÄMTLANDS LÄN</t>
        </is>
      </c>
      <c r="E389" t="inlineStr">
        <is>
          <t>ÖSTERSUND</t>
        </is>
      </c>
      <c r="G389" t="n">
        <v>4.1</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45969</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41280-2024</t>
        </is>
      </c>
      <c r="B391" s="1" t="n">
        <v>45559.59476851852</v>
      </c>
      <c r="C391" s="1" t="n">
        <v>45969</v>
      </c>
      <c r="D391" t="inlineStr">
        <is>
          <t>JÄMTLANDS LÄN</t>
        </is>
      </c>
      <c r="E391" t="inlineStr">
        <is>
          <t>ÖSTERSUND</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7224-2024</t>
        </is>
      </c>
      <c r="B392" s="1" t="n">
        <v>45344</v>
      </c>
      <c r="C392" s="1" t="n">
        <v>45969</v>
      </c>
      <c r="D392" t="inlineStr">
        <is>
          <t>JÄMTLANDS LÄN</t>
        </is>
      </c>
      <c r="E392" t="inlineStr">
        <is>
          <t>ÖSTERSUND</t>
        </is>
      </c>
      <c r="G392" t="n">
        <v>2.9</v>
      </c>
      <c r="H392" t="n">
        <v>0</v>
      </c>
      <c r="I392" t="n">
        <v>0</v>
      </c>
      <c r="J392" t="n">
        <v>0</v>
      </c>
      <c r="K392" t="n">
        <v>0</v>
      </c>
      <c r="L392" t="n">
        <v>0</v>
      </c>
      <c r="M392" t="n">
        <v>0</v>
      </c>
      <c r="N392" t="n">
        <v>0</v>
      </c>
      <c r="O392" t="n">
        <v>0</v>
      </c>
      <c r="P392" t="n">
        <v>0</v>
      </c>
      <c r="Q392" t="n">
        <v>0</v>
      </c>
      <c r="R392" s="2" t="inlineStr"/>
    </row>
    <row r="393" ht="15" customHeight="1">
      <c r="A393" t="inlineStr">
        <is>
          <t>A 60575-2022</t>
        </is>
      </c>
      <c r="B393" s="1" t="n">
        <v>44911.5662037037</v>
      </c>
      <c r="C393" s="1" t="n">
        <v>45969</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8675-2023</t>
        </is>
      </c>
      <c r="B394" s="1" t="n">
        <v>44977.98629629629</v>
      </c>
      <c r="C394" s="1" t="n">
        <v>45969</v>
      </c>
      <c r="D394" t="inlineStr">
        <is>
          <t>JÄMTLANDS LÄN</t>
        </is>
      </c>
      <c r="E394" t="inlineStr">
        <is>
          <t>ÖSTERSUND</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12-2023</t>
        </is>
      </c>
      <c r="B395" s="1" t="n">
        <v>44927.88021990741</v>
      </c>
      <c r="C395" s="1" t="n">
        <v>45969</v>
      </c>
      <c r="D395" t="inlineStr">
        <is>
          <t>JÄMTLANDS LÄN</t>
        </is>
      </c>
      <c r="E395" t="inlineStr">
        <is>
          <t>ÖSTERSUND</t>
        </is>
      </c>
      <c r="G395" t="n">
        <v>4.7</v>
      </c>
      <c r="H395" t="n">
        <v>0</v>
      </c>
      <c r="I395" t="n">
        <v>0</v>
      </c>
      <c r="J395" t="n">
        <v>0</v>
      </c>
      <c r="K395" t="n">
        <v>0</v>
      </c>
      <c r="L395" t="n">
        <v>0</v>
      </c>
      <c r="M395" t="n">
        <v>0</v>
      </c>
      <c r="N395" t="n">
        <v>0</v>
      </c>
      <c r="O395" t="n">
        <v>0</v>
      </c>
      <c r="P395" t="n">
        <v>0</v>
      </c>
      <c r="Q395" t="n">
        <v>0</v>
      </c>
      <c r="R395" s="2" t="inlineStr"/>
    </row>
    <row r="396" ht="15" customHeight="1">
      <c r="A396" t="inlineStr">
        <is>
          <t>A 7233-2024</t>
        </is>
      </c>
      <c r="B396" s="1" t="n">
        <v>45344</v>
      </c>
      <c r="C396" s="1" t="n">
        <v>45969</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55666-2023</t>
        </is>
      </c>
      <c r="B397" s="1" t="n">
        <v>45238.96770833333</v>
      </c>
      <c r="C397" s="1" t="n">
        <v>45969</v>
      </c>
      <c r="D397" t="inlineStr">
        <is>
          <t>JÄMTLANDS LÄN</t>
        </is>
      </c>
      <c r="E397" t="inlineStr">
        <is>
          <t>ÖSTERSUND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51481-2023</t>
        </is>
      </c>
      <c r="B398" s="1" t="n">
        <v>45221.92440972223</v>
      </c>
      <c r="C398" s="1" t="n">
        <v>45969</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48737-2024</t>
        </is>
      </c>
      <c r="B399" s="1" t="n">
        <v>45593.57327546296</v>
      </c>
      <c r="C399" s="1" t="n">
        <v>45969</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55140-2023</t>
        </is>
      </c>
      <c r="B400" s="1" t="n">
        <v>45237.50966435186</v>
      </c>
      <c r="C400" s="1" t="n">
        <v>45969</v>
      </c>
      <c r="D400" t="inlineStr">
        <is>
          <t>JÄMTLANDS LÄN</t>
        </is>
      </c>
      <c r="E400" t="inlineStr">
        <is>
          <t>ÖSTERSUND</t>
        </is>
      </c>
      <c r="G400" t="n">
        <v>1.8</v>
      </c>
      <c r="H400" t="n">
        <v>0</v>
      </c>
      <c r="I400" t="n">
        <v>0</v>
      </c>
      <c r="J400" t="n">
        <v>0</v>
      </c>
      <c r="K400" t="n">
        <v>0</v>
      </c>
      <c r="L400" t="n">
        <v>0</v>
      </c>
      <c r="M400" t="n">
        <v>0</v>
      </c>
      <c r="N400" t="n">
        <v>0</v>
      </c>
      <c r="O400" t="n">
        <v>0</v>
      </c>
      <c r="P400" t="n">
        <v>0</v>
      </c>
      <c r="Q400" t="n">
        <v>0</v>
      </c>
      <c r="R400" s="2" t="inlineStr"/>
    </row>
    <row r="401" ht="15" customHeight="1">
      <c r="A401" t="inlineStr">
        <is>
          <t>A 1211-2025</t>
        </is>
      </c>
      <c r="B401" s="1" t="n">
        <v>45667.40662037037</v>
      </c>
      <c r="C401" s="1" t="n">
        <v>45969</v>
      </c>
      <c r="D401" t="inlineStr">
        <is>
          <t>JÄMTLANDS LÄN</t>
        </is>
      </c>
      <c r="E401" t="inlineStr">
        <is>
          <t>ÖSTERSUND</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27118-2023</t>
        </is>
      </c>
      <c r="B402" s="1" t="n">
        <v>45096</v>
      </c>
      <c r="C402" s="1" t="n">
        <v>45969</v>
      </c>
      <c r="D402" t="inlineStr">
        <is>
          <t>JÄMTLANDS LÄN</t>
        </is>
      </c>
      <c r="E402" t="inlineStr">
        <is>
          <t>ÖSTERSUND</t>
        </is>
      </c>
      <c r="G402" t="n">
        <v>1.2</v>
      </c>
      <c r="H402" t="n">
        <v>0</v>
      </c>
      <c r="I402" t="n">
        <v>0</v>
      </c>
      <c r="J402" t="n">
        <v>0</v>
      </c>
      <c r="K402" t="n">
        <v>0</v>
      </c>
      <c r="L402" t="n">
        <v>0</v>
      </c>
      <c r="M402" t="n">
        <v>0</v>
      </c>
      <c r="N402" t="n">
        <v>0</v>
      </c>
      <c r="O402" t="n">
        <v>0</v>
      </c>
      <c r="P402" t="n">
        <v>0</v>
      </c>
      <c r="Q402" t="n">
        <v>0</v>
      </c>
      <c r="R402" s="2" t="inlineStr"/>
    </row>
    <row r="403" ht="15" customHeight="1">
      <c r="A403" t="inlineStr">
        <is>
          <t>A 2686-2021</t>
        </is>
      </c>
      <c r="B403" s="1" t="n">
        <v>44214</v>
      </c>
      <c r="C403" s="1" t="n">
        <v>45969</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60623-2022</t>
        </is>
      </c>
      <c r="B404" s="1" t="n">
        <v>44911.6459837963</v>
      </c>
      <c r="C404" s="1" t="n">
        <v>45969</v>
      </c>
      <c r="D404" t="inlineStr">
        <is>
          <t>JÄMTLANDS LÄN</t>
        </is>
      </c>
      <c r="E404" t="inlineStr">
        <is>
          <t>ÖSTERSUND</t>
        </is>
      </c>
      <c r="G404" t="n">
        <v>10.9</v>
      </c>
      <c r="H404" t="n">
        <v>0</v>
      </c>
      <c r="I404" t="n">
        <v>0</v>
      </c>
      <c r="J404" t="n">
        <v>0</v>
      </c>
      <c r="K404" t="n">
        <v>0</v>
      </c>
      <c r="L404" t="n">
        <v>0</v>
      </c>
      <c r="M404" t="n">
        <v>0</v>
      </c>
      <c r="N404" t="n">
        <v>0</v>
      </c>
      <c r="O404" t="n">
        <v>0</v>
      </c>
      <c r="P404" t="n">
        <v>0</v>
      </c>
      <c r="Q404" t="n">
        <v>0</v>
      </c>
      <c r="R404" s="2" t="inlineStr"/>
    </row>
    <row r="405" ht="15" customHeight="1">
      <c r="A405" t="inlineStr">
        <is>
          <t>A 39493-2023</t>
        </is>
      </c>
      <c r="B405" s="1" t="n">
        <v>45166.9569675926</v>
      </c>
      <c r="C405" s="1" t="n">
        <v>45969</v>
      </c>
      <c r="D405" t="inlineStr">
        <is>
          <t>JÄMTLANDS LÄN</t>
        </is>
      </c>
      <c r="E405" t="inlineStr">
        <is>
          <t>ÖSTERSUND</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51818-2024</t>
        </is>
      </c>
      <c r="B406" s="1" t="n">
        <v>45607.49265046296</v>
      </c>
      <c r="C406" s="1" t="n">
        <v>45969</v>
      </c>
      <c r="D406" t="inlineStr">
        <is>
          <t>JÄMTLANDS LÄN</t>
        </is>
      </c>
      <c r="E406" t="inlineStr">
        <is>
          <t>ÖSTERSUND</t>
        </is>
      </c>
      <c r="G406" t="n">
        <v>4.6</v>
      </c>
      <c r="H406" t="n">
        <v>0</v>
      </c>
      <c r="I406" t="n">
        <v>0</v>
      </c>
      <c r="J406" t="n">
        <v>0</v>
      </c>
      <c r="K406" t="n">
        <v>0</v>
      </c>
      <c r="L406" t="n">
        <v>0</v>
      </c>
      <c r="M406" t="n">
        <v>0</v>
      </c>
      <c r="N406" t="n">
        <v>0</v>
      </c>
      <c r="O406" t="n">
        <v>0</v>
      </c>
      <c r="P406" t="n">
        <v>0</v>
      </c>
      <c r="Q406" t="n">
        <v>0</v>
      </c>
      <c r="R406" s="2" t="inlineStr"/>
    </row>
    <row r="407" ht="15" customHeight="1">
      <c r="A407" t="inlineStr">
        <is>
          <t>A 14653-2022</t>
        </is>
      </c>
      <c r="B407" s="1" t="n">
        <v>44655.69303240741</v>
      </c>
      <c r="C407" s="1" t="n">
        <v>45969</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48106-2024</t>
        </is>
      </c>
      <c r="B408" s="1" t="n">
        <v>45589.62625</v>
      </c>
      <c r="C408" s="1" t="n">
        <v>45969</v>
      </c>
      <c r="D408" t="inlineStr">
        <is>
          <t>JÄMTLANDS LÄN</t>
        </is>
      </c>
      <c r="E408" t="inlineStr">
        <is>
          <t>ÖSTERSUND</t>
        </is>
      </c>
      <c r="G408" t="n">
        <v>3.5</v>
      </c>
      <c r="H408" t="n">
        <v>0</v>
      </c>
      <c r="I408" t="n">
        <v>0</v>
      </c>
      <c r="J408" t="n">
        <v>0</v>
      </c>
      <c r="K408" t="n">
        <v>0</v>
      </c>
      <c r="L408" t="n">
        <v>0</v>
      </c>
      <c r="M408" t="n">
        <v>0</v>
      </c>
      <c r="N408" t="n">
        <v>0</v>
      </c>
      <c r="O408" t="n">
        <v>0</v>
      </c>
      <c r="P408" t="n">
        <v>0</v>
      </c>
      <c r="Q408" t="n">
        <v>0</v>
      </c>
      <c r="R408" s="2" t="inlineStr"/>
    </row>
    <row r="409" ht="15" customHeight="1">
      <c r="A409" t="inlineStr">
        <is>
          <t>A 37597-2023</t>
        </is>
      </c>
      <c r="B409" s="1" t="n">
        <v>45159.42180555555</v>
      </c>
      <c r="C409" s="1" t="n">
        <v>45969</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16306-2025</t>
        </is>
      </c>
      <c r="B410" s="1" t="n">
        <v>45751.34664351852</v>
      </c>
      <c r="C410" s="1" t="n">
        <v>45969</v>
      </c>
      <c r="D410" t="inlineStr">
        <is>
          <t>JÄMTLANDS LÄN</t>
        </is>
      </c>
      <c r="E410" t="inlineStr">
        <is>
          <t>ÖSTERSUND</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3997-2025</t>
        </is>
      </c>
      <c r="B411" s="1" t="n">
        <v>45684.56725694444</v>
      </c>
      <c r="C411" s="1" t="n">
        <v>45969</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20960-2022</t>
        </is>
      </c>
      <c r="B412" s="1" t="n">
        <v>44701.94034722223</v>
      </c>
      <c r="C412" s="1" t="n">
        <v>45969</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60780-2023</t>
        </is>
      </c>
      <c r="B413" s="1" t="n">
        <v>45260</v>
      </c>
      <c r="C413" s="1" t="n">
        <v>45969</v>
      </c>
      <c r="D413" t="inlineStr">
        <is>
          <t>JÄMTLANDS LÄN</t>
        </is>
      </c>
      <c r="E413" t="inlineStr">
        <is>
          <t>ÖSTERSUND</t>
        </is>
      </c>
      <c r="G413" t="n">
        <v>3.7</v>
      </c>
      <c r="H413" t="n">
        <v>0</v>
      </c>
      <c r="I413" t="n">
        <v>0</v>
      </c>
      <c r="J413" t="n">
        <v>0</v>
      </c>
      <c r="K413" t="n">
        <v>0</v>
      </c>
      <c r="L413" t="n">
        <v>0</v>
      </c>
      <c r="M413" t="n">
        <v>0</v>
      </c>
      <c r="N413" t="n">
        <v>0</v>
      </c>
      <c r="O413" t="n">
        <v>0</v>
      </c>
      <c r="P413" t="n">
        <v>0</v>
      </c>
      <c r="Q413" t="n">
        <v>0</v>
      </c>
      <c r="R413" s="2" t="inlineStr"/>
    </row>
    <row r="414" ht="15" customHeight="1">
      <c r="A414" t="inlineStr">
        <is>
          <t>A 57589-2024</t>
        </is>
      </c>
      <c r="B414" s="1" t="n">
        <v>45630.49710648148</v>
      </c>
      <c r="C414" s="1" t="n">
        <v>45969</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54587-2024</t>
        </is>
      </c>
      <c r="B415" s="1" t="n">
        <v>45617.65800925926</v>
      </c>
      <c r="C415" s="1" t="n">
        <v>45969</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11740-2022</t>
        </is>
      </c>
      <c r="B416" s="1" t="n">
        <v>44634.52982638889</v>
      </c>
      <c r="C416" s="1" t="n">
        <v>45969</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61506-2023</t>
        </is>
      </c>
      <c r="B417" s="1" t="n">
        <v>45264</v>
      </c>
      <c r="C417" s="1" t="n">
        <v>45969</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16336-2025</t>
        </is>
      </c>
      <c r="B418" s="1" t="n">
        <v>45751.36519675926</v>
      </c>
      <c r="C418" s="1" t="n">
        <v>45969</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38926-2024</t>
        </is>
      </c>
      <c r="B419" s="1" t="n">
        <v>45547.90777777778</v>
      </c>
      <c r="C419" s="1" t="n">
        <v>45969</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20588-2023</t>
        </is>
      </c>
      <c r="B420" s="1" t="n">
        <v>45057</v>
      </c>
      <c r="C420" s="1" t="n">
        <v>45969</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26321-2022</t>
        </is>
      </c>
      <c r="B421" s="1" t="n">
        <v>44735</v>
      </c>
      <c r="C421" s="1" t="n">
        <v>45969</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14542-2025</t>
        </is>
      </c>
      <c r="B422" s="1" t="n">
        <v>45741.68631944444</v>
      </c>
      <c r="C422" s="1" t="n">
        <v>45969</v>
      </c>
      <c r="D422" t="inlineStr">
        <is>
          <t>JÄMTLANDS LÄN</t>
        </is>
      </c>
      <c r="E422" t="inlineStr">
        <is>
          <t>ÖSTERSUND</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40360-2025</t>
        </is>
      </c>
      <c r="B423" s="1" t="n">
        <v>45895.49024305555</v>
      </c>
      <c r="C423" s="1" t="n">
        <v>45969</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40325-2025</t>
        </is>
      </c>
      <c r="B424" s="1" t="n">
        <v>45895.4484837963</v>
      </c>
      <c r="C424" s="1" t="n">
        <v>45969</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207-2025</t>
        </is>
      </c>
      <c r="B425" s="1" t="n">
        <v>45660.32672453704</v>
      </c>
      <c r="C425" s="1" t="n">
        <v>45969</v>
      </c>
      <c r="D425" t="inlineStr">
        <is>
          <t>JÄMTLANDS LÄN</t>
        </is>
      </c>
      <c r="E425" t="inlineStr">
        <is>
          <t>ÖSTERSUND</t>
        </is>
      </c>
      <c r="G425" t="n">
        <v>4</v>
      </c>
      <c r="H425" t="n">
        <v>0</v>
      </c>
      <c r="I425" t="n">
        <v>0</v>
      </c>
      <c r="J425" t="n">
        <v>0</v>
      </c>
      <c r="K425" t="n">
        <v>0</v>
      </c>
      <c r="L425" t="n">
        <v>0</v>
      </c>
      <c r="M425" t="n">
        <v>0</v>
      </c>
      <c r="N425" t="n">
        <v>0</v>
      </c>
      <c r="O425" t="n">
        <v>0</v>
      </c>
      <c r="P425" t="n">
        <v>0</v>
      </c>
      <c r="Q425" t="n">
        <v>0</v>
      </c>
      <c r="R425" s="2" t="inlineStr"/>
    </row>
    <row r="426" ht="15" customHeight="1">
      <c r="A426" t="inlineStr">
        <is>
          <t>A 61332-2024</t>
        </is>
      </c>
      <c r="B426" s="1" t="n">
        <v>45646.35685185185</v>
      </c>
      <c r="C426" s="1" t="n">
        <v>45969</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17709-2024</t>
        </is>
      </c>
      <c r="B427" s="1" t="n">
        <v>45418.4843287037</v>
      </c>
      <c r="C427" s="1" t="n">
        <v>45969</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2756-2024</t>
        </is>
      </c>
      <c r="B428" s="1" t="n">
        <v>45314.58785879629</v>
      </c>
      <c r="C428" s="1" t="n">
        <v>45969</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4936-2025</t>
        </is>
      </c>
      <c r="B429" s="1" t="n">
        <v>45688.69356481481</v>
      </c>
      <c r="C429" s="1" t="n">
        <v>45969</v>
      </c>
      <c r="D429" t="inlineStr">
        <is>
          <t>JÄMTLANDS LÄN</t>
        </is>
      </c>
      <c r="E429" t="inlineStr">
        <is>
          <t>ÖSTERSUND</t>
        </is>
      </c>
      <c r="G429" t="n">
        <v>8.1</v>
      </c>
      <c r="H429" t="n">
        <v>0</v>
      </c>
      <c r="I429" t="n">
        <v>0</v>
      </c>
      <c r="J429" t="n">
        <v>0</v>
      </c>
      <c r="K429" t="n">
        <v>0</v>
      </c>
      <c r="L429" t="n">
        <v>0</v>
      </c>
      <c r="M429" t="n">
        <v>0</v>
      </c>
      <c r="N429" t="n">
        <v>0</v>
      </c>
      <c r="O429" t="n">
        <v>0</v>
      </c>
      <c r="P429" t="n">
        <v>0</v>
      </c>
      <c r="Q429" t="n">
        <v>0</v>
      </c>
      <c r="R429" s="2" t="inlineStr"/>
    </row>
    <row r="430" ht="15" customHeight="1">
      <c r="A430" t="inlineStr">
        <is>
          <t>A 40361-2025</t>
        </is>
      </c>
      <c r="B430" s="1" t="n">
        <v>45895.49026620371</v>
      </c>
      <c r="C430" s="1" t="n">
        <v>45969</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49056-2025</t>
        </is>
      </c>
      <c r="B431" s="1" t="n">
        <v>45937.64063657408</v>
      </c>
      <c r="C431" s="1" t="n">
        <v>45969</v>
      </c>
      <c r="D431" t="inlineStr">
        <is>
          <t>JÄMTLANDS LÄN</t>
        </is>
      </c>
      <c r="E431" t="inlineStr">
        <is>
          <t>ÖSTERSUND</t>
        </is>
      </c>
      <c r="G431" t="n">
        <v>6.1</v>
      </c>
      <c r="H431" t="n">
        <v>0</v>
      </c>
      <c r="I431" t="n">
        <v>0</v>
      </c>
      <c r="J431" t="n">
        <v>0</v>
      </c>
      <c r="K431" t="n">
        <v>0</v>
      </c>
      <c r="L431" t="n">
        <v>0</v>
      </c>
      <c r="M431" t="n">
        <v>0</v>
      </c>
      <c r="N431" t="n">
        <v>0</v>
      </c>
      <c r="O431" t="n">
        <v>0</v>
      </c>
      <c r="P431" t="n">
        <v>0</v>
      </c>
      <c r="Q431" t="n">
        <v>0</v>
      </c>
      <c r="R431" s="2" t="inlineStr"/>
    </row>
    <row r="432" ht="15" customHeight="1">
      <c r="A432" t="inlineStr">
        <is>
          <t>A 49124-2025</t>
        </is>
      </c>
      <c r="B432" s="1" t="n">
        <v>45937.8647337963</v>
      </c>
      <c r="C432" s="1" t="n">
        <v>45969</v>
      </c>
      <c r="D432" t="inlineStr">
        <is>
          <t>JÄMTLANDS LÄN</t>
        </is>
      </c>
      <c r="E432" t="inlineStr">
        <is>
          <t>ÖSTERSUND</t>
        </is>
      </c>
      <c r="G432" t="n">
        <v>5.2</v>
      </c>
      <c r="H432" t="n">
        <v>0</v>
      </c>
      <c r="I432" t="n">
        <v>0</v>
      </c>
      <c r="J432" t="n">
        <v>0</v>
      </c>
      <c r="K432" t="n">
        <v>0</v>
      </c>
      <c r="L432" t="n">
        <v>0</v>
      </c>
      <c r="M432" t="n">
        <v>0</v>
      </c>
      <c r="N432" t="n">
        <v>0</v>
      </c>
      <c r="O432" t="n">
        <v>0</v>
      </c>
      <c r="P432" t="n">
        <v>0</v>
      </c>
      <c r="Q432" t="n">
        <v>0</v>
      </c>
      <c r="R432" s="2" t="inlineStr"/>
    </row>
    <row r="433" ht="15" customHeight="1">
      <c r="A433" t="inlineStr">
        <is>
          <t>A 40326-2025</t>
        </is>
      </c>
      <c r="B433" s="1" t="n">
        <v>45895.44856481482</v>
      </c>
      <c r="C433" s="1" t="n">
        <v>45969</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21060-2025</t>
        </is>
      </c>
      <c r="B434" s="1" t="n">
        <v>45777.58025462963</v>
      </c>
      <c r="C434" s="1" t="n">
        <v>45969</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48893-2025</t>
        </is>
      </c>
      <c r="B435" s="1" t="n">
        <v>45937.47302083333</v>
      </c>
      <c r="C435" s="1" t="n">
        <v>45969</v>
      </c>
      <c r="D435" t="inlineStr">
        <is>
          <t>JÄMTLANDS LÄN</t>
        </is>
      </c>
      <c r="E435" t="inlineStr">
        <is>
          <t>ÖSTERSUND</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27294-2023</t>
        </is>
      </c>
      <c r="B436" s="1" t="n">
        <v>45092</v>
      </c>
      <c r="C436" s="1" t="n">
        <v>45969</v>
      </c>
      <c r="D436" t="inlineStr">
        <is>
          <t>JÄMTLANDS LÄN</t>
        </is>
      </c>
      <c r="E436" t="inlineStr">
        <is>
          <t>ÖSTERSUND</t>
        </is>
      </c>
      <c r="G436" t="n">
        <v>2.8</v>
      </c>
      <c r="H436" t="n">
        <v>0</v>
      </c>
      <c r="I436" t="n">
        <v>0</v>
      </c>
      <c r="J436" t="n">
        <v>0</v>
      </c>
      <c r="K436" t="n">
        <v>0</v>
      </c>
      <c r="L436" t="n">
        <v>0</v>
      </c>
      <c r="M436" t="n">
        <v>0</v>
      </c>
      <c r="N436" t="n">
        <v>0</v>
      </c>
      <c r="O436" t="n">
        <v>0</v>
      </c>
      <c r="P436" t="n">
        <v>0</v>
      </c>
      <c r="Q436" t="n">
        <v>0</v>
      </c>
      <c r="R436" s="2" t="inlineStr"/>
    </row>
    <row r="437" ht="15" customHeight="1">
      <c r="A437" t="inlineStr">
        <is>
          <t>A 24246-2024</t>
        </is>
      </c>
      <c r="B437" s="1" t="n">
        <v>45457.37893518519</v>
      </c>
      <c r="C437" s="1" t="n">
        <v>45969</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21094-2025</t>
        </is>
      </c>
      <c r="B438" s="1" t="n">
        <v>45777.62665509259</v>
      </c>
      <c r="C438" s="1" t="n">
        <v>45969</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48959-2025</t>
        </is>
      </c>
      <c r="B439" s="1" t="n">
        <v>45937.55055555556</v>
      </c>
      <c r="C439" s="1" t="n">
        <v>45969</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21237-2025</t>
        </is>
      </c>
      <c r="B440" s="1" t="n">
        <v>45779</v>
      </c>
      <c r="C440" s="1" t="n">
        <v>45969</v>
      </c>
      <c r="D440" t="inlineStr">
        <is>
          <t>JÄMTLANDS LÄN</t>
        </is>
      </c>
      <c r="E440" t="inlineStr">
        <is>
          <t>ÖSTERSUND</t>
        </is>
      </c>
      <c r="G440" t="n">
        <v>0.4</v>
      </c>
      <c r="H440" t="n">
        <v>0</v>
      </c>
      <c r="I440" t="n">
        <v>0</v>
      </c>
      <c r="J440" t="n">
        <v>0</v>
      </c>
      <c r="K440" t="n">
        <v>0</v>
      </c>
      <c r="L440" t="n">
        <v>0</v>
      </c>
      <c r="M440" t="n">
        <v>0</v>
      </c>
      <c r="N440" t="n">
        <v>0</v>
      </c>
      <c r="O440" t="n">
        <v>0</v>
      </c>
      <c r="P440" t="n">
        <v>0</v>
      </c>
      <c r="Q440" t="n">
        <v>0</v>
      </c>
      <c r="R440" s="2" t="inlineStr"/>
    </row>
    <row r="441" ht="15" customHeight="1">
      <c r="A441" t="inlineStr">
        <is>
          <t>A 14848-2025</t>
        </is>
      </c>
      <c r="B441" s="1" t="n">
        <v>45743.39528935185</v>
      </c>
      <c r="C441" s="1" t="n">
        <v>45969</v>
      </c>
      <c r="D441" t="inlineStr">
        <is>
          <t>JÄMTLANDS LÄN</t>
        </is>
      </c>
      <c r="E441" t="inlineStr">
        <is>
          <t>ÖSTERSUND</t>
        </is>
      </c>
      <c r="G441" t="n">
        <v>12.1</v>
      </c>
      <c r="H441" t="n">
        <v>0</v>
      </c>
      <c r="I441" t="n">
        <v>0</v>
      </c>
      <c r="J441" t="n">
        <v>0</v>
      </c>
      <c r="K441" t="n">
        <v>0</v>
      </c>
      <c r="L441" t="n">
        <v>0</v>
      </c>
      <c r="M441" t="n">
        <v>0</v>
      </c>
      <c r="N441" t="n">
        <v>0</v>
      </c>
      <c r="O441" t="n">
        <v>0</v>
      </c>
      <c r="P441" t="n">
        <v>0</v>
      </c>
      <c r="Q441" t="n">
        <v>0</v>
      </c>
      <c r="R441" s="2" t="inlineStr"/>
    </row>
    <row r="442" ht="15" customHeight="1">
      <c r="A442" t="inlineStr">
        <is>
          <t>A 14182-2025</t>
        </is>
      </c>
      <c r="B442" s="1" t="n">
        <v>45740.54168981482</v>
      </c>
      <c r="C442" s="1" t="n">
        <v>45969</v>
      </c>
      <c r="D442" t="inlineStr">
        <is>
          <t>JÄMTLANDS LÄN</t>
        </is>
      </c>
      <c r="E442" t="inlineStr">
        <is>
          <t>ÖSTERSUND</t>
        </is>
      </c>
      <c r="F442" t="inlineStr">
        <is>
          <t>Övriga Aktiebolag</t>
        </is>
      </c>
      <c r="G442" t="n">
        <v>20.1</v>
      </c>
      <c r="H442" t="n">
        <v>0</v>
      </c>
      <c r="I442" t="n">
        <v>0</v>
      </c>
      <c r="J442" t="n">
        <v>0</v>
      </c>
      <c r="K442" t="n">
        <v>0</v>
      </c>
      <c r="L442" t="n">
        <v>0</v>
      </c>
      <c r="M442" t="n">
        <v>0</v>
      </c>
      <c r="N442" t="n">
        <v>0</v>
      </c>
      <c r="O442" t="n">
        <v>0</v>
      </c>
      <c r="P442" t="n">
        <v>0</v>
      </c>
      <c r="Q442" t="n">
        <v>0</v>
      </c>
      <c r="R442" s="2" t="inlineStr"/>
    </row>
    <row r="443" ht="15" customHeight="1">
      <c r="A443" t="inlineStr">
        <is>
          <t>A 1670-2024</t>
        </is>
      </c>
      <c r="B443" s="1" t="n">
        <v>45306</v>
      </c>
      <c r="C443" s="1" t="n">
        <v>45969</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49039-2025</t>
        </is>
      </c>
      <c r="B444" s="1" t="n">
        <v>45937.63275462963</v>
      </c>
      <c r="C444" s="1" t="n">
        <v>45969</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16812-2025</t>
        </is>
      </c>
      <c r="B445" s="1" t="n">
        <v>45754</v>
      </c>
      <c r="C445" s="1" t="n">
        <v>45969</v>
      </c>
      <c r="D445" t="inlineStr">
        <is>
          <t>JÄMTLANDS LÄN</t>
        </is>
      </c>
      <c r="E445" t="inlineStr">
        <is>
          <t>ÖSTERSUND</t>
        </is>
      </c>
      <c r="F445" t="inlineStr">
        <is>
          <t>Övriga statliga verk och myndigheter</t>
        </is>
      </c>
      <c r="G445" t="n">
        <v>3.7</v>
      </c>
      <c r="H445" t="n">
        <v>0</v>
      </c>
      <c r="I445" t="n">
        <v>0</v>
      </c>
      <c r="J445" t="n">
        <v>0</v>
      </c>
      <c r="K445" t="n">
        <v>0</v>
      </c>
      <c r="L445" t="n">
        <v>0</v>
      </c>
      <c r="M445" t="n">
        <v>0</v>
      </c>
      <c r="N445" t="n">
        <v>0</v>
      </c>
      <c r="O445" t="n">
        <v>0</v>
      </c>
      <c r="P445" t="n">
        <v>0</v>
      </c>
      <c r="Q445" t="n">
        <v>0</v>
      </c>
      <c r="R445" s="2" t="inlineStr"/>
    </row>
    <row r="446" ht="15" customHeight="1">
      <c r="A446" t="inlineStr">
        <is>
          <t>A 16725-2025</t>
        </is>
      </c>
      <c r="B446" s="1" t="n">
        <v>45754</v>
      </c>
      <c r="C446" s="1" t="n">
        <v>45969</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49192-2024</t>
        </is>
      </c>
      <c r="B447" s="1" t="n">
        <v>45595.34762731481</v>
      </c>
      <c r="C447" s="1" t="n">
        <v>45969</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49572-2025</t>
        </is>
      </c>
      <c r="B448" s="1" t="n">
        <v>45939.49018518518</v>
      </c>
      <c r="C448" s="1" t="n">
        <v>45969</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54237-2024</t>
        </is>
      </c>
      <c r="B449" s="1" t="n">
        <v>45616.67833333334</v>
      </c>
      <c r="C449" s="1" t="n">
        <v>45969</v>
      </c>
      <c r="D449" t="inlineStr">
        <is>
          <t>JÄMTLANDS LÄN</t>
        </is>
      </c>
      <c r="E449" t="inlineStr">
        <is>
          <t>ÖSTERSUND</t>
        </is>
      </c>
      <c r="F449" t="inlineStr">
        <is>
          <t>SCA</t>
        </is>
      </c>
      <c r="G449" t="n">
        <v>8.9</v>
      </c>
      <c r="H449" t="n">
        <v>0</v>
      </c>
      <c r="I449" t="n">
        <v>0</v>
      </c>
      <c r="J449" t="n">
        <v>0</v>
      </c>
      <c r="K449" t="n">
        <v>0</v>
      </c>
      <c r="L449" t="n">
        <v>0</v>
      </c>
      <c r="M449" t="n">
        <v>0</v>
      </c>
      <c r="N449" t="n">
        <v>0</v>
      </c>
      <c r="O449" t="n">
        <v>0</v>
      </c>
      <c r="P449" t="n">
        <v>0</v>
      </c>
      <c r="Q449" t="n">
        <v>0</v>
      </c>
      <c r="R449" s="2" t="inlineStr"/>
    </row>
    <row r="450" ht="15" customHeight="1">
      <c r="A450" t="inlineStr">
        <is>
          <t>A 4480-2025</t>
        </is>
      </c>
      <c r="B450" s="1" t="n">
        <v>45686.64175925926</v>
      </c>
      <c r="C450" s="1" t="n">
        <v>45969</v>
      </c>
      <c r="D450" t="inlineStr">
        <is>
          <t>JÄMTLANDS LÄN</t>
        </is>
      </c>
      <c r="E450" t="inlineStr">
        <is>
          <t>ÖSTERSUND</t>
        </is>
      </c>
      <c r="G450" t="n">
        <v>27.7</v>
      </c>
      <c r="H450" t="n">
        <v>0</v>
      </c>
      <c r="I450" t="n">
        <v>0</v>
      </c>
      <c r="J450" t="n">
        <v>0</v>
      </c>
      <c r="K450" t="n">
        <v>0</v>
      </c>
      <c r="L450" t="n">
        <v>0</v>
      </c>
      <c r="M450" t="n">
        <v>0</v>
      </c>
      <c r="N450" t="n">
        <v>0</v>
      </c>
      <c r="O450" t="n">
        <v>0</v>
      </c>
      <c r="P450" t="n">
        <v>0</v>
      </c>
      <c r="Q450" t="n">
        <v>0</v>
      </c>
      <c r="R450" s="2" t="inlineStr"/>
    </row>
    <row r="451" ht="15" customHeight="1">
      <c r="A451" t="inlineStr">
        <is>
          <t>A 69190-2021</t>
        </is>
      </c>
      <c r="B451" s="1" t="n">
        <v>44529</v>
      </c>
      <c r="C451" s="1" t="n">
        <v>45969</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4707-2024</t>
        </is>
      </c>
      <c r="B452" s="1" t="n">
        <v>45328</v>
      </c>
      <c r="C452" s="1" t="n">
        <v>45969</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22612-2025</t>
        </is>
      </c>
      <c r="B453" s="1" t="n">
        <v>45789.42538194444</v>
      </c>
      <c r="C453" s="1" t="n">
        <v>45969</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46732-2024</t>
        </is>
      </c>
      <c r="B454" s="1" t="n">
        <v>45583.46936342592</v>
      </c>
      <c r="C454" s="1" t="n">
        <v>45969</v>
      </c>
      <c r="D454" t="inlineStr">
        <is>
          <t>JÄMTLANDS LÄN</t>
        </is>
      </c>
      <c r="E454" t="inlineStr">
        <is>
          <t>ÖSTERSUND</t>
        </is>
      </c>
      <c r="G454" t="n">
        <v>3.3</v>
      </c>
      <c r="H454" t="n">
        <v>0</v>
      </c>
      <c r="I454" t="n">
        <v>0</v>
      </c>
      <c r="J454" t="n">
        <v>0</v>
      </c>
      <c r="K454" t="n">
        <v>0</v>
      </c>
      <c r="L454" t="n">
        <v>0</v>
      </c>
      <c r="M454" t="n">
        <v>0</v>
      </c>
      <c r="N454" t="n">
        <v>0</v>
      </c>
      <c r="O454" t="n">
        <v>0</v>
      </c>
      <c r="P454" t="n">
        <v>0</v>
      </c>
      <c r="Q454" t="n">
        <v>0</v>
      </c>
      <c r="R454" s="2" t="inlineStr"/>
    </row>
    <row r="455" ht="15" customHeight="1">
      <c r="A455" t="inlineStr">
        <is>
          <t>A 22384-2025</t>
        </is>
      </c>
      <c r="B455" s="1" t="n">
        <v>45786</v>
      </c>
      <c r="C455" s="1" t="n">
        <v>45969</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17948-2025</t>
        </is>
      </c>
      <c r="B456" s="1" t="n">
        <v>45760.66995370371</v>
      </c>
      <c r="C456" s="1" t="n">
        <v>45969</v>
      </c>
      <c r="D456" t="inlineStr">
        <is>
          <t>JÄMTLANDS LÄN</t>
        </is>
      </c>
      <c r="E456" t="inlineStr">
        <is>
          <t>ÖSTERSUND</t>
        </is>
      </c>
      <c r="G456" t="n">
        <v>3.9</v>
      </c>
      <c r="H456" t="n">
        <v>0</v>
      </c>
      <c r="I456" t="n">
        <v>0</v>
      </c>
      <c r="J456" t="n">
        <v>0</v>
      </c>
      <c r="K456" t="n">
        <v>0</v>
      </c>
      <c r="L456" t="n">
        <v>0</v>
      </c>
      <c r="M456" t="n">
        <v>0</v>
      </c>
      <c r="N456" t="n">
        <v>0</v>
      </c>
      <c r="O456" t="n">
        <v>0</v>
      </c>
      <c r="P456" t="n">
        <v>0</v>
      </c>
      <c r="Q456" t="n">
        <v>0</v>
      </c>
      <c r="R456" s="2" t="inlineStr"/>
    </row>
    <row r="457" ht="15" customHeight="1">
      <c r="A457" t="inlineStr">
        <is>
          <t>A 4520-2025</t>
        </is>
      </c>
      <c r="B457" s="1" t="n">
        <v>45686.92384259259</v>
      </c>
      <c r="C457" s="1" t="n">
        <v>45969</v>
      </c>
      <c r="D457" t="inlineStr">
        <is>
          <t>JÄMTLANDS LÄN</t>
        </is>
      </c>
      <c r="E457" t="inlineStr">
        <is>
          <t>ÖSTERSUND</t>
        </is>
      </c>
      <c r="G457" t="n">
        <v>15.2</v>
      </c>
      <c r="H457" t="n">
        <v>0</v>
      </c>
      <c r="I457" t="n">
        <v>0</v>
      </c>
      <c r="J457" t="n">
        <v>0</v>
      </c>
      <c r="K457" t="n">
        <v>0</v>
      </c>
      <c r="L457" t="n">
        <v>0</v>
      </c>
      <c r="M457" t="n">
        <v>0</v>
      </c>
      <c r="N457" t="n">
        <v>0</v>
      </c>
      <c r="O457" t="n">
        <v>0</v>
      </c>
      <c r="P457" t="n">
        <v>0</v>
      </c>
      <c r="Q457" t="n">
        <v>0</v>
      </c>
      <c r="R457" s="2" t="inlineStr"/>
    </row>
    <row r="458" ht="15" customHeight="1">
      <c r="A458" t="inlineStr">
        <is>
          <t>A 4523-2025</t>
        </is>
      </c>
      <c r="B458" s="1" t="n">
        <v>45686.92864583333</v>
      </c>
      <c r="C458" s="1" t="n">
        <v>45969</v>
      </c>
      <c r="D458" t="inlineStr">
        <is>
          <t>JÄMTLANDS LÄN</t>
        </is>
      </c>
      <c r="E458" t="inlineStr">
        <is>
          <t>ÖSTERSUND</t>
        </is>
      </c>
      <c r="G458" t="n">
        <v>15.2</v>
      </c>
      <c r="H458" t="n">
        <v>0</v>
      </c>
      <c r="I458" t="n">
        <v>0</v>
      </c>
      <c r="J458" t="n">
        <v>0</v>
      </c>
      <c r="K458" t="n">
        <v>0</v>
      </c>
      <c r="L458" t="n">
        <v>0</v>
      </c>
      <c r="M458" t="n">
        <v>0</v>
      </c>
      <c r="N458" t="n">
        <v>0</v>
      </c>
      <c r="O458" t="n">
        <v>0</v>
      </c>
      <c r="P458" t="n">
        <v>0</v>
      </c>
      <c r="Q458" t="n">
        <v>0</v>
      </c>
      <c r="R458" s="2" t="inlineStr"/>
    </row>
    <row r="459" ht="15" customHeight="1">
      <c r="A459" t="inlineStr">
        <is>
          <t>A 45895-2024</t>
        </is>
      </c>
      <c r="B459" s="1" t="n">
        <v>45580.42736111111</v>
      </c>
      <c r="C459" s="1" t="n">
        <v>45969</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22713-2025</t>
        </is>
      </c>
      <c r="B460" s="1" t="n">
        <v>45789.56414351852</v>
      </c>
      <c r="C460" s="1" t="n">
        <v>45969</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22822-2025</t>
        </is>
      </c>
      <c r="B461" s="1" t="n">
        <v>45789</v>
      </c>
      <c r="C461" s="1" t="n">
        <v>45969</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22920-2025</t>
        </is>
      </c>
      <c r="B462" s="1" t="n">
        <v>45790.43905092592</v>
      </c>
      <c r="C462" s="1" t="n">
        <v>45969</v>
      </c>
      <c r="D462" t="inlineStr">
        <is>
          <t>JÄMTLANDS LÄN</t>
        </is>
      </c>
      <c r="E462" t="inlineStr">
        <is>
          <t>ÖSTERSUND</t>
        </is>
      </c>
      <c r="G462" t="n">
        <v>0.4</v>
      </c>
      <c r="H462" t="n">
        <v>0</v>
      </c>
      <c r="I462" t="n">
        <v>0</v>
      </c>
      <c r="J462" t="n">
        <v>0</v>
      </c>
      <c r="K462" t="n">
        <v>0</v>
      </c>
      <c r="L462" t="n">
        <v>0</v>
      </c>
      <c r="M462" t="n">
        <v>0</v>
      </c>
      <c r="N462" t="n">
        <v>0</v>
      </c>
      <c r="O462" t="n">
        <v>0</v>
      </c>
      <c r="P462" t="n">
        <v>0</v>
      </c>
      <c r="Q462" t="n">
        <v>0</v>
      </c>
      <c r="R462" s="2" t="inlineStr"/>
    </row>
    <row r="463" ht="15" customHeight="1">
      <c r="A463" t="inlineStr">
        <is>
          <t>A 38335-2023</t>
        </is>
      </c>
      <c r="B463" s="1" t="n">
        <v>45161</v>
      </c>
      <c r="C463" s="1" t="n">
        <v>45969</v>
      </c>
      <c r="D463" t="inlineStr">
        <is>
          <t>JÄMTLANDS LÄN</t>
        </is>
      </c>
      <c r="E463" t="inlineStr">
        <is>
          <t>ÖSTERSUND</t>
        </is>
      </c>
      <c r="G463" t="n">
        <v>15.1</v>
      </c>
      <c r="H463" t="n">
        <v>0</v>
      </c>
      <c r="I463" t="n">
        <v>0</v>
      </c>
      <c r="J463" t="n">
        <v>0</v>
      </c>
      <c r="K463" t="n">
        <v>0</v>
      </c>
      <c r="L463" t="n">
        <v>0</v>
      </c>
      <c r="M463" t="n">
        <v>0</v>
      </c>
      <c r="N463" t="n">
        <v>0</v>
      </c>
      <c r="O463" t="n">
        <v>0</v>
      </c>
      <c r="P463" t="n">
        <v>0</v>
      </c>
      <c r="Q463" t="n">
        <v>0</v>
      </c>
      <c r="R463" s="2" t="inlineStr"/>
    </row>
    <row r="464" ht="15" customHeight="1">
      <c r="A464" t="inlineStr">
        <is>
          <t>A 23249-2025</t>
        </is>
      </c>
      <c r="B464" s="1" t="n">
        <v>45791</v>
      </c>
      <c r="C464" s="1" t="n">
        <v>45969</v>
      </c>
      <c r="D464" t="inlineStr">
        <is>
          <t>JÄMTLANDS LÄN</t>
        </is>
      </c>
      <c r="E464" t="inlineStr">
        <is>
          <t>ÖSTERSUND</t>
        </is>
      </c>
      <c r="G464" t="n">
        <v>10</v>
      </c>
      <c r="H464" t="n">
        <v>0</v>
      </c>
      <c r="I464" t="n">
        <v>0</v>
      </c>
      <c r="J464" t="n">
        <v>0</v>
      </c>
      <c r="K464" t="n">
        <v>0</v>
      </c>
      <c r="L464" t="n">
        <v>0</v>
      </c>
      <c r="M464" t="n">
        <v>0</v>
      </c>
      <c r="N464" t="n">
        <v>0</v>
      </c>
      <c r="O464" t="n">
        <v>0</v>
      </c>
      <c r="P464" t="n">
        <v>0</v>
      </c>
      <c r="Q464" t="n">
        <v>0</v>
      </c>
      <c r="R464" s="2" t="inlineStr"/>
    </row>
    <row r="465" ht="15" customHeight="1">
      <c r="A465" t="inlineStr">
        <is>
          <t>A 23100-2025</t>
        </is>
      </c>
      <c r="B465" s="1" t="n">
        <v>45791.35212962963</v>
      </c>
      <c r="C465" s="1" t="n">
        <v>45969</v>
      </c>
      <c r="D465" t="inlineStr">
        <is>
          <t>JÄMTLANDS LÄN</t>
        </is>
      </c>
      <c r="E465" t="inlineStr">
        <is>
          <t>ÖSTERSUND</t>
        </is>
      </c>
      <c r="G465" t="n">
        <v>4.5</v>
      </c>
      <c r="H465" t="n">
        <v>0</v>
      </c>
      <c r="I465" t="n">
        <v>0</v>
      </c>
      <c r="J465" t="n">
        <v>0</v>
      </c>
      <c r="K465" t="n">
        <v>0</v>
      </c>
      <c r="L465" t="n">
        <v>0</v>
      </c>
      <c r="M465" t="n">
        <v>0</v>
      </c>
      <c r="N465" t="n">
        <v>0</v>
      </c>
      <c r="O465" t="n">
        <v>0</v>
      </c>
      <c r="P465" t="n">
        <v>0</v>
      </c>
      <c r="Q465" t="n">
        <v>0</v>
      </c>
      <c r="R465" s="2" t="inlineStr"/>
    </row>
    <row r="466" ht="15" customHeight="1">
      <c r="A466" t="inlineStr">
        <is>
          <t>A 55064-2024</t>
        </is>
      </c>
      <c r="B466" s="1" t="n">
        <v>45621.41050925926</v>
      </c>
      <c r="C466" s="1" t="n">
        <v>45969</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23078-2025</t>
        </is>
      </c>
      <c r="B467" s="1" t="n">
        <v>45791.27984953704</v>
      </c>
      <c r="C467" s="1" t="n">
        <v>45969</v>
      </c>
      <c r="D467" t="inlineStr">
        <is>
          <t>JÄMTLANDS LÄN</t>
        </is>
      </c>
      <c r="E467" t="inlineStr">
        <is>
          <t>ÖSTERSUND</t>
        </is>
      </c>
      <c r="G467" t="n">
        <v>2.8</v>
      </c>
      <c r="H467" t="n">
        <v>0</v>
      </c>
      <c r="I467" t="n">
        <v>0</v>
      </c>
      <c r="J467" t="n">
        <v>0</v>
      </c>
      <c r="K467" t="n">
        <v>0</v>
      </c>
      <c r="L467" t="n">
        <v>0</v>
      </c>
      <c r="M467" t="n">
        <v>0</v>
      </c>
      <c r="N467" t="n">
        <v>0</v>
      </c>
      <c r="O467" t="n">
        <v>0</v>
      </c>
      <c r="P467" t="n">
        <v>0</v>
      </c>
      <c r="Q467" t="n">
        <v>0</v>
      </c>
      <c r="R467" s="2" t="inlineStr"/>
    </row>
    <row r="468" ht="15" customHeight="1">
      <c r="A468" t="inlineStr">
        <is>
          <t>A 23110-2025</t>
        </is>
      </c>
      <c r="B468" s="1" t="n">
        <v>45791.36526620371</v>
      </c>
      <c r="C468" s="1" t="n">
        <v>45969</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45338-2024</t>
        </is>
      </c>
      <c r="B469" s="1" t="n">
        <v>45576.46905092592</v>
      </c>
      <c r="C469" s="1" t="n">
        <v>45969</v>
      </c>
      <c r="D469" t="inlineStr">
        <is>
          <t>JÄMTLANDS LÄN</t>
        </is>
      </c>
      <c r="E469" t="inlineStr">
        <is>
          <t>ÖSTERSUND</t>
        </is>
      </c>
      <c r="G469" t="n">
        <v>1.4</v>
      </c>
      <c r="H469" t="n">
        <v>0</v>
      </c>
      <c r="I469" t="n">
        <v>0</v>
      </c>
      <c r="J469" t="n">
        <v>0</v>
      </c>
      <c r="K469" t="n">
        <v>0</v>
      </c>
      <c r="L469" t="n">
        <v>0</v>
      </c>
      <c r="M469" t="n">
        <v>0</v>
      </c>
      <c r="N469" t="n">
        <v>0</v>
      </c>
      <c r="O469" t="n">
        <v>0</v>
      </c>
      <c r="P469" t="n">
        <v>0</v>
      </c>
      <c r="Q469" t="n">
        <v>0</v>
      </c>
      <c r="R469" s="2" t="inlineStr"/>
    </row>
    <row r="470" ht="15" customHeight="1">
      <c r="A470" t="inlineStr">
        <is>
          <t>A 10116-2025</t>
        </is>
      </c>
      <c r="B470" s="1" t="n">
        <v>45719.59836805556</v>
      </c>
      <c r="C470" s="1" t="n">
        <v>45969</v>
      </c>
      <c r="D470" t="inlineStr">
        <is>
          <t>JÄMTLANDS LÄN</t>
        </is>
      </c>
      <c r="E470" t="inlineStr">
        <is>
          <t>ÖSTERSUND</t>
        </is>
      </c>
      <c r="G470" t="n">
        <v>11.1</v>
      </c>
      <c r="H470" t="n">
        <v>0</v>
      </c>
      <c r="I470" t="n">
        <v>0</v>
      </c>
      <c r="J470" t="n">
        <v>0</v>
      </c>
      <c r="K470" t="n">
        <v>0</v>
      </c>
      <c r="L470" t="n">
        <v>0</v>
      </c>
      <c r="M470" t="n">
        <v>0</v>
      </c>
      <c r="N470" t="n">
        <v>0</v>
      </c>
      <c r="O470" t="n">
        <v>0</v>
      </c>
      <c r="P470" t="n">
        <v>0</v>
      </c>
      <c r="Q470" t="n">
        <v>0</v>
      </c>
      <c r="R470" s="2" t="inlineStr"/>
    </row>
    <row r="471" ht="15" customHeight="1">
      <c r="A471" t="inlineStr">
        <is>
          <t>A 7938-2025</t>
        </is>
      </c>
      <c r="B471" s="1" t="n">
        <v>45707</v>
      </c>
      <c r="C471" s="1" t="n">
        <v>45969</v>
      </c>
      <c r="D471" t="inlineStr">
        <is>
          <t>JÄMTLANDS LÄN</t>
        </is>
      </c>
      <c r="E471" t="inlineStr">
        <is>
          <t>ÖSTERSUND</t>
        </is>
      </c>
      <c r="G471" t="n">
        <v>3</v>
      </c>
      <c r="H471" t="n">
        <v>0</v>
      </c>
      <c r="I471" t="n">
        <v>0</v>
      </c>
      <c r="J471" t="n">
        <v>0</v>
      </c>
      <c r="K471" t="n">
        <v>0</v>
      </c>
      <c r="L471" t="n">
        <v>0</v>
      </c>
      <c r="M471" t="n">
        <v>0</v>
      </c>
      <c r="N471" t="n">
        <v>0</v>
      </c>
      <c r="O471" t="n">
        <v>0</v>
      </c>
      <c r="P471" t="n">
        <v>0</v>
      </c>
      <c r="Q471" t="n">
        <v>0</v>
      </c>
      <c r="R471" s="2" t="inlineStr"/>
    </row>
    <row r="472" ht="15" customHeight="1">
      <c r="A472" t="inlineStr">
        <is>
          <t>A 50168-2025</t>
        </is>
      </c>
      <c r="B472" s="1" t="n">
        <v>45943.59442129629</v>
      </c>
      <c r="C472" s="1" t="n">
        <v>45969</v>
      </c>
      <c r="D472" t="inlineStr">
        <is>
          <t>JÄMTLANDS LÄN</t>
        </is>
      </c>
      <c r="E472" t="inlineStr">
        <is>
          <t>ÖSTERSUND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45533-2025</t>
        </is>
      </c>
      <c r="B473" s="1" t="n">
        <v>45922</v>
      </c>
      <c r="C473" s="1" t="n">
        <v>45969</v>
      </c>
      <c r="D473" t="inlineStr">
        <is>
          <t>JÄMTLANDS LÄN</t>
        </is>
      </c>
      <c r="E473" t="inlineStr">
        <is>
          <t>ÖSTERSUND</t>
        </is>
      </c>
      <c r="F473" t="inlineStr">
        <is>
          <t>Övriga statliga verk och myndigheter</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41675-2025</t>
        </is>
      </c>
      <c r="B474" s="1" t="n">
        <v>45902.36641203704</v>
      </c>
      <c r="C474" s="1" t="n">
        <v>45969</v>
      </c>
      <c r="D474" t="inlineStr">
        <is>
          <t>JÄMTLANDS LÄN</t>
        </is>
      </c>
      <c r="E474" t="inlineStr">
        <is>
          <t>ÖSTERSUND</t>
        </is>
      </c>
      <c r="G474" t="n">
        <v>0.5</v>
      </c>
      <c r="H474" t="n">
        <v>0</v>
      </c>
      <c r="I474" t="n">
        <v>0</v>
      </c>
      <c r="J474" t="n">
        <v>0</v>
      </c>
      <c r="K474" t="n">
        <v>0</v>
      </c>
      <c r="L474" t="n">
        <v>0</v>
      </c>
      <c r="M474" t="n">
        <v>0</v>
      </c>
      <c r="N474" t="n">
        <v>0</v>
      </c>
      <c r="O474" t="n">
        <v>0</v>
      </c>
      <c r="P474" t="n">
        <v>0</v>
      </c>
      <c r="Q474" t="n">
        <v>0</v>
      </c>
      <c r="R474" s="2" t="inlineStr"/>
    </row>
    <row r="475" ht="15" customHeight="1">
      <c r="A475" t="inlineStr">
        <is>
          <t>A 41708-2025</t>
        </is>
      </c>
      <c r="B475" s="1" t="n">
        <v>45902.42280092592</v>
      </c>
      <c r="C475" s="1" t="n">
        <v>45969</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8027-2022</t>
        </is>
      </c>
      <c r="B476" s="1" t="n">
        <v>44609</v>
      </c>
      <c r="C476" s="1" t="n">
        <v>45969</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41780-2024</t>
        </is>
      </c>
      <c r="B477" s="1" t="n">
        <v>45561.34908564815</v>
      </c>
      <c r="C477" s="1" t="n">
        <v>45969</v>
      </c>
      <c r="D477" t="inlineStr">
        <is>
          <t>JÄMTLANDS LÄN</t>
        </is>
      </c>
      <c r="E477" t="inlineStr">
        <is>
          <t>ÖSTERSUND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19323-2024</t>
        </is>
      </c>
      <c r="B478" s="1" t="n">
        <v>45428.92486111111</v>
      </c>
      <c r="C478" s="1" t="n">
        <v>45969</v>
      </c>
      <c r="D478" t="inlineStr">
        <is>
          <t>JÄMTLANDS LÄN</t>
        </is>
      </c>
      <c r="E478" t="inlineStr">
        <is>
          <t>ÖSTERSUND</t>
        </is>
      </c>
      <c r="F478" t="inlineStr">
        <is>
          <t>Kommuner</t>
        </is>
      </c>
      <c r="G478" t="n">
        <v>0.2</v>
      </c>
      <c r="H478" t="n">
        <v>0</v>
      </c>
      <c r="I478" t="n">
        <v>0</v>
      </c>
      <c r="J478" t="n">
        <v>0</v>
      </c>
      <c r="K478" t="n">
        <v>0</v>
      </c>
      <c r="L478" t="n">
        <v>0</v>
      </c>
      <c r="M478" t="n">
        <v>0</v>
      </c>
      <c r="N478" t="n">
        <v>0</v>
      </c>
      <c r="O478" t="n">
        <v>0</v>
      </c>
      <c r="P478" t="n">
        <v>0</v>
      </c>
      <c r="Q478" t="n">
        <v>0</v>
      </c>
      <c r="R478" s="2" t="inlineStr"/>
    </row>
    <row r="479" ht="15" customHeight="1">
      <c r="A479" t="inlineStr">
        <is>
          <t>A 41582-2025</t>
        </is>
      </c>
      <c r="B479" s="1" t="n">
        <v>45901</v>
      </c>
      <c r="C479" s="1" t="n">
        <v>45969</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14831-2025</t>
        </is>
      </c>
      <c r="B480" s="1" t="n">
        <v>45743.37109953703</v>
      </c>
      <c r="C480" s="1" t="n">
        <v>45969</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49592-2024</t>
        </is>
      </c>
      <c r="B481" s="1" t="n">
        <v>45596.55266203704</v>
      </c>
      <c r="C481" s="1" t="n">
        <v>45969</v>
      </c>
      <c r="D481" t="inlineStr">
        <is>
          <t>JÄMTLANDS LÄN</t>
        </is>
      </c>
      <c r="E481" t="inlineStr">
        <is>
          <t>ÖSTERSUND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23877-2025</t>
        </is>
      </c>
      <c r="B482" s="1" t="n">
        <v>45793.68469907407</v>
      </c>
      <c r="C482" s="1" t="n">
        <v>45969</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56847-2024</t>
        </is>
      </c>
      <c r="B483" s="1" t="n">
        <v>45628.53381944444</v>
      </c>
      <c r="C483" s="1" t="n">
        <v>45969</v>
      </c>
      <c r="D483" t="inlineStr">
        <is>
          <t>JÄMTLANDS LÄN</t>
        </is>
      </c>
      <c r="E483" t="inlineStr">
        <is>
          <t>ÖSTERSUND</t>
        </is>
      </c>
      <c r="G483" t="n">
        <v>1.4</v>
      </c>
      <c r="H483" t="n">
        <v>0</v>
      </c>
      <c r="I483" t="n">
        <v>0</v>
      </c>
      <c r="J483" t="n">
        <v>0</v>
      </c>
      <c r="K483" t="n">
        <v>0</v>
      </c>
      <c r="L483" t="n">
        <v>0</v>
      </c>
      <c r="M483" t="n">
        <v>0</v>
      </c>
      <c r="N483" t="n">
        <v>0</v>
      </c>
      <c r="O483" t="n">
        <v>0</v>
      </c>
      <c r="P483" t="n">
        <v>0</v>
      </c>
      <c r="Q483" t="n">
        <v>0</v>
      </c>
      <c r="R483" s="2" t="inlineStr"/>
    </row>
    <row r="484" ht="15" customHeight="1">
      <c r="A484" t="inlineStr">
        <is>
          <t>A 24403-2025</t>
        </is>
      </c>
      <c r="B484" s="1" t="n">
        <v>45797.65025462963</v>
      </c>
      <c r="C484" s="1" t="n">
        <v>45969</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50428-2025</t>
        </is>
      </c>
      <c r="B485" s="1" t="n">
        <v>45944.67787037037</v>
      </c>
      <c r="C485" s="1" t="n">
        <v>45969</v>
      </c>
      <c r="D485" t="inlineStr">
        <is>
          <t>JÄMTLANDS LÄN</t>
        </is>
      </c>
      <c r="E485" t="inlineStr">
        <is>
          <t>ÖSTERSUND</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44798-2023</t>
        </is>
      </c>
      <c r="B486" s="1" t="n">
        <v>45190</v>
      </c>
      <c r="C486" s="1" t="n">
        <v>45969</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24523-2025</t>
        </is>
      </c>
      <c r="B487" s="1" t="n">
        <v>45798.42108796296</v>
      </c>
      <c r="C487" s="1" t="n">
        <v>45969</v>
      </c>
      <c r="D487" t="inlineStr">
        <is>
          <t>JÄMTLANDS LÄN</t>
        </is>
      </c>
      <c r="E487" t="inlineStr">
        <is>
          <t>ÖSTERSUND</t>
        </is>
      </c>
      <c r="G487" t="n">
        <v>13.7</v>
      </c>
      <c r="H487" t="n">
        <v>0</v>
      </c>
      <c r="I487" t="n">
        <v>0</v>
      </c>
      <c r="J487" t="n">
        <v>0</v>
      </c>
      <c r="K487" t="n">
        <v>0</v>
      </c>
      <c r="L487" t="n">
        <v>0</v>
      </c>
      <c r="M487" t="n">
        <v>0</v>
      </c>
      <c r="N487" t="n">
        <v>0</v>
      </c>
      <c r="O487" t="n">
        <v>0</v>
      </c>
      <c r="P487" t="n">
        <v>0</v>
      </c>
      <c r="Q487" t="n">
        <v>0</v>
      </c>
      <c r="R487" s="2" t="inlineStr"/>
    </row>
    <row r="488" ht="15" customHeight="1">
      <c r="A488" t="inlineStr">
        <is>
          <t>A 61376-2024</t>
        </is>
      </c>
      <c r="B488" s="1" t="n">
        <v>45646.39434027778</v>
      </c>
      <c r="C488" s="1" t="n">
        <v>45969</v>
      </c>
      <c r="D488" t="inlineStr">
        <is>
          <t>JÄMTLANDS LÄN</t>
        </is>
      </c>
      <c r="E488" t="inlineStr">
        <is>
          <t>ÖSTERSUND</t>
        </is>
      </c>
      <c r="G488" t="n">
        <v>4.6</v>
      </c>
      <c r="H488" t="n">
        <v>0</v>
      </c>
      <c r="I488" t="n">
        <v>0</v>
      </c>
      <c r="J488" t="n">
        <v>0</v>
      </c>
      <c r="K488" t="n">
        <v>0</v>
      </c>
      <c r="L488" t="n">
        <v>0</v>
      </c>
      <c r="M488" t="n">
        <v>0</v>
      </c>
      <c r="N488" t="n">
        <v>0</v>
      </c>
      <c r="O488" t="n">
        <v>0</v>
      </c>
      <c r="P488" t="n">
        <v>0</v>
      </c>
      <c r="Q488" t="n">
        <v>0</v>
      </c>
      <c r="R488" s="2" t="inlineStr"/>
    </row>
    <row r="489" ht="15" customHeight="1">
      <c r="A489" t="inlineStr">
        <is>
          <t>A 49576-2025</t>
        </is>
      </c>
      <c r="B489" s="1" t="n">
        <v>45939</v>
      </c>
      <c r="C489" s="1" t="n">
        <v>45969</v>
      </c>
      <c r="D489" t="inlineStr">
        <is>
          <t>JÄMTLANDS LÄN</t>
        </is>
      </c>
      <c r="E489" t="inlineStr">
        <is>
          <t>ÖSTERSUND</t>
        </is>
      </c>
      <c r="F489" t="inlineStr">
        <is>
          <t>SCA</t>
        </is>
      </c>
      <c r="G489" t="n">
        <v>17.1</v>
      </c>
      <c r="H489" t="n">
        <v>0</v>
      </c>
      <c r="I489" t="n">
        <v>0</v>
      </c>
      <c r="J489" t="n">
        <v>0</v>
      </c>
      <c r="K489" t="n">
        <v>0</v>
      </c>
      <c r="L489" t="n">
        <v>0</v>
      </c>
      <c r="M489" t="n">
        <v>0</v>
      </c>
      <c r="N489" t="n">
        <v>0</v>
      </c>
      <c r="O489" t="n">
        <v>0</v>
      </c>
      <c r="P489" t="n">
        <v>0</v>
      </c>
      <c r="Q489" t="n">
        <v>0</v>
      </c>
      <c r="R489" s="2" t="inlineStr"/>
    </row>
    <row r="490" ht="15" customHeight="1">
      <c r="A490" t="inlineStr">
        <is>
          <t>A 49788-2024</t>
        </is>
      </c>
      <c r="B490" s="1" t="n">
        <v>45597.36623842592</v>
      </c>
      <c r="C490" s="1" t="n">
        <v>45969</v>
      </c>
      <c r="D490" t="inlineStr">
        <is>
          <t>JÄMTLANDS LÄN</t>
        </is>
      </c>
      <c r="E490" t="inlineStr">
        <is>
          <t>ÖSTERSUND</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24568-2025</t>
        </is>
      </c>
      <c r="B491" s="1" t="n">
        <v>45798.46913194445</v>
      </c>
      <c r="C491" s="1" t="n">
        <v>45969</v>
      </c>
      <c r="D491" t="inlineStr">
        <is>
          <t>JÄMTLANDS LÄN</t>
        </is>
      </c>
      <c r="E491" t="inlineStr">
        <is>
          <t>ÖSTERSUND</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45611.66655092593</v>
      </c>
      <c r="C492" s="1" t="n">
        <v>45969</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58406-2024</t>
        </is>
      </c>
      <c r="B493" s="1" t="n">
        <v>45634.70898148148</v>
      </c>
      <c r="C493" s="1" t="n">
        <v>45969</v>
      </c>
      <c r="D493" t="inlineStr">
        <is>
          <t>JÄMTLANDS LÄN</t>
        </is>
      </c>
      <c r="E493" t="inlineStr">
        <is>
          <t>ÖSTERSUND</t>
        </is>
      </c>
      <c r="G493" t="n">
        <v>3.8</v>
      </c>
      <c r="H493" t="n">
        <v>0</v>
      </c>
      <c r="I493" t="n">
        <v>0</v>
      </c>
      <c r="J493" t="n">
        <v>0</v>
      </c>
      <c r="K493" t="n">
        <v>0</v>
      </c>
      <c r="L493" t="n">
        <v>0</v>
      </c>
      <c r="M493" t="n">
        <v>0</v>
      </c>
      <c r="N493" t="n">
        <v>0</v>
      </c>
      <c r="O493" t="n">
        <v>0</v>
      </c>
      <c r="P493" t="n">
        <v>0</v>
      </c>
      <c r="Q493" t="n">
        <v>0</v>
      </c>
      <c r="R493" s="2" t="inlineStr"/>
    </row>
    <row r="494" ht="15" customHeight="1">
      <c r="A494" t="inlineStr">
        <is>
          <t>A 24946-2025</t>
        </is>
      </c>
      <c r="B494" s="1" t="n">
        <v>45799.56515046296</v>
      </c>
      <c r="C494" s="1" t="n">
        <v>45969</v>
      </c>
      <c r="D494" t="inlineStr">
        <is>
          <t>JÄMTLANDS LÄN</t>
        </is>
      </c>
      <c r="E494" t="inlineStr">
        <is>
          <t>ÖSTERSUND</t>
        </is>
      </c>
      <c r="G494" t="n">
        <v>4.8</v>
      </c>
      <c r="H494" t="n">
        <v>0</v>
      </c>
      <c r="I494" t="n">
        <v>0</v>
      </c>
      <c r="J494" t="n">
        <v>0</v>
      </c>
      <c r="K494" t="n">
        <v>0</v>
      </c>
      <c r="L494" t="n">
        <v>0</v>
      </c>
      <c r="M494" t="n">
        <v>0</v>
      </c>
      <c r="N494" t="n">
        <v>0</v>
      </c>
      <c r="O494" t="n">
        <v>0</v>
      </c>
      <c r="P494" t="n">
        <v>0</v>
      </c>
      <c r="Q494" t="n">
        <v>0</v>
      </c>
      <c r="R494" s="2" t="inlineStr"/>
    </row>
    <row r="495" ht="15" customHeight="1">
      <c r="A495" t="inlineStr">
        <is>
          <t>A 61002-2024</t>
        </is>
      </c>
      <c r="B495" s="1" t="n">
        <v>45645.44158564815</v>
      </c>
      <c r="C495" s="1" t="n">
        <v>45969</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25210-2025</t>
        </is>
      </c>
      <c r="B496" s="1" t="n">
        <v>45800.46960648148</v>
      </c>
      <c r="C496" s="1" t="n">
        <v>45969</v>
      </c>
      <c r="D496" t="inlineStr">
        <is>
          <t>JÄMTLANDS LÄN</t>
        </is>
      </c>
      <c r="E496" t="inlineStr">
        <is>
          <t>ÖSTERSUND</t>
        </is>
      </c>
      <c r="G496" t="n">
        <v>3.5</v>
      </c>
      <c r="H496" t="n">
        <v>0</v>
      </c>
      <c r="I496" t="n">
        <v>0</v>
      </c>
      <c r="J496" t="n">
        <v>0</v>
      </c>
      <c r="K496" t="n">
        <v>0</v>
      </c>
      <c r="L496" t="n">
        <v>0</v>
      </c>
      <c r="M496" t="n">
        <v>0</v>
      </c>
      <c r="N496" t="n">
        <v>0</v>
      </c>
      <c r="O496" t="n">
        <v>0</v>
      </c>
      <c r="P496" t="n">
        <v>0</v>
      </c>
      <c r="Q496" t="n">
        <v>0</v>
      </c>
      <c r="R496" s="2" t="inlineStr"/>
    </row>
    <row r="497" ht="15" customHeight="1">
      <c r="A497" t="inlineStr">
        <is>
          <t>A 25058-2025</t>
        </is>
      </c>
      <c r="B497" s="1" t="n">
        <v>45799.68418981481</v>
      </c>
      <c r="C497" s="1" t="n">
        <v>45969</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25252-2025</t>
        </is>
      </c>
      <c r="B498" s="1" t="n">
        <v>45800.50355324074</v>
      </c>
      <c r="C498" s="1" t="n">
        <v>45969</v>
      </c>
      <c r="D498" t="inlineStr">
        <is>
          <t>JÄMTLANDS LÄN</t>
        </is>
      </c>
      <c r="E498" t="inlineStr">
        <is>
          <t>ÖSTERSUND</t>
        </is>
      </c>
      <c r="G498" t="n">
        <v>2.7</v>
      </c>
      <c r="H498" t="n">
        <v>0</v>
      </c>
      <c r="I498" t="n">
        <v>0</v>
      </c>
      <c r="J498" t="n">
        <v>0</v>
      </c>
      <c r="K498" t="n">
        <v>0</v>
      </c>
      <c r="L498" t="n">
        <v>0</v>
      </c>
      <c r="M498" t="n">
        <v>0</v>
      </c>
      <c r="N498" t="n">
        <v>0</v>
      </c>
      <c r="O498" t="n">
        <v>0</v>
      </c>
      <c r="P498" t="n">
        <v>0</v>
      </c>
      <c r="Q498" t="n">
        <v>0</v>
      </c>
      <c r="R498" s="2" t="inlineStr"/>
    </row>
    <row r="499" ht="15" customHeight="1">
      <c r="A499" t="inlineStr">
        <is>
          <t>A 33501-2023</t>
        </is>
      </c>
      <c r="B499" s="1" t="n">
        <v>45118</v>
      </c>
      <c r="C499" s="1" t="n">
        <v>45969</v>
      </c>
      <c r="D499" t="inlineStr">
        <is>
          <t>JÄMTLANDS LÄN</t>
        </is>
      </c>
      <c r="E499" t="inlineStr">
        <is>
          <t>ÖSTERSUND</t>
        </is>
      </c>
      <c r="G499" t="n">
        <v>5.8</v>
      </c>
      <c r="H499" t="n">
        <v>0</v>
      </c>
      <c r="I499" t="n">
        <v>0</v>
      </c>
      <c r="J499" t="n">
        <v>0</v>
      </c>
      <c r="K499" t="n">
        <v>0</v>
      </c>
      <c r="L499" t="n">
        <v>0</v>
      </c>
      <c r="M499" t="n">
        <v>0</v>
      </c>
      <c r="N499" t="n">
        <v>0</v>
      </c>
      <c r="O499" t="n">
        <v>0</v>
      </c>
      <c r="P499" t="n">
        <v>0</v>
      </c>
      <c r="Q499" t="n">
        <v>0</v>
      </c>
      <c r="R499" s="2" t="inlineStr"/>
    </row>
    <row r="500" ht="15" customHeight="1">
      <c r="A500" t="inlineStr">
        <is>
          <t>A 231-2022</t>
        </is>
      </c>
      <c r="B500" s="1" t="n">
        <v>44564.93909722222</v>
      </c>
      <c r="C500" s="1" t="n">
        <v>45969</v>
      </c>
      <c r="D500" t="inlineStr">
        <is>
          <t>JÄMTLANDS LÄN</t>
        </is>
      </c>
      <c r="E500" t="inlineStr">
        <is>
          <t>ÖSTERSUND</t>
        </is>
      </c>
      <c r="G500" t="n">
        <v>1.9</v>
      </c>
      <c r="H500" t="n">
        <v>0</v>
      </c>
      <c r="I500" t="n">
        <v>0</v>
      </c>
      <c r="J500" t="n">
        <v>0</v>
      </c>
      <c r="K500" t="n">
        <v>0</v>
      </c>
      <c r="L500" t="n">
        <v>0</v>
      </c>
      <c r="M500" t="n">
        <v>0</v>
      </c>
      <c r="N500" t="n">
        <v>0</v>
      </c>
      <c r="O500" t="n">
        <v>0</v>
      </c>
      <c r="P500" t="n">
        <v>0</v>
      </c>
      <c r="Q500" t="n">
        <v>0</v>
      </c>
      <c r="R500" s="2" t="inlineStr"/>
    </row>
    <row r="501" ht="15" customHeight="1">
      <c r="A501" t="inlineStr">
        <is>
          <t>A 52854-2024</t>
        </is>
      </c>
      <c r="B501" s="1" t="n">
        <v>45610.61030092592</v>
      </c>
      <c r="C501" s="1" t="n">
        <v>45969</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25059-2025</t>
        </is>
      </c>
      <c r="B502" s="1" t="n">
        <v>45799.69116898148</v>
      </c>
      <c r="C502" s="1" t="n">
        <v>45969</v>
      </c>
      <c r="D502" t="inlineStr">
        <is>
          <t>JÄMTLANDS LÄN</t>
        </is>
      </c>
      <c r="E502" t="inlineStr">
        <is>
          <t>ÖSTERSUND</t>
        </is>
      </c>
      <c r="G502" t="n">
        <v>2.7</v>
      </c>
      <c r="H502" t="n">
        <v>0</v>
      </c>
      <c r="I502" t="n">
        <v>0</v>
      </c>
      <c r="J502" t="n">
        <v>0</v>
      </c>
      <c r="K502" t="n">
        <v>0</v>
      </c>
      <c r="L502" t="n">
        <v>0</v>
      </c>
      <c r="M502" t="n">
        <v>0</v>
      </c>
      <c r="N502" t="n">
        <v>0</v>
      </c>
      <c r="O502" t="n">
        <v>0</v>
      </c>
      <c r="P502" t="n">
        <v>0</v>
      </c>
      <c r="Q502" t="n">
        <v>0</v>
      </c>
      <c r="R502" s="2" t="inlineStr"/>
    </row>
    <row r="503" ht="15" customHeight="1">
      <c r="A503" t="inlineStr">
        <is>
          <t>A 25069-2025</t>
        </is>
      </c>
      <c r="B503" s="1" t="n">
        <v>45799.7372337963</v>
      </c>
      <c r="C503" s="1" t="n">
        <v>45969</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25572-2025</t>
        </is>
      </c>
      <c r="B504" s="1" t="n">
        <v>45803</v>
      </c>
      <c r="C504" s="1" t="n">
        <v>45969</v>
      </c>
      <c r="D504" t="inlineStr">
        <is>
          <t>JÄMTLANDS LÄN</t>
        </is>
      </c>
      <c r="E504" t="inlineStr">
        <is>
          <t>ÖSTERSUND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42129-2025</t>
        </is>
      </c>
      <c r="B505" s="1" t="n">
        <v>45904.3452662037</v>
      </c>
      <c r="C505" s="1" t="n">
        <v>45969</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8216-2025</t>
        </is>
      </c>
      <c r="B506" s="1" t="n">
        <v>45708.44947916667</v>
      </c>
      <c r="C506" s="1" t="n">
        <v>45969</v>
      </c>
      <c r="D506" t="inlineStr">
        <is>
          <t>JÄMTLANDS LÄN</t>
        </is>
      </c>
      <c r="E506" t="inlineStr">
        <is>
          <t>ÖSTERSUND</t>
        </is>
      </c>
      <c r="F506" t="inlineStr">
        <is>
          <t>Övriga Aktiebolag</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26144-2025</t>
        </is>
      </c>
      <c r="B507" s="1" t="n">
        <v>45805.42827546296</v>
      </c>
      <c r="C507" s="1" t="n">
        <v>45969</v>
      </c>
      <c r="D507" t="inlineStr">
        <is>
          <t>JÄMTLANDS LÄN</t>
        </is>
      </c>
      <c r="E507" t="inlineStr">
        <is>
          <t>ÖSTERSUND</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47357-2024</t>
        </is>
      </c>
      <c r="B508" s="1" t="n">
        <v>45587.42835648148</v>
      </c>
      <c r="C508" s="1" t="n">
        <v>45969</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26373-2025</t>
        </is>
      </c>
      <c r="B509" s="1" t="n">
        <v>45806.40677083333</v>
      </c>
      <c r="C509" s="1" t="n">
        <v>45969</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3615-2025</t>
        </is>
      </c>
      <c r="B510" s="1" t="n">
        <v>45681.36493055556</v>
      </c>
      <c r="C510" s="1" t="n">
        <v>45969</v>
      </c>
      <c r="D510" t="inlineStr">
        <is>
          <t>JÄMTLANDS LÄN</t>
        </is>
      </c>
      <c r="E510" t="inlineStr">
        <is>
          <t>ÖSTERSUND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3651-2025</t>
        </is>
      </c>
      <c r="B511" s="1" t="n">
        <v>45681.40689814815</v>
      </c>
      <c r="C511" s="1" t="n">
        <v>45969</v>
      </c>
      <c r="D511" t="inlineStr">
        <is>
          <t>JÄMTLANDS LÄN</t>
        </is>
      </c>
      <c r="E511" t="inlineStr">
        <is>
          <t>ÖSTERSUND</t>
        </is>
      </c>
      <c r="F511" t="inlineStr">
        <is>
          <t>SCA</t>
        </is>
      </c>
      <c r="G511" t="n">
        <v>9.6</v>
      </c>
      <c r="H511" t="n">
        <v>0</v>
      </c>
      <c r="I511" t="n">
        <v>0</v>
      </c>
      <c r="J511" t="n">
        <v>0</v>
      </c>
      <c r="K511" t="n">
        <v>0</v>
      </c>
      <c r="L511" t="n">
        <v>0</v>
      </c>
      <c r="M511" t="n">
        <v>0</v>
      </c>
      <c r="N511" t="n">
        <v>0</v>
      </c>
      <c r="O511" t="n">
        <v>0</v>
      </c>
      <c r="P511" t="n">
        <v>0</v>
      </c>
      <c r="Q511" t="n">
        <v>0</v>
      </c>
      <c r="R511" s="2" t="inlineStr"/>
    </row>
    <row r="512" ht="15" customHeight="1">
      <c r="A512" t="inlineStr">
        <is>
          <t>A 3664-2025</t>
        </is>
      </c>
      <c r="B512" s="1" t="n">
        <v>45681.4275462963</v>
      </c>
      <c r="C512" s="1" t="n">
        <v>45969</v>
      </c>
      <c r="D512" t="inlineStr">
        <is>
          <t>JÄMTLANDS LÄN</t>
        </is>
      </c>
      <c r="E512" t="inlineStr">
        <is>
          <t>ÖSTERSUND</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12429-2025</t>
        </is>
      </c>
      <c r="B513" s="1" t="n">
        <v>45730.45930555555</v>
      </c>
      <c r="C513" s="1" t="n">
        <v>45969</v>
      </c>
      <c r="D513" t="inlineStr">
        <is>
          <t>JÄMTLANDS LÄN</t>
        </is>
      </c>
      <c r="E513" t="inlineStr">
        <is>
          <t>ÖSTERSUND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50528-2025</t>
        </is>
      </c>
      <c r="B514" s="1" t="n">
        <v>45945.47097222223</v>
      </c>
      <c r="C514" s="1" t="n">
        <v>45969</v>
      </c>
      <c r="D514" t="inlineStr">
        <is>
          <t>JÄMTLANDS LÄN</t>
        </is>
      </c>
      <c r="E514" t="inlineStr">
        <is>
          <t>ÖSTERSUND</t>
        </is>
      </c>
      <c r="G514" t="n">
        <v>3.4</v>
      </c>
      <c r="H514" t="n">
        <v>0</v>
      </c>
      <c r="I514" t="n">
        <v>0</v>
      </c>
      <c r="J514" t="n">
        <v>0</v>
      </c>
      <c r="K514" t="n">
        <v>0</v>
      </c>
      <c r="L514" t="n">
        <v>0</v>
      </c>
      <c r="M514" t="n">
        <v>0</v>
      </c>
      <c r="N514" t="n">
        <v>0</v>
      </c>
      <c r="O514" t="n">
        <v>0</v>
      </c>
      <c r="P514" t="n">
        <v>0</v>
      </c>
      <c r="Q514" t="n">
        <v>0</v>
      </c>
      <c r="R514" s="2" t="inlineStr"/>
    </row>
    <row r="515" ht="15" customHeight="1">
      <c r="A515" t="inlineStr">
        <is>
          <t>A 50529-2025</t>
        </is>
      </c>
      <c r="B515" s="1" t="n">
        <v>45945.47331018518</v>
      </c>
      <c r="C515" s="1" t="n">
        <v>45969</v>
      </c>
      <c r="D515" t="inlineStr">
        <is>
          <t>JÄMTLANDS LÄN</t>
        </is>
      </c>
      <c r="E515" t="inlineStr">
        <is>
          <t>ÖSTERSUND</t>
        </is>
      </c>
      <c r="G515" t="n">
        <v>7</v>
      </c>
      <c r="H515" t="n">
        <v>0</v>
      </c>
      <c r="I515" t="n">
        <v>0</v>
      </c>
      <c r="J515" t="n">
        <v>0</v>
      </c>
      <c r="K515" t="n">
        <v>0</v>
      </c>
      <c r="L515" t="n">
        <v>0</v>
      </c>
      <c r="M515" t="n">
        <v>0</v>
      </c>
      <c r="N515" t="n">
        <v>0</v>
      </c>
      <c r="O515" t="n">
        <v>0</v>
      </c>
      <c r="P515" t="n">
        <v>0</v>
      </c>
      <c r="Q515" t="n">
        <v>0</v>
      </c>
      <c r="R515" s="2" t="inlineStr"/>
    </row>
    <row r="516" ht="15" customHeight="1">
      <c r="A516" t="inlineStr">
        <is>
          <t>A 5135-2025</t>
        </is>
      </c>
      <c r="B516" s="1" t="n">
        <v>45691</v>
      </c>
      <c r="C516" s="1" t="n">
        <v>45969</v>
      </c>
      <c r="D516" t="inlineStr">
        <is>
          <t>JÄMTLANDS LÄN</t>
        </is>
      </c>
      <c r="E516" t="inlineStr">
        <is>
          <t>ÖSTERSUND</t>
        </is>
      </c>
      <c r="F516" t="inlineStr">
        <is>
          <t>Övriga Aktiebolag</t>
        </is>
      </c>
      <c r="G516" t="n">
        <v>126.9</v>
      </c>
      <c r="H516" t="n">
        <v>0</v>
      </c>
      <c r="I516" t="n">
        <v>0</v>
      </c>
      <c r="J516" t="n">
        <v>0</v>
      </c>
      <c r="K516" t="n">
        <v>0</v>
      </c>
      <c r="L516" t="n">
        <v>0</v>
      </c>
      <c r="M516" t="n">
        <v>0</v>
      </c>
      <c r="N516" t="n">
        <v>0</v>
      </c>
      <c r="O516" t="n">
        <v>0</v>
      </c>
      <c r="P516" t="n">
        <v>0</v>
      </c>
      <c r="Q516" t="n">
        <v>0</v>
      </c>
      <c r="R516" s="2" t="inlineStr"/>
    </row>
    <row r="517" ht="15" customHeight="1">
      <c r="A517" t="inlineStr">
        <is>
          <t>A 39510-2024</t>
        </is>
      </c>
      <c r="B517" s="1" t="n">
        <v>45551.67761574074</v>
      </c>
      <c r="C517" s="1" t="n">
        <v>45969</v>
      </c>
      <c r="D517" t="inlineStr">
        <is>
          <t>JÄMTLANDS LÄN</t>
        </is>
      </c>
      <c r="E517" t="inlineStr">
        <is>
          <t>ÖSTERSUND</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25995-2025</t>
        </is>
      </c>
      <c r="B518" s="1" t="n">
        <v>45804.656875</v>
      </c>
      <c r="C518" s="1" t="n">
        <v>45969</v>
      </c>
      <c r="D518" t="inlineStr">
        <is>
          <t>JÄMTLANDS LÄN</t>
        </is>
      </c>
      <c r="E518" t="inlineStr">
        <is>
          <t>ÖSTERSUND</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10064-2024</t>
        </is>
      </c>
      <c r="B519" s="1" t="n">
        <v>45364.3874074074</v>
      </c>
      <c r="C519" s="1" t="n">
        <v>45969</v>
      </c>
      <c r="D519" t="inlineStr">
        <is>
          <t>JÄMTLANDS LÄN</t>
        </is>
      </c>
      <c r="E519" t="inlineStr">
        <is>
          <t>ÖSTERSUND</t>
        </is>
      </c>
      <c r="G519" t="n">
        <v>13.9</v>
      </c>
      <c r="H519" t="n">
        <v>0</v>
      </c>
      <c r="I519" t="n">
        <v>0</v>
      </c>
      <c r="J519" t="n">
        <v>0</v>
      </c>
      <c r="K519" t="n">
        <v>0</v>
      </c>
      <c r="L519" t="n">
        <v>0</v>
      </c>
      <c r="M519" t="n">
        <v>0</v>
      </c>
      <c r="N519" t="n">
        <v>0</v>
      </c>
      <c r="O519" t="n">
        <v>0</v>
      </c>
      <c r="P519" t="n">
        <v>0</v>
      </c>
      <c r="Q519" t="n">
        <v>0</v>
      </c>
      <c r="R519" s="2" t="inlineStr"/>
    </row>
    <row r="520" ht="15" customHeight="1">
      <c r="A520" t="inlineStr">
        <is>
          <t>A 18627-2024</t>
        </is>
      </c>
      <c r="B520" s="1" t="n">
        <v>45425.96443287037</v>
      </c>
      <c r="C520" s="1" t="n">
        <v>45969</v>
      </c>
      <c r="D520" t="inlineStr">
        <is>
          <t>JÄMTLANDS LÄN</t>
        </is>
      </c>
      <c r="E520" t="inlineStr">
        <is>
          <t>ÖSTERSUND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3610-2024</t>
        </is>
      </c>
      <c r="B521" s="1" t="n">
        <v>45320.92060185185</v>
      </c>
      <c r="C521" s="1" t="n">
        <v>45969</v>
      </c>
      <c r="D521" t="inlineStr">
        <is>
          <t>JÄMTLANDS LÄN</t>
        </is>
      </c>
      <c r="E521" t="inlineStr">
        <is>
          <t>ÖSTERSUND</t>
        </is>
      </c>
      <c r="G521" t="n">
        <v>6.2</v>
      </c>
      <c r="H521" t="n">
        <v>0</v>
      </c>
      <c r="I521" t="n">
        <v>0</v>
      </c>
      <c r="J521" t="n">
        <v>0</v>
      </c>
      <c r="K521" t="n">
        <v>0</v>
      </c>
      <c r="L521" t="n">
        <v>0</v>
      </c>
      <c r="M521" t="n">
        <v>0</v>
      </c>
      <c r="N521" t="n">
        <v>0</v>
      </c>
      <c r="O521" t="n">
        <v>0</v>
      </c>
      <c r="P521" t="n">
        <v>0</v>
      </c>
      <c r="Q521" t="n">
        <v>0</v>
      </c>
      <c r="R521" s="2" t="inlineStr"/>
    </row>
    <row r="522" ht="15" customHeight="1">
      <c r="A522" t="inlineStr">
        <is>
          <t>A 26492-2025</t>
        </is>
      </c>
      <c r="B522" s="1" t="n">
        <v>45807</v>
      </c>
      <c r="C522" s="1" t="n">
        <v>45969</v>
      </c>
      <c r="D522" t="inlineStr">
        <is>
          <t>JÄMTLANDS LÄN</t>
        </is>
      </c>
      <c r="E522" t="inlineStr">
        <is>
          <t>ÖSTERSUND</t>
        </is>
      </c>
      <c r="G522" t="n">
        <v>7</v>
      </c>
      <c r="H522" t="n">
        <v>0</v>
      </c>
      <c r="I522" t="n">
        <v>0</v>
      </c>
      <c r="J522" t="n">
        <v>0</v>
      </c>
      <c r="K522" t="n">
        <v>0</v>
      </c>
      <c r="L522" t="n">
        <v>0</v>
      </c>
      <c r="M522" t="n">
        <v>0</v>
      </c>
      <c r="N522" t="n">
        <v>0</v>
      </c>
      <c r="O522" t="n">
        <v>0</v>
      </c>
      <c r="P522" t="n">
        <v>0</v>
      </c>
      <c r="Q522" t="n">
        <v>0</v>
      </c>
      <c r="R522" s="2" t="inlineStr"/>
    </row>
    <row r="523" ht="15" customHeight="1">
      <c r="A523" t="inlineStr">
        <is>
          <t>A 26500-2025</t>
        </is>
      </c>
      <c r="B523" s="1" t="n">
        <v>45807</v>
      </c>
      <c r="C523" s="1" t="n">
        <v>45969</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26587-2025</t>
        </is>
      </c>
      <c r="B524" s="1" t="n">
        <v>45807.75076388889</v>
      </c>
      <c r="C524" s="1" t="n">
        <v>45969</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36099-2025</t>
        </is>
      </c>
      <c r="B525" s="1" t="n">
        <v>45866.51630787037</v>
      </c>
      <c r="C525" s="1" t="n">
        <v>45969</v>
      </c>
      <c r="D525" t="inlineStr">
        <is>
          <t>JÄMTLANDS LÄN</t>
        </is>
      </c>
      <c r="E525" t="inlineStr">
        <is>
          <t>ÖSTERSUND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5140-2025</t>
        </is>
      </c>
      <c r="B526" s="1" t="n">
        <v>45691</v>
      </c>
      <c r="C526" s="1" t="n">
        <v>45969</v>
      </c>
      <c r="D526" t="inlineStr">
        <is>
          <t>JÄMTLANDS LÄN</t>
        </is>
      </c>
      <c r="E526" t="inlineStr">
        <is>
          <t>ÖSTERSUND</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29703-2023</t>
        </is>
      </c>
      <c r="B527" s="1" t="n">
        <v>45107</v>
      </c>
      <c r="C527" s="1" t="n">
        <v>45969</v>
      </c>
      <c r="D527" t="inlineStr">
        <is>
          <t>JÄMTLANDS LÄN</t>
        </is>
      </c>
      <c r="E527" t="inlineStr">
        <is>
          <t>ÖSTERSUND</t>
        </is>
      </c>
      <c r="G527" t="n">
        <v>0.3</v>
      </c>
      <c r="H527" t="n">
        <v>0</v>
      </c>
      <c r="I527" t="n">
        <v>0</v>
      </c>
      <c r="J527" t="n">
        <v>0</v>
      </c>
      <c r="K527" t="n">
        <v>0</v>
      </c>
      <c r="L527" t="n">
        <v>0</v>
      </c>
      <c r="M527" t="n">
        <v>0</v>
      </c>
      <c r="N527" t="n">
        <v>0</v>
      </c>
      <c r="O527" t="n">
        <v>0</v>
      </c>
      <c r="P527" t="n">
        <v>0</v>
      </c>
      <c r="Q527" t="n">
        <v>0</v>
      </c>
      <c r="R527" s="2" t="inlineStr"/>
    </row>
    <row r="528" ht="15" customHeight="1">
      <c r="A528" t="inlineStr">
        <is>
          <t>A 26605-2025</t>
        </is>
      </c>
      <c r="B528" s="1" t="n">
        <v>45809.86790509259</v>
      </c>
      <c r="C528" s="1" t="n">
        <v>45969</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13651-2025</t>
        </is>
      </c>
      <c r="B529" s="1" t="n">
        <v>45736.71818287037</v>
      </c>
      <c r="C529" s="1" t="n">
        <v>45969</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42989-2025</t>
        </is>
      </c>
      <c r="B530" s="1" t="n">
        <v>45909.44971064815</v>
      </c>
      <c r="C530" s="1" t="n">
        <v>45969</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52003-2025</t>
        </is>
      </c>
      <c r="B531" s="1" t="n">
        <v>45952.5909375</v>
      </c>
      <c r="C531" s="1" t="n">
        <v>45969</v>
      </c>
      <c r="D531" t="inlineStr">
        <is>
          <t>JÄMTLANDS LÄN</t>
        </is>
      </c>
      <c r="E531" t="inlineStr">
        <is>
          <t>ÖSTERSUND</t>
        </is>
      </c>
      <c r="G531" t="n">
        <v>5.7</v>
      </c>
      <c r="H531" t="n">
        <v>0</v>
      </c>
      <c r="I531" t="n">
        <v>0</v>
      </c>
      <c r="J531" t="n">
        <v>0</v>
      </c>
      <c r="K531" t="n">
        <v>0</v>
      </c>
      <c r="L531" t="n">
        <v>0</v>
      </c>
      <c r="M531" t="n">
        <v>0</v>
      </c>
      <c r="N531" t="n">
        <v>0</v>
      </c>
      <c r="O531" t="n">
        <v>0</v>
      </c>
      <c r="P531" t="n">
        <v>0</v>
      </c>
      <c r="Q531" t="n">
        <v>0</v>
      </c>
      <c r="R531" s="2" t="inlineStr"/>
    </row>
    <row r="532" ht="15" customHeight="1">
      <c r="A532" t="inlineStr">
        <is>
          <t>A 27035-2025</t>
        </is>
      </c>
      <c r="B532" s="1" t="n">
        <v>45811.5928587963</v>
      </c>
      <c r="C532" s="1" t="n">
        <v>45969</v>
      </c>
      <c r="D532" t="inlineStr">
        <is>
          <t>JÄMTLANDS LÄN</t>
        </is>
      </c>
      <c r="E532" t="inlineStr">
        <is>
          <t>ÖSTERSUND</t>
        </is>
      </c>
      <c r="G532" t="n">
        <v>2.8</v>
      </c>
      <c r="H532" t="n">
        <v>0</v>
      </c>
      <c r="I532" t="n">
        <v>0</v>
      </c>
      <c r="J532" t="n">
        <v>0</v>
      </c>
      <c r="K532" t="n">
        <v>0</v>
      </c>
      <c r="L532" t="n">
        <v>0</v>
      </c>
      <c r="M532" t="n">
        <v>0</v>
      </c>
      <c r="N532" t="n">
        <v>0</v>
      </c>
      <c r="O532" t="n">
        <v>0</v>
      </c>
      <c r="P532" t="n">
        <v>0</v>
      </c>
      <c r="Q532" t="n">
        <v>0</v>
      </c>
      <c r="R532" s="2" t="inlineStr"/>
    </row>
    <row r="533" ht="15" customHeight="1">
      <c r="A533" t="inlineStr">
        <is>
          <t>A 18429-2025</t>
        </is>
      </c>
      <c r="B533" s="1" t="n">
        <v>45762.63375</v>
      </c>
      <c r="C533" s="1" t="n">
        <v>45969</v>
      </c>
      <c r="D533" t="inlineStr">
        <is>
          <t>JÄMTLANDS LÄN</t>
        </is>
      </c>
      <c r="E533" t="inlineStr">
        <is>
          <t>ÖSTERSUND</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43225-2025</t>
        </is>
      </c>
      <c r="B534" s="1" t="n">
        <v>45910.4900462963</v>
      </c>
      <c r="C534" s="1" t="n">
        <v>45969</v>
      </c>
      <c r="D534" t="inlineStr">
        <is>
          <t>JÄMTLANDS LÄN</t>
        </is>
      </c>
      <c r="E534" t="inlineStr">
        <is>
          <t>ÖSTERSUND</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51479-2023</t>
        </is>
      </c>
      <c r="B535" s="1" t="n">
        <v>45221.92429398148</v>
      </c>
      <c r="C535" s="1" t="n">
        <v>45969</v>
      </c>
      <c r="D535" t="inlineStr">
        <is>
          <t>JÄMTLANDS LÄN</t>
        </is>
      </c>
      <c r="E535" t="inlineStr">
        <is>
          <t>ÖSTERSUND</t>
        </is>
      </c>
      <c r="G535" t="n">
        <v>1.9</v>
      </c>
      <c r="H535" t="n">
        <v>0</v>
      </c>
      <c r="I535" t="n">
        <v>0</v>
      </c>
      <c r="J535" t="n">
        <v>0</v>
      </c>
      <c r="K535" t="n">
        <v>0</v>
      </c>
      <c r="L535" t="n">
        <v>0</v>
      </c>
      <c r="M535" t="n">
        <v>0</v>
      </c>
      <c r="N535" t="n">
        <v>0</v>
      </c>
      <c r="O535" t="n">
        <v>0</v>
      </c>
      <c r="P535" t="n">
        <v>0</v>
      </c>
      <c r="Q535" t="n">
        <v>0</v>
      </c>
      <c r="R535" s="2" t="inlineStr"/>
    </row>
    <row r="536" ht="15" customHeight="1">
      <c r="A536" t="inlineStr">
        <is>
          <t>A 11933-2022</t>
        </is>
      </c>
      <c r="B536" s="1" t="n">
        <v>44635</v>
      </c>
      <c r="C536" s="1" t="n">
        <v>45969</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45980-2023</t>
        </is>
      </c>
      <c r="B537" s="1" t="n">
        <v>45189</v>
      </c>
      <c r="C537" s="1" t="n">
        <v>45969</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53660-2024</t>
        </is>
      </c>
      <c r="B538" s="1" t="n">
        <v>45615.31297453704</v>
      </c>
      <c r="C538" s="1" t="n">
        <v>45969</v>
      </c>
      <c r="D538" t="inlineStr">
        <is>
          <t>JÄMTLANDS LÄN</t>
        </is>
      </c>
      <c r="E538" t="inlineStr">
        <is>
          <t>ÖSTERSUND</t>
        </is>
      </c>
      <c r="G538" t="n">
        <v>1.1</v>
      </c>
      <c r="H538" t="n">
        <v>0</v>
      </c>
      <c r="I538" t="n">
        <v>0</v>
      </c>
      <c r="J538" t="n">
        <v>0</v>
      </c>
      <c r="K538" t="n">
        <v>0</v>
      </c>
      <c r="L538" t="n">
        <v>0</v>
      </c>
      <c r="M538" t="n">
        <v>0</v>
      </c>
      <c r="N538" t="n">
        <v>0</v>
      </c>
      <c r="O538" t="n">
        <v>0</v>
      </c>
      <c r="P538" t="n">
        <v>0</v>
      </c>
      <c r="Q538" t="n">
        <v>0</v>
      </c>
      <c r="R538" s="2" t="inlineStr"/>
    </row>
    <row r="539" ht="15" customHeight="1">
      <c r="A539" t="inlineStr">
        <is>
          <t>A 27034-2025</t>
        </is>
      </c>
      <c r="B539" s="1" t="n">
        <v>45811.59258101852</v>
      </c>
      <c r="C539" s="1" t="n">
        <v>45969</v>
      </c>
      <c r="D539" t="inlineStr">
        <is>
          <t>JÄMTLANDS LÄN</t>
        </is>
      </c>
      <c r="E539" t="inlineStr">
        <is>
          <t>ÖSTERSUND</t>
        </is>
      </c>
      <c r="G539" t="n">
        <v>1.6</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45969</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27517-2025</t>
        </is>
      </c>
      <c r="B541" s="1" t="n">
        <v>45813.43966435185</v>
      </c>
      <c r="C541" s="1" t="n">
        <v>45969</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10266-2025</t>
        </is>
      </c>
      <c r="B542" s="1" t="n">
        <v>45720.38576388889</v>
      </c>
      <c r="C542" s="1" t="n">
        <v>45969</v>
      </c>
      <c r="D542" t="inlineStr">
        <is>
          <t>JÄMTLANDS LÄN</t>
        </is>
      </c>
      <c r="E542" t="inlineStr">
        <is>
          <t>ÖSTERSUND</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21495-2022</t>
        </is>
      </c>
      <c r="B543" s="1" t="n">
        <v>44706</v>
      </c>
      <c r="C543" s="1" t="n">
        <v>45969</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52297-2025</t>
        </is>
      </c>
      <c r="B544" s="1" t="n">
        <v>45953.61092592592</v>
      </c>
      <c r="C544" s="1" t="n">
        <v>45969</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45707.42825231481</v>
      </c>
      <c r="C545" s="1" t="n">
        <v>45969</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52286-2025</t>
        </is>
      </c>
      <c r="B546" s="1" t="n">
        <v>45953.58497685185</v>
      </c>
      <c r="C546" s="1" t="n">
        <v>45969</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45969</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28025-2025</t>
        </is>
      </c>
      <c r="B548" s="1" t="n">
        <v>45817</v>
      </c>
      <c r="C548" s="1" t="n">
        <v>45969</v>
      </c>
      <c r="D548" t="inlineStr">
        <is>
          <t>JÄMTLANDS LÄN</t>
        </is>
      </c>
      <c r="E548" t="inlineStr">
        <is>
          <t>ÖSTERSUND</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28185-2025</t>
        </is>
      </c>
      <c r="B549" s="1" t="n">
        <v>45818.40337962963</v>
      </c>
      <c r="C549" s="1" t="n">
        <v>45969</v>
      </c>
      <c r="D549" t="inlineStr">
        <is>
          <t>JÄMTLANDS LÄN</t>
        </is>
      </c>
      <c r="E549" t="inlineStr">
        <is>
          <t>ÖSTERSUND</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7005-2025</t>
        </is>
      </c>
      <c r="B550" s="1" t="n">
        <v>45701.60046296296</v>
      </c>
      <c r="C550" s="1" t="n">
        <v>45969</v>
      </c>
      <c r="D550" t="inlineStr">
        <is>
          <t>JÄMTLANDS LÄN</t>
        </is>
      </c>
      <c r="E550" t="inlineStr">
        <is>
          <t>ÖSTERSUND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45969</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28595-2025</t>
        </is>
      </c>
      <c r="B552" s="1" t="n">
        <v>45819.59429398148</v>
      </c>
      <c r="C552" s="1" t="n">
        <v>45969</v>
      </c>
      <c r="D552" t="inlineStr">
        <is>
          <t>JÄMTLANDS LÄN</t>
        </is>
      </c>
      <c r="E552" t="inlineStr">
        <is>
          <t>ÖSTERSUND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57556-2024</t>
        </is>
      </c>
      <c r="B553" s="1" t="n">
        <v>45630</v>
      </c>
      <c r="C553" s="1" t="n">
        <v>45969</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52247-2025</t>
        </is>
      </c>
      <c r="B554" s="1" t="n">
        <v>45953.47575231481</v>
      </c>
      <c r="C554" s="1" t="n">
        <v>45969</v>
      </c>
      <c r="D554" t="inlineStr">
        <is>
          <t>JÄMTLANDS LÄN</t>
        </is>
      </c>
      <c r="E554" t="inlineStr">
        <is>
          <t>ÖSTERSUND</t>
        </is>
      </c>
      <c r="G554" t="n">
        <v>8.4</v>
      </c>
      <c r="H554" t="n">
        <v>0</v>
      </c>
      <c r="I554" t="n">
        <v>0</v>
      </c>
      <c r="J554" t="n">
        <v>0</v>
      </c>
      <c r="K554" t="n">
        <v>0</v>
      </c>
      <c r="L554" t="n">
        <v>0</v>
      </c>
      <c r="M554" t="n">
        <v>0</v>
      </c>
      <c r="N554" t="n">
        <v>0</v>
      </c>
      <c r="O554" t="n">
        <v>0</v>
      </c>
      <c r="P554" t="n">
        <v>0</v>
      </c>
      <c r="Q554" t="n">
        <v>0</v>
      </c>
      <c r="R554" s="2" t="inlineStr"/>
    </row>
    <row r="555" ht="15" customHeight="1">
      <c r="A555" t="inlineStr">
        <is>
          <t>A 43411-2025</t>
        </is>
      </c>
      <c r="B555" s="1" t="n">
        <v>45911.40074074074</v>
      </c>
      <c r="C555" s="1" t="n">
        <v>45969</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52280-2025</t>
        </is>
      </c>
      <c r="B556" s="1" t="n">
        <v>45953.56976851852</v>
      </c>
      <c r="C556" s="1" t="n">
        <v>45969</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43548-2025</t>
        </is>
      </c>
      <c r="B557" s="1" t="n">
        <v>45911.61579861111</v>
      </c>
      <c r="C557" s="1" t="n">
        <v>45969</v>
      </c>
      <c r="D557" t="inlineStr">
        <is>
          <t>JÄMTLANDS LÄN</t>
        </is>
      </c>
      <c r="E557" t="inlineStr">
        <is>
          <t>ÖSTERSUND</t>
        </is>
      </c>
      <c r="F557" t="inlineStr">
        <is>
          <t>SCA</t>
        </is>
      </c>
      <c r="G557" t="n">
        <v>17.3</v>
      </c>
      <c r="H557" t="n">
        <v>0</v>
      </c>
      <c r="I557" t="n">
        <v>0</v>
      </c>
      <c r="J557" t="n">
        <v>0</v>
      </c>
      <c r="K557" t="n">
        <v>0</v>
      </c>
      <c r="L557" t="n">
        <v>0</v>
      </c>
      <c r="M557" t="n">
        <v>0</v>
      </c>
      <c r="N557" t="n">
        <v>0</v>
      </c>
      <c r="O557" t="n">
        <v>0</v>
      </c>
      <c r="P557" t="n">
        <v>0</v>
      </c>
      <c r="Q557" t="n">
        <v>0</v>
      </c>
      <c r="R557" s="2" t="inlineStr"/>
    </row>
    <row r="558" ht="15" customHeight="1">
      <c r="A558" t="inlineStr">
        <is>
          <t>A 43519-2025</t>
        </is>
      </c>
      <c r="B558" s="1" t="n">
        <v>45911.57349537037</v>
      </c>
      <c r="C558" s="1" t="n">
        <v>45969</v>
      </c>
      <c r="D558" t="inlineStr">
        <is>
          <t>JÄMTLANDS LÄN</t>
        </is>
      </c>
      <c r="E558" t="inlineStr">
        <is>
          <t>ÖSTERSUND</t>
        </is>
      </c>
      <c r="F558" t="inlineStr">
        <is>
          <t>SCA</t>
        </is>
      </c>
      <c r="G558" t="n">
        <v>14.4</v>
      </c>
      <c r="H558" t="n">
        <v>0</v>
      </c>
      <c r="I558" t="n">
        <v>0</v>
      </c>
      <c r="J558" t="n">
        <v>0</v>
      </c>
      <c r="K558" t="n">
        <v>0</v>
      </c>
      <c r="L558" t="n">
        <v>0</v>
      </c>
      <c r="M558" t="n">
        <v>0</v>
      </c>
      <c r="N558" t="n">
        <v>0</v>
      </c>
      <c r="O558" t="n">
        <v>0</v>
      </c>
      <c r="P558" t="n">
        <v>0</v>
      </c>
      <c r="Q558" t="n">
        <v>0</v>
      </c>
      <c r="R558" s="2" t="inlineStr"/>
    </row>
    <row r="559" ht="15" customHeight="1">
      <c r="A559" t="inlineStr">
        <is>
          <t>A 8389-2025</t>
        </is>
      </c>
      <c r="B559" s="1" t="n">
        <v>45709.36497685185</v>
      </c>
      <c r="C559" s="1" t="n">
        <v>45969</v>
      </c>
      <c r="D559" t="inlineStr">
        <is>
          <t>JÄMTLANDS LÄN</t>
        </is>
      </c>
      <c r="E559" t="inlineStr">
        <is>
          <t>ÖSTERSUND</t>
        </is>
      </c>
      <c r="F559" t="inlineStr">
        <is>
          <t>SCA</t>
        </is>
      </c>
      <c r="G559" t="n">
        <v>6.3</v>
      </c>
      <c r="H559" t="n">
        <v>0</v>
      </c>
      <c r="I559" t="n">
        <v>0</v>
      </c>
      <c r="J559" t="n">
        <v>0</v>
      </c>
      <c r="K559" t="n">
        <v>0</v>
      </c>
      <c r="L559" t="n">
        <v>0</v>
      </c>
      <c r="M559" t="n">
        <v>0</v>
      </c>
      <c r="N559" t="n">
        <v>0</v>
      </c>
      <c r="O559" t="n">
        <v>0</v>
      </c>
      <c r="P559" t="n">
        <v>0</v>
      </c>
      <c r="Q559" t="n">
        <v>0</v>
      </c>
      <c r="R559" s="2" t="inlineStr"/>
    </row>
    <row r="560" ht="15" customHeight="1">
      <c r="A560" t="inlineStr">
        <is>
          <t>A 52620-2025</t>
        </is>
      </c>
      <c r="B560" s="1" t="n">
        <v>45954.68207175926</v>
      </c>
      <c r="C560" s="1" t="n">
        <v>45969</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44048-2024</t>
        </is>
      </c>
      <c r="B561" s="1" t="n">
        <v>45572.59430555555</v>
      </c>
      <c r="C561" s="1" t="n">
        <v>45969</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55235-2023</t>
        </is>
      </c>
      <c r="B562" s="1" t="n">
        <v>45231</v>
      </c>
      <c r="C562" s="1" t="n">
        <v>45969</v>
      </c>
      <c r="D562" t="inlineStr">
        <is>
          <t>JÄMTLANDS LÄN</t>
        </is>
      </c>
      <c r="E562" t="inlineStr">
        <is>
          <t>ÖSTERSUND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4063-2025</t>
        </is>
      </c>
      <c r="B563" s="1" t="n">
        <v>45684</v>
      </c>
      <c r="C563" s="1" t="n">
        <v>45969</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24781-2024</t>
        </is>
      </c>
      <c r="B564" s="1" t="n">
        <v>45460.7772800926</v>
      </c>
      <c r="C564" s="1" t="n">
        <v>45969</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52975-2025</t>
        </is>
      </c>
      <c r="B565" s="1" t="n">
        <v>45957.67876157408</v>
      </c>
      <c r="C565" s="1" t="n">
        <v>45969</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7936-2025</t>
        </is>
      </c>
      <c r="B566" s="1" t="n">
        <v>45707</v>
      </c>
      <c r="C566" s="1" t="n">
        <v>45969</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7940-2025</t>
        </is>
      </c>
      <c r="B567" s="1" t="n">
        <v>45707.40493055555</v>
      </c>
      <c r="C567" s="1" t="n">
        <v>45969</v>
      </c>
      <c r="D567" t="inlineStr">
        <is>
          <t>JÄMTLANDS LÄN</t>
        </is>
      </c>
      <c r="E567" t="inlineStr">
        <is>
          <t>ÖSTERSUND</t>
        </is>
      </c>
      <c r="F567" t="inlineStr">
        <is>
          <t>Övriga Aktiebolag</t>
        </is>
      </c>
      <c r="G567" t="n">
        <v>48.1</v>
      </c>
      <c r="H567" t="n">
        <v>0</v>
      </c>
      <c r="I567" t="n">
        <v>0</v>
      </c>
      <c r="J567" t="n">
        <v>0</v>
      </c>
      <c r="K567" t="n">
        <v>0</v>
      </c>
      <c r="L567" t="n">
        <v>0</v>
      </c>
      <c r="M567" t="n">
        <v>0</v>
      </c>
      <c r="N567" t="n">
        <v>0</v>
      </c>
      <c r="O567" t="n">
        <v>0</v>
      </c>
      <c r="P567" t="n">
        <v>0</v>
      </c>
      <c r="Q567" t="n">
        <v>0</v>
      </c>
      <c r="R567" s="2" t="inlineStr"/>
    </row>
    <row r="568" ht="15" customHeight="1">
      <c r="A568" t="inlineStr">
        <is>
          <t>A 12946-2022</t>
        </is>
      </c>
      <c r="B568" s="1" t="n">
        <v>44642.93471064815</v>
      </c>
      <c r="C568" s="1" t="n">
        <v>45969</v>
      </c>
      <c r="D568" t="inlineStr">
        <is>
          <t>JÄMTLANDS LÄN</t>
        </is>
      </c>
      <c r="E568" t="inlineStr">
        <is>
          <t>ÖSTERSUND</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79-2025</t>
        </is>
      </c>
      <c r="B569" s="1" t="n">
        <v>45659.44413194444</v>
      </c>
      <c r="C569" s="1" t="n">
        <v>45969</v>
      </c>
      <c r="D569" t="inlineStr">
        <is>
          <t>JÄMTLANDS LÄN</t>
        </is>
      </c>
      <c r="E569" t="inlineStr">
        <is>
          <t>ÖSTERSUND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30320-2025</t>
        </is>
      </c>
      <c r="B570" s="1" t="n">
        <v>45827.49415509259</v>
      </c>
      <c r="C570" s="1" t="n">
        <v>45969</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31040-2021</t>
        </is>
      </c>
      <c r="B571" s="1" t="n">
        <v>44368</v>
      </c>
      <c r="C571" s="1" t="n">
        <v>45969</v>
      </c>
      <c r="D571" t="inlineStr">
        <is>
          <t>JÄMTLANDS LÄN</t>
        </is>
      </c>
      <c r="E571" t="inlineStr">
        <is>
          <t>ÖSTERSUND</t>
        </is>
      </c>
      <c r="G571" t="n">
        <v>4.3</v>
      </c>
      <c r="H571" t="n">
        <v>0</v>
      </c>
      <c r="I571" t="n">
        <v>0</v>
      </c>
      <c r="J571" t="n">
        <v>0</v>
      </c>
      <c r="K571" t="n">
        <v>0</v>
      </c>
      <c r="L571" t="n">
        <v>0</v>
      </c>
      <c r="M571" t="n">
        <v>0</v>
      </c>
      <c r="N571" t="n">
        <v>0</v>
      </c>
      <c r="O571" t="n">
        <v>0</v>
      </c>
      <c r="P571" t="n">
        <v>0</v>
      </c>
      <c r="Q571" t="n">
        <v>0</v>
      </c>
      <c r="R571" s="2" t="inlineStr"/>
    </row>
    <row r="572" ht="15" customHeight="1">
      <c r="A572" t="inlineStr">
        <is>
          <t>A 2753-2025</t>
        </is>
      </c>
      <c r="B572" s="1" t="n">
        <v>45677.47302083333</v>
      </c>
      <c r="C572" s="1" t="n">
        <v>45969</v>
      </c>
      <c r="D572" t="inlineStr">
        <is>
          <t>JÄMTLANDS LÄN</t>
        </is>
      </c>
      <c r="E572" t="inlineStr">
        <is>
          <t>ÖSTERSUND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30210-2025</t>
        </is>
      </c>
      <c r="B573" s="1" t="n">
        <v>45827.36590277778</v>
      </c>
      <c r="C573" s="1" t="n">
        <v>45969</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44446-2025</t>
        </is>
      </c>
      <c r="B574" s="1" t="n">
        <v>45916.59773148148</v>
      </c>
      <c r="C574" s="1" t="n">
        <v>45969</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52935-2025</t>
        </is>
      </c>
      <c r="B575" s="1" t="n">
        <v>45957.62978009259</v>
      </c>
      <c r="C575" s="1" t="n">
        <v>45969</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44327-2023</t>
        </is>
      </c>
      <c r="B576" s="1" t="n">
        <v>45188</v>
      </c>
      <c r="C576" s="1" t="n">
        <v>45969</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27780-2022</t>
        </is>
      </c>
      <c r="B577" s="1" t="n">
        <v>44743</v>
      </c>
      <c r="C577" s="1" t="n">
        <v>45969</v>
      </c>
      <c r="D577" t="inlineStr">
        <is>
          <t>JÄMTLANDS LÄN</t>
        </is>
      </c>
      <c r="E577" t="inlineStr">
        <is>
          <t>ÖSTERSUND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45969</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10267-2025</t>
        </is>
      </c>
      <c r="B579" s="1" t="n">
        <v>45720.3859375</v>
      </c>
      <c r="C579" s="1" t="n">
        <v>45969</v>
      </c>
      <c r="D579" t="inlineStr">
        <is>
          <t>JÄMTLANDS LÄN</t>
        </is>
      </c>
      <c r="E579" t="inlineStr">
        <is>
          <t>ÖSTERSUND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44429-2025</t>
        </is>
      </c>
      <c r="B580" s="1" t="n">
        <v>45916.57010416667</v>
      </c>
      <c r="C580" s="1" t="n">
        <v>45969</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10493-2025</t>
        </is>
      </c>
      <c r="B581" s="1" t="n">
        <v>45721.36320601852</v>
      </c>
      <c r="C581" s="1" t="n">
        <v>45969</v>
      </c>
      <c r="D581" t="inlineStr">
        <is>
          <t>JÄMTLANDS LÄN</t>
        </is>
      </c>
      <c r="E581" t="inlineStr">
        <is>
          <t>ÖSTERSUND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53054-2025</t>
        </is>
      </c>
      <c r="B582" s="1" t="n">
        <v>45958.36498842593</v>
      </c>
      <c r="C582" s="1" t="n">
        <v>45969</v>
      </c>
      <c r="D582" t="inlineStr">
        <is>
          <t>JÄMTLANDS LÄN</t>
        </is>
      </c>
      <c r="E582" t="inlineStr">
        <is>
          <t>ÖSTERSUND</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53057-2025</t>
        </is>
      </c>
      <c r="B583" s="1" t="n">
        <v>45958.36537037037</v>
      </c>
      <c r="C583" s="1" t="n">
        <v>45969</v>
      </c>
      <c r="D583" t="inlineStr">
        <is>
          <t>JÄMTLANDS LÄN</t>
        </is>
      </c>
      <c r="E583" t="inlineStr">
        <is>
          <t>ÖSTERSUND</t>
        </is>
      </c>
      <c r="F583" t="inlineStr">
        <is>
          <t>SCA</t>
        </is>
      </c>
      <c r="G583" t="n">
        <v>47.8</v>
      </c>
      <c r="H583" t="n">
        <v>0</v>
      </c>
      <c r="I583" t="n">
        <v>0</v>
      </c>
      <c r="J583" t="n">
        <v>0</v>
      </c>
      <c r="K583" t="n">
        <v>0</v>
      </c>
      <c r="L583" t="n">
        <v>0</v>
      </c>
      <c r="M583" t="n">
        <v>0</v>
      </c>
      <c r="N583" t="n">
        <v>0</v>
      </c>
      <c r="O583" t="n">
        <v>0</v>
      </c>
      <c r="P583" t="n">
        <v>0</v>
      </c>
      <c r="Q583" t="n">
        <v>0</v>
      </c>
      <c r="R583" s="2" t="inlineStr"/>
    </row>
    <row r="584" ht="15" customHeight="1">
      <c r="A584" t="inlineStr">
        <is>
          <t>A 51908-2025</t>
        </is>
      </c>
      <c r="B584" s="1" t="n">
        <v>45952.46650462963</v>
      </c>
      <c r="C584" s="1" t="n">
        <v>45969</v>
      </c>
      <c r="D584" t="inlineStr">
        <is>
          <t>JÄMTLANDS LÄN</t>
        </is>
      </c>
      <c r="E584" t="inlineStr">
        <is>
          <t>ÖSTERSUND</t>
        </is>
      </c>
      <c r="G584" t="n">
        <v>14.4</v>
      </c>
      <c r="H584" t="n">
        <v>0</v>
      </c>
      <c r="I584" t="n">
        <v>0</v>
      </c>
      <c r="J584" t="n">
        <v>0</v>
      </c>
      <c r="K584" t="n">
        <v>0</v>
      </c>
      <c r="L584" t="n">
        <v>0</v>
      </c>
      <c r="M584" t="n">
        <v>0</v>
      </c>
      <c r="N584" t="n">
        <v>0</v>
      </c>
      <c r="O584" t="n">
        <v>0</v>
      </c>
      <c r="P584" t="n">
        <v>0</v>
      </c>
      <c r="Q584" t="n">
        <v>0</v>
      </c>
      <c r="R584" s="2" t="inlineStr"/>
    </row>
    <row r="585" ht="15" customHeight="1">
      <c r="A585" t="inlineStr">
        <is>
          <t>A 3844-2024</t>
        </is>
      </c>
      <c r="B585" s="1" t="n">
        <v>45321</v>
      </c>
      <c r="C585" s="1" t="n">
        <v>45969</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59648-2022</t>
        </is>
      </c>
      <c r="B586" s="1" t="n">
        <v>44907</v>
      </c>
      <c r="C586" s="1" t="n">
        <v>45969</v>
      </c>
      <c r="D586" t="inlineStr">
        <is>
          <t>JÄMTLANDS LÄN</t>
        </is>
      </c>
      <c r="E586" t="inlineStr">
        <is>
          <t>ÖSTERSUND</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32279-2025</t>
        </is>
      </c>
      <c r="B587" s="1" t="n">
        <v>45835.67109953704</v>
      </c>
      <c r="C587" s="1" t="n">
        <v>45969</v>
      </c>
      <c r="D587" t="inlineStr">
        <is>
          <t>JÄMTLANDS LÄN</t>
        </is>
      </c>
      <c r="E587" t="inlineStr">
        <is>
          <t>ÖSTERSUND</t>
        </is>
      </c>
      <c r="G587" t="n">
        <v>3.5</v>
      </c>
      <c r="H587" t="n">
        <v>0</v>
      </c>
      <c r="I587" t="n">
        <v>0</v>
      </c>
      <c r="J587" t="n">
        <v>0</v>
      </c>
      <c r="K587" t="n">
        <v>0</v>
      </c>
      <c r="L587" t="n">
        <v>0</v>
      </c>
      <c r="M587" t="n">
        <v>0</v>
      </c>
      <c r="N587" t="n">
        <v>0</v>
      </c>
      <c r="O587" t="n">
        <v>0</v>
      </c>
      <c r="P587" t="n">
        <v>0</v>
      </c>
      <c r="Q587" t="n">
        <v>0</v>
      </c>
      <c r="R587" s="2" t="inlineStr"/>
    </row>
    <row r="588" ht="15" customHeight="1">
      <c r="A588" t="inlineStr">
        <is>
          <t>A 32353-2025</t>
        </is>
      </c>
      <c r="B588" s="1" t="n">
        <v>45837.51741898148</v>
      </c>
      <c r="C588" s="1" t="n">
        <v>45969</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32358-2025</t>
        </is>
      </c>
      <c r="B589" s="1" t="n">
        <v>45837.57481481481</v>
      </c>
      <c r="C589" s="1" t="n">
        <v>45969</v>
      </c>
      <c r="D589" t="inlineStr">
        <is>
          <t>JÄMTLANDS LÄN</t>
        </is>
      </c>
      <c r="E589" t="inlineStr">
        <is>
          <t>ÖSTERSUND</t>
        </is>
      </c>
      <c r="F589" t="inlineStr">
        <is>
          <t>Övriga Aktiebolag</t>
        </is>
      </c>
      <c r="G589" t="n">
        <v>4.8</v>
      </c>
      <c r="H589" t="n">
        <v>0</v>
      </c>
      <c r="I589" t="n">
        <v>0</v>
      </c>
      <c r="J589" t="n">
        <v>0</v>
      </c>
      <c r="K589" t="n">
        <v>0</v>
      </c>
      <c r="L589" t="n">
        <v>0</v>
      </c>
      <c r="M589" t="n">
        <v>0</v>
      </c>
      <c r="N589" t="n">
        <v>0</v>
      </c>
      <c r="O589" t="n">
        <v>0</v>
      </c>
      <c r="P589" t="n">
        <v>0</v>
      </c>
      <c r="Q589" t="n">
        <v>0</v>
      </c>
      <c r="R589" s="2" t="inlineStr"/>
    </row>
    <row r="590" ht="15" customHeight="1">
      <c r="A590" t="inlineStr">
        <is>
          <t>A 32369-2025</t>
        </is>
      </c>
      <c r="B590" s="1" t="n">
        <v>45837.67381944445</v>
      </c>
      <c r="C590" s="1" t="n">
        <v>45969</v>
      </c>
      <c r="D590" t="inlineStr">
        <is>
          <t>JÄMTLANDS LÄN</t>
        </is>
      </c>
      <c r="E590" t="inlineStr">
        <is>
          <t>ÖSTERSUND</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2978-2024</t>
        </is>
      </c>
      <c r="B591" s="1" t="n">
        <v>45315</v>
      </c>
      <c r="C591" s="1" t="n">
        <v>45969</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61791-2023</t>
        </is>
      </c>
      <c r="B592" s="1" t="n">
        <v>45265.95795138889</v>
      </c>
      <c r="C592" s="1" t="n">
        <v>45969</v>
      </c>
      <c r="D592" t="inlineStr">
        <is>
          <t>JÄMTLANDS LÄN</t>
        </is>
      </c>
      <c r="E592" t="inlineStr">
        <is>
          <t>ÖSTERSUND</t>
        </is>
      </c>
      <c r="F592" t="inlineStr">
        <is>
          <t>SCA</t>
        </is>
      </c>
      <c r="G592" t="n">
        <v>11.4</v>
      </c>
      <c r="H592" t="n">
        <v>0</v>
      </c>
      <c r="I592" t="n">
        <v>0</v>
      </c>
      <c r="J592" t="n">
        <v>0</v>
      </c>
      <c r="K592" t="n">
        <v>0</v>
      </c>
      <c r="L592" t="n">
        <v>0</v>
      </c>
      <c r="M592" t="n">
        <v>0</v>
      </c>
      <c r="N592" t="n">
        <v>0</v>
      </c>
      <c r="O592" t="n">
        <v>0</v>
      </c>
      <c r="P592" t="n">
        <v>0</v>
      </c>
      <c r="Q592" t="n">
        <v>0</v>
      </c>
      <c r="R592" s="2" t="inlineStr"/>
    </row>
    <row r="593" ht="15" customHeight="1">
      <c r="A593" t="inlineStr">
        <is>
          <t>A 32368-2025</t>
        </is>
      </c>
      <c r="B593" s="1" t="n">
        <v>45837.66230324074</v>
      </c>
      <c r="C593" s="1" t="n">
        <v>45969</v>
      </c>
      <c r="D593" t="inlineStr">
        <is>
          <t>JÄMTLANDS LÄN</t>
        </is>
      </c>
      <c r="E593" t="inlineStr">
        <is>
          <t>ÖSTERSUND</t>
        </is>
      </c>
      <c r="F593" t="inlineStr">
        <is>
          <t>Övriga Aktiebolag</t>
        </is>
      </c>
      <c r="G593" t="n">
        <v>19.5</v>
      </c>
      <c r="H593" t="n">
        <v>0</v>
      </c>
      <c r="I593" t="n">
        <v>0</v>
      </c>
      <c r="J593" t="n">
        <v>0</v>
      </c>
      <c r="K593" t="n">
        <v>0</v>
      </c>
      <c r="L593" t="n">
        <v>0</v>
      </c>
      <c r="M593" t="n">
        <v>0</v>
      </c>
      <c r="N593" t="n">
        <v>0</v>
      </c>
      <c r="O593" t="n">
        <v>0</v>
      </c>
      <c r="P593" t="n">
        <v>0</v>
      </c>
      <c r="Q593" t="n">
        <v>0</v>
      </c>
      <c r="R593" s="2" t="inlineStr"/>
    </row>
    <row r="594" ht="15" customHeight="1">
      <c r="A594" t="inlineStr">
        <is>
          <t>A 32071-2025</t>
        </is>
      </c>
      <c r="B594" s="1" t="n">
        <v>45835.4491087963</v>
      </c>
      <c r="C594" s="1" t="n">
        <v>45969</v>
      </c>
      <c r="D594" t="inlineStr">
        <is>
          <t>JÄMTLANDS LÄN</t>
        </is>
      </c>
      <c r="E594" t="inlineStr">
        <is>
          <t>ÖSTERSUND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3255-2025</t>
        </is>
      </c>
      <c r="B595" s="1" t="n">
        <v>45679.55256944444</v>
      </c>
      <c r="C595" s="1" t="n">
        <v>45969</v>
      </c>
      <c r="D595" t="inlineStr">
        <is>
          <t>JÄMTLANDS LÄN</t>
        </is>
      </c>
      <c r="E595" t="inlineStr">
        <is>
          <t>ÖSTERSUND</t>
        </is>
      </c>
      <c r="F595" t="inlineStr">
        <is>
          <t>SCA</t>
        </is>
      </c>
      <c r="G595" t="n">
        <v>16.7</v>
      </c>
      <c r="H595" t="n">
        <v>0</v>
      </c>
      <c r="I595" t="n">
        <v>0</v>
      </c>
      <c r="J595" t="n">
        <v>0</v>
      </c>
      <c r="K595" t="n">
        <v>0</v>
      </c>
      <c r="L595" t="n">
        <v>0</v>
      </c>
      <c r="M595" t="n">
        <v>0</v>
      </c>
      <c r="N595" t="n">
        <v>0</v>
      </c>
      <c r="O595" t="n">
        <v>0</v>
      </c>
      <c r="P595" t="n">
        <v>0</v>
      </c>
      <c r="Q595" t="n">
        <v>0</v>
      </c>
      <c r="R595" s="2" t="inlineStr"/>
    </row>
    <row r="596" ht="15" customHeight="1">
      <c r="A596" t="inlineStr">
        <is>
          <t>A 2615-2024</t>
        </is>
      </c>
      <c r="B596" s="1" t="n">
        <v>45313</v>
      </c>
      <c r="C596" s="1" t="n">
        <v>45969</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33358-2025</t>
        </is>
      </c>
      <c r="B597" s="1" t="n">
        <v>45841.38054398148</v>
      </c>
      <c r="C597" s="1" t="n">
        <v>45969</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45969</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35556-2022</t>
        </is>
      </c>
      <c r="B599" s="1" t="n">
        <v>44799</v>
      </c>
      <c r="C599" s="1" t="n">
        <v>45969</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45969</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45969</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45391-2025</t>
        </is>
      </c>
      <c r="B602" s="1" t="n">
        <v>45922.4077662037</v>
      </c>
      <c r="C602" s="1" t="n">
        <v>45969</v>
      </c>
      <c r="D602" t="inlineStr">
        <is>
          <t>JÄMTLANDS LÄN</t>
        </is>
      </c>
      <c r="E602" t="inlineStr">
        <is>
          <t>ÖSTERSUND</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45389-2025</t>
        </is>
      </c>
      <c r="B603" s="1" t="n">
        <v>45922.4075</v>
      </c>
      <c r="C603" s="1" t="n">
        <v>45969</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34331-2025</t>
        </is>
      </c>
      <c r="B604" s="1" t="n">
        <v>45846.44827546296</v>
      </c>
      <c r="C604" s="1" t="n">
        <v>45969</v>
      </c>
      <c r="D604" t="inlineStr">
        <is>
          <t>JÄMTLANDS LÄN</t>
        </is>
      </c>
      <c r="E604" t="inlineStr">
        <is>
          <t>ÖSTERSUND</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34490-2025</t>
        </is>
      </c>
      <c r="B605" s="1" t="n">
        <v>45847.40722222222</v>
      </c>
      <c r="C605" s="1" t="n">
        <v>45969</v>
      </c>
      <c r="D605" t="inlineStr">
        <is>
          <t>JÄMTLANDS LÄN</t>
        </is>
      </c>
      <c r="E605" t="inlineStr">
        <is>
          <t>ÖSTERSUND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34589-2025</t>
        </is>
      </c>
      <c r="B606" s="1" t="n">
        <v>45847.61561342593</v>
      </c>
      <c r="C606" s="1" t="n">
        <v>45969</v>
      </c>
      <c r="D606" t="inlineStr">
        <is>
          <t>JÄMTLANDS LÄN</t>
        </is>
      </c>
      <c r="E606" t="inlineStr">
        <is>
          <t>ÖSTERSUND</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34587-2025</t>
        </is>
      </c>
      <c r="B607" s="1" t="n">
        <v>45847.61533564814</v>
      </c>
      <c r="C607" s="1" t="n">
        <v>45969</v>
      </c>
      <c r="D607" t="inlineStr">
        <is>
          <t>JÄMTLANDS LÄN</t>
        </is>
      </c>
      <c r="E607" t="inlineStr">
        <is>
          <t>ÖSTERSUND</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54133-2025</t>
        </is>
      </c>
      <c r="B608" s="1" t="n">
        <v>45964.46944444445</v>
      </c>
      <c r="C608" s="1" t="n">
        <v>45969</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63099-2023</t>
        </is>
      </c>
      <c r="B609" s="1" t="n">
        <v>45273</v>
      </c>
      <c r="C609" s="1" t="n">
        <v>45969</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45558-2025</t>
        </is>
      </c>
      <c r="B610" s="1" t="n">
        <v>45922</v>
      </c>
      <c r="C610" s="1" t="n">
        <v>45969</v>
      </c>
      <c r="D610" t="inlineStr">
        <is>
          <t>JÄMTLANDS LÄN</t>
        </is>
      </c>
      <c r="E610" t="inlineStr">
        <is>
          <t>ÖSTERSUND</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45297-2025</t>
        </is>
      </c>
      <c r="B611" s="1" t="n">
        <v>45920.8446412037</v>
      </c>
      <c r="C611" s="1" t="n">
        <v>45969</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45969</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70256-2021</t>
        </is>
      </c>
      <c r="B613" s="1" t="n">
        <v>44533</v>
      </c>
      <c r="C613" s="1" t="n">
        <v>45969</v>
      </c>
      <c r="D613" t="inlineStr">
        <is>
          <t>JÄMTLANDS LÄN</t>
        </is>
      </c>
      <c r="E613" t="inlineStr">
        <is>
          <t>ÖSTERSUND</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8972-2022</t>
        </is>
      </c>
      <c r="B614" s="1" t="n">
        <v>44614.91989583334</v>
      </c>
      <c r="C614" s="1" t="n">
        <v>45969</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45386-2025</t>
        </is>
      </c>
      <c r="B615" s="1" t="n">
        <v>45922.40697916667</v>
      </c>
      <c r="C615" s="1" t="n">
        <v>45969</v>
      </c>
      <c r="D615" t="inlineStr">
        <is>
          <t>JÄMTLANDS LÄN</t>
        </is>
      </c>
      <c r="E615" t="inlineStr">
        <is>
          <t>ÖSTERSUND</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45388-2025</t>
        </is>
      </c>
      <c r="B616" s="1" t="n">
        <v>45922.4074537037</v>
      </c>
      <c r="C616" s="1" t="n">
        <v>45969</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45969</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25228-2025</t>
        </is>
      </c>
      <c r="B618" s="1" t="n">
        <v>45800.48368055555</v>
      </c>
      <c r="C618" s="1" t="n">
        <v>45969</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45481-2025</t>
        </is>
      </c>
      <c r="B619" s="1" t="n">
        <v>45922.53217592592</v>
      </c>
      <c r="C619" s="1" t="n">
        <v>45969</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47627-2024</t>
        </is>
      </c>
      <c r="B620" s="1" t="n">
        <v>45588.3440625</v>
      </c>
      <c r="C620" s="1" t="n">
        <v>45969</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47628-2024</t>
        </is>
      </c>
      <c r="B621" s="1" t="n">
        <v>45588.34418981482</v>
      </c>
      <c r="C621" s="1" t="n">
        <v>45969</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34923-2025</t>
        </is>
      </c>
      <c r="B622" s="1" t="n">
        <v>45849.55601851852</v>
      </c>
      <c r="C622" s="1" t="n">
        <v>45969</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36098-2025</t>
        </is>
      </c>
      <c r="B623" s="1" t="n">
        <v>45866.50549768518</v>
      </c>
      <c r="C623" s="1" t="n">
        <v>45969</v>
      </c>
      <c r="D623" t="inlineStr">
        <is>
          <t>JÄMTLANDS LÄN</t>
        </is>
      </c>
      <c r="E623" t="inlineStr">
        <is>
          <t>ÖSTERSUND</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45004-2022</t>
        </is>
      </c>
      <c r="B624" s="1" t="n">
        <v>44840</v>
      </c>
      <c r="C624" s="1" t="n">
        <v>45969</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26586-2025</t>
        </is>
      </c>
      <c r="B625" s="1" t="n">
        <v>45807.74140046296</v>
      </c>
      <c r="C625" s="1" t="n">
        <v>45969</v>
      </c>
      <c r="D625" t="inlineStr">
        <is>
          <t>JÄMTLANDS LÄN</t>
        </is>
      </c>
      <c r="E625" t="inlineStr">
        <is>
          <t>ÖSTERSUND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53378-2023</t>
        </is>
      </c>
      <c r="B626" s="1" t="n">
        <v>45223</v>
      </c>
      <c r="C626" s="1" t="n">
        <v>45969</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2747-2025</t>
        </is>
      </c>
      <c r="B627" s="1" t="n">
        <v>45677.4649537037</v>
      </c>
      <c r="C627" s="1" t="n">
        <v>45969</v>
      </c>
      <c r="D627" t="inlineStr">
        <is>
          <t>JÄMTLANDS LÄN</t>
        </is>
      </c>
      <c r="E627" t="inlineStr">
        <is>
          <t>ÖSTERSUND</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33801-2022</t>
        </is>
      </c>
      <c r="B628" s="1" t="n">
        <v>44790</v>
      </c>
      <c r="C628" s="1" t="n">
        <v>45969</v>
      </c>
      <c r="D628" t="inlineStr">
        <is>
          <t>JÄMTLANDS LÄN</t>
        </is>
      </c>
      <c r="E628" t="inlineStr">
        <is>
          <t>ÖSTERSUND</t>
        </is>
      </c>
      <c r="G628" t="n">
        <v>7.6</v>
      </c>
      <c r="H628" t="n">
        <v>0</v>
      </c>
      <c r="I628" t="n">
        <v>0</v>
      </c>
      <c r="J628" t="n">
        <v>0</v>
      </c>
      <c r="K628" t="n">
        <v>0</v>
      </c>
      <c r="L628" t="n">
        <v>0</v>
      </c>
      <c r="M628" t="n">
        <v>0</v>
      </c>
      <c r="N628" t="n">
        <v>0</v>
      </c>
      <c r="O628" t="n">
        <v>0</v>
      </c>
      <c r="P628" t="n">
        <v>0</v>
      </c>
      <c r="Q628" t="n">
        <v>0</v>
      </c>
      <c r="R628" s="2" t="inlineStr"/>
    </row>
    <row r="629" ht="15" customHeight="1">
      <c r="A629" t="inlineStr">
        <is>
          <t>A 36211-2025</t>
        </is>
      </c>
      <c r="B629" s="1" t="n">
        <v>45867.46946759259</v>
      </c>
      <c r="C629" s="1" t="n">
        <v>45969</v>
      </c>
      <c r="D629" t="inlineStr">
        <is>
          <t>JÄMTLANDS LÄN</t>
        </is>
      </c>
      <c r="E629" t="inlineStr">
        <is>
          <t>ÖSTERSUND</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46152-2025</t>
        </is>
      </c>
      <c r="B630" s="1" t="n">
        <v>45924.61512731481</v>
      </c>
      <c r="C630" s="1" t="n">
        <v>45969</v>
      </c>
      <c r="D630" t="inlineStr">
        <is>
          <t>JÄMTLANDS LÄN</t>
        </is>
      </c>
      <c r="E630" t="inlineStr">
        <is>
          <t>ÖSTERSUND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36566-2025</t>
        </is>
      </c>
      <c r="B631" s="1" t="n">
        <v>45869</v>
      </c>
      <c r="C631" s="1" t="n">
        <v>45969</v>
      </c>
      <c r="D631" t="inlineStr">
        <is>
          <t>JÄMTLANDS LÄN</t>
        </is>
      </c>
      <c r="E631" t="inlineStr">
        <is>
          <t>ÖSTERSUND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27689-2024</t>
        </is>
      </c>
      <c r="B632" s="1" t="n">
        <v>45475.3378125</v>
      </c>
      <c r="C632" s="1" t="n">
        <v>45969</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54528-2025</t>
        </is>
      </c>
      <c r="B633" s="1" t="n">
        <v>45965.63496527778</v>
      </c>
      <c r="C633" s="1" t="n">
        <v>45969</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4966-2025</t>
        </is>
      </c>
      <c r="B634" s="1" t="n">
        <v>45690.63628472222</v>
      </c>
      <c r="C634" s="1" t="n">
        <v>45969</v>
      </c>
      <c r="D634" t="inlineStr">
        <is>
          <t>JÄMTLANDS LÄN</t>
        </is>
      </c>
      <c r="E634" t="inlineStr">
        <is>
          <t>ÖSTERSUND</t>
        </is>
      </c>
      <c r="G634" t="n">
        <v>3.4</v>
      </c>
      <c r="H634" t="n">
        <v>0</v>
      </c>
      <c r="I634" t="n">
        <v>0</v>
      </c>
      <c r="J634" t="n">
        <v>0</v>
      </c>
      <c r="K634" t="n">
        <v>0</v>
      </c>
      <c r="L634" t="n">
        <v>0</v>
      </c>
      <c r="M634" t="n">
        <v>0</v>
      </c>
      <c r="N634" t="n">
        <v>0</v>
      </c>
      <c r="O634" t="n">
        <v>0</v>
      </c>
      <c r="P634" t="n">
        <v>0</v>
      </c>
      <c r="Q634" t="n">
        <v>0</v>
      </c>
      <c r="R634" s="2" t="inlineStr"/>
    </row>
    <row r="635" ht="15" customHeight="1">
      <c r="A635" t="inlineStr">
        <is>
          <t>A 6877-2024</t>
        </is>
      </c>
      <c r="B635" s="1" t="n">
        <v>45342</v>
      </c>
      <c r="C635" s="1" t="n">
        <v>45969</v>
      </c>
      <c r="D635" t="inlineStr">
        <is>
          <t>JÄMTLANDS LÄN</t>
        </is>
      </c>
      <c r="E635" t="inlineStr">
        <is>
          <t>ÖSTERSUND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46202-2025</t>
        </is>
      </c>
      <c r="B636" s="1" t="n">
        <v>45924.70346064815</v>
      </c>
      <c r="C636" s="1" t="n">
        <v>45969</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37085-2025</t>
        </is>
      </c>
      <c r="B637" s="1" t="n">
        <v>45875.44840277778</v>
      </c>
      <c r="C637" s="1" t="n">
        <v>45969</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4136-2023</t>
        </is>
      </c>
      <c r="B638" s="1" t="n">
        <v>44952</v>
      </c>
      <c r="C638" s="1" t="n">
        <v>45969</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4872-2023</t>
        </is>
      </c>
      <c r="B639" s="1" t="n">
        <v>44957</v>
      </c>
      <c r="C639" s="1" t="n">
        <v>45969</v>
      </c>
      <c r="D639" t="inlineStr">
        <is>
          <t>JÄMTLANDS LÄN</t>
        </is>
      </c>
      <c r="E639" t="inlineStr">
        <is>
          <t>ÖSTERSUND</t>
        </is>
      </c>
      <c r="G639" t="n">
        <v>10.7</v>
      </c>
      <c r="H639" t="n">
        <v>0</v>
      </c>
      <c r="I639" t="n">
        <v>0</v>
      </c>
      <c r="J639" t="n">
        <v>0</v>
      </c>
      <c r="K639" t="n">
        <v>0</v>
      </c>
      <c r="L639" t="n">
        <v>0</v>
      </c>
      <c r="M639" t="n">
        <v>0</v>
      </c>
      <c r="N639" t="n">
        <v>0</v>
      </c>
      <c r="O639" t="n">
        <v>0</v>
      </c>
      <c r="P639" t="n">
        <v>0</v>
      </c>
      <c r="Q639" t="n">
        <v>0</v>
      </c>
      <c r="R639" s="2" t="inlineStr"/>
    </row>
    <row r="640" ht="15" customHeight="1">
      <c r="A640" t="inlineStr">
        <is>
          <t>A 46132-2025</t>
        </is>
      </c>
      <c r="B640" s="1" t="n">
        <v>45924.59484953704</v>
      </c>
      <c r="C640" s="1" t="n">
        <v>45969</v>
      </c>
      <c r="D640" t="inlineStr">
        <is>
          <t>JÄMTLANDS LÄN</t>
        </is>
      </c>
      <c r="E640" t="inlineStr">
        <is>
          <t>ÖSTERSUND</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54667-2025</t>
        </is>
      </c>
      <c r="B641" s="1" t="n">
        <v>45966.4077662037</v>
      </c>
      <c r="C641" s="1" t="n">
        <v>45969</v>
      </c>
      <c r="D641" t="inlineStr">
        <is>
          <t>JÄMTLANDS LÄN</t>
        </is>
      </c>
      <c r="E641" t="inlineStr">
        <is>
          <t>ÖSTERSUND</t>
        </is>
      </c>
      <c r="G641" t="n">
        <v>6.8</v>
      </c>
      <c r="H641" t="n">
        <v>0</v>
      </c>
      <c r="I641" t="n">
        <v>0</v>
      </c>
      <c r="J641" t="n">
        <v>0</v>
      </c>
      <c r="K641" t="n">
        <v>0</v>
      </c>
      <c r="L641" t="n">
        <v>0</v>
      </c>
      <c r="M641" t="n">
        <v>0</v>
      </c>
      <c r="N641" t="n">
        <v>0</v>
      </c>
      <c r="O641" t="n">
        <v>0</v>
      </c>
      <c r="P641" t="n">
        <v>0</v>
      </c>
      <c r="Q641" t="n">
        <v>0</v>
      </c>
      <c r="R641" s="2" t="inlineStr"/>
    </row>
    <row r="642" ht="15" customHeight="1">
      <c r="A642" t="inlineStr">
        <is>
          <t>A 13921-2023</t>
        </is>
      </c>
      <c r="B642" s="1" t="n">
        <v>45008</v>
      </c>
      <c r="C642" s="1" t="n">
        <v>45969</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11877-2024</t>
        </is>
      </c>
      <c r="B643" s="1" t="n">
        <v>45376</v>
      </c>
      <c r="C643" s="1" t="n">
        <v>45969</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61653-2022</t>
        </is>
      </c>
      <c r="B644" s="1" t="n">
        <v>44916</v>
      </c>
      <c r="C644" s="1" t="n">
        <v>45969</v>
      </c>
      <c r="D644" t="inlineStr">
        <is>
          <t>JÄMTLANDS LÄN</t>
        </is>
      </c>
      <c r="E644" t="inlineStr">
        <is>
          <t>ÖSTERSUND</t>
        </is>
      </c>
      <c r="G644" t="n">
        <v>7.6</v>
      </c>
      <c r="H644" t="n">
        <v>0</v>
      </c>
      <c r="I644" t="n">
        <v>0</v>
      </c>
      <c r="J644" t="n">
        <v>0</v>
      </c>
      <c r="K644" t="n">
        <v>0</v>
      </c>
      <c r="L644" t="n">
        <v>0</v>
      </c>
      <c r="M644" t="n">
        <v>0</v>
      </c>
      <c r="N644" t="n">
        <v>0</v>
      </c>
      <c r="O644" t="n">
        <v>0</v>
      </c>
      <c r="P644" t="n">
        <v>0</v>
      </c>
      <c r="Q644" t="n">
        <v>0</v>
      </c>
      <c r="R644" s="2" t="inlineStr"/>
    </row>
    <row r="645" ht="15" customHeight="1">
      <c r="A645" t="inlineStr">
        <is>
          <t>A 55039-2025</t>
        </is>
      </c>
      <c r="B645" s="1" t="n">
        <v>45967.65594907408</v>
      </c>
      <c r="C645" s="1" t="n">
        <v>45969</v>
      </c>
      <c r="D645" t="inlineStr">
        <is>
          <t>JÄMTLANDS LÄN</t>
        </is>
      </c>
      <c r="E645" t="inlineStr">
        <is>
          <t>ÖSTERSUND</t>
        </is>
      </c>
      <c r="G645" t="n">
        <v>19.6</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45969</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56067-2022</t>
        </is>
      </c>
      <c r="B647" s="1" t="n">
        <v>44889.59378472222</v>
      </c>
      <c r="C647" s="1" t="n">
        <v>45969</v>
      </c>
      <c r="D647" t="inlineStr">
        <is>
          <t>JÄMTLANDS LÄN</t>
        </is>
      </c>
      <c r="E647" t="inlineStr">
        <is>
          <t>ÖSTERSUND</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53802-2022</t>
        </is>
      </c>
      <c r="B648" s="1" t="n">
        <v>44875</v>
      </c>
      <c r="C648" s="1" t="n">
        <v>45969</v>
      </c>
      <c r="D648" t="inlineStr">
        <is>
          <t>JÄMTLANDS LÄN</t>
        </is>
      </c>
      <c r="E648" t="inlineStr">
        <is>
          <t>ÖSTERSUND</t>
        </is>
      </c>
      <c r="G648" t="n">
        <v>0.2</v>
      </c>
      <c r="H648" t="n">
        <v>0</v>
      </c>
      <c r="I648" t="n">
        <v>0</v>
      </c>
      <c r="J648" t="n">
        <v>0</v>
      </c>
      <c r="K648" t="n">
        <v>0</v>
      </c>
      <c r="L648" t="n">
        <v>0</v>
      </c>
      <c r="M648" t="n">
        <v>0</v>
      </c>
      <c r="N648" t="n">
        <v>0</v>
      </c>
      <c r="O648" t="n">
        <v>0</v>
      </c>
      <c r="P648" t="n">
        <v>0</v>
      </c>
      <c r="Q648" t="n">
        <v>0</v>
      </c>
      <c r="R648" s="2" t="inlineStr"/>
    </row>
    <row r="649" ht="15" customHeight="1">
      <c r="A649" t="inlineStr">
        <is>
          <t>A 54965-2025</t>
        </is>
      </c>
      <c r="B649" s="1" t="n">
        <v>45967.49037037037</v>
      </c>
      <c r="C649" s="1" t="n">
        <v>45969</v>
      </c>
      <c r="D649" t="inlineStr">
        <is>
          <t>JÄMTLANDS LÄN</t>
        </is>
      </c>
      <c r="E649" t="inlineStr">
        <is>
          <t>ÖSTERSUND</t>
        </is>
      </c>
      <c r="G649" t="n">
        <v>4.3</v>
      </c>
      <c r="H649" t="n">
        <v>0</v>
      </c>
      <c r="I649" t="n">
        <v>0</v>
      </c>
      <c r="J649" t="n">
        <v>0</v>
      </c>
      <c r="K649" t="n">
        <v>0</v>
      </c>
      <c r="L649" t="n">
        <v>0</v>
      </c>
      <c r="M649" t="n">
        <v>0</v>
      </c>
      <c r="N649" t="n">
        <v>0</v>
      </c>
      <c r="O649" t="n">
        <v>0</v>
      </c>
      <c r="P649" t="n">
        <v>0</v>
      </c>
      <c r="Q649" t="n">
        <v>0</v>
      </c>
      <c r="R649" s="2" t="inlineStr"/>
    </row>
    <row r="650" ht="15" customHeight="1">
      <c r="A650" t="inlineStr">
        <is>
          <t>A 55179-2025</t>
        </is>
      </c>
      <c r="B650" s="1" t="n">
        <v>45968.53167824074</v>
      </c>
      <c r="C650" s="1" t="n">
        <v>45969</v>
      </c>
      <c r="D650" t="inlineStr">
        <is>
          <t>JÄMTLANDS LÄN</t>
        </is>
      </c>
      <c r="E650" t="inlineStr">
        <is>
          <t>ÖSTERSUND</t>
        </is>
      </c>
      <c r="F650" t="inlineStr">
        <is>
          <t>SCA</t>
        </is>
      </c>
      <c r="G650" t="n">
        <v>2.2</v>
      </c>
      <c r="H650" t="n">
        <v>0</v>
      </c>
      <c r="I650" t="n">
        <v>0</v>
      </c>
      <c r="J650" t="n">
        <v>0</v>
      </c>
      <c r="K650" t="n">
        <v>0</v>
      </c>
      <c r="L650" t="n">
        <v>0</v>
      </c>
      <c r="M650" t="n">
        <v>0</v>
      </c>
      <c r="N650" t="n">
        <v>0</v>
      </c>
      <c r="O650" t="n">
        <v>0</v>
      </c>
      <c r="P650" t="n">
        <v>0</v>
      </c>
      <c r="Q650" t="n">
        <v>0</v>
      </c>
      <c r="R650" s="2" t="inlineStr"/>
    </row>
    <row r="651">
      <c r="A651" t="inlineStr">
        <is>
          <t>A 54931-2025</t>
        </is>
      </c>
      <c r="B651" s="1" t="n">
        <v>45967.42462962963</v>
      </c>
      <c r="C651" s="1" t="n">
        <v>45969</v>
      </c>
      <c r="D651" t="inlineStr">
        <is>
          <t>JÄMTLANDS LÄN</t>
        </is>
      </c>
      <c r="E651" t="inlineStr">
        <is>
          <t>ÖSTERSUND</t>
        </is>
      </c>
      <c r="G651" t="n">
        <v>7.1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2025-11-08T10:05:40Z</dcterms:created>
  <dcterms:modified xmlns:dcterms="http://purl.org/dc/terms/" xmlns:xsi="http://www.w3.org/2001/XMLSchema-instance" xsi:type="dcterms:W3CDTF">2025-11-08T10:05:41Z</dcterms:modified>
</cp:coreProperties>
</file>