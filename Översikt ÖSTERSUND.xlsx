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45800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45800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45800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45800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45800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45800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45800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45800</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45800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45800</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45800</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45800</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45800</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45800</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45800</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45800</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45800</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45800</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45800</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45800</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45800</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45800</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45800</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45800</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45800</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45800</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45800</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45800</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45800</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45800</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45800</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45800</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45800</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45800</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45800</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45800</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45800</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45800</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45800</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45800</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45800</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45800</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45800</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45800</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45800</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45800</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45800</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45800</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45800</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45800</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45800</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45800</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45800</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45800</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45800</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45800</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45800</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45800</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45800</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45800</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45800</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45800</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45800</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45800</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45800</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45800</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45800</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45800</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45800</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45800</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45800</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45800</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45800</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45800</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45800</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45800</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45800</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45800</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45800</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45800</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45800</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45800</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45800</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45800</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45800</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45800</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45800</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45800</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45800</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45800</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45800</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45800</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45800</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45800</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45800</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45800</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45800</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45800</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45800</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45800</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45800</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45800</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45800</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45800</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45800</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45800</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45800</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45800</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45800</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45800</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45800</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45800</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45800</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45800</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45800</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45800</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45800</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45800</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45800</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45800</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45800</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45800</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45800</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45800</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45800</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45800</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45800</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45800</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45800</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45800</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45800</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45800</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45800</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45800</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45800</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45800</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45800</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45800</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45800</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45800</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45800</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45800</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45800</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45800</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45800</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45800</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45800</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45800</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45800</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45800</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45800</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45800</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45800</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45800</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45800</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45800</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45800</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45800</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45800</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45800</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45800</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45800</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45800</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45800</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45800</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45800</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45800</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45800</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45800</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45800</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45800</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45800</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45800</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45800</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45800</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45800</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45800</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45800</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45800</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45800</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45800</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45800</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45800</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45800</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45800</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45800</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45800</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45800</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45800</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45800</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45800</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45800</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45800</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45800</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45800</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45800</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45800</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45800</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45800</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45800</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45800</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45800</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45800</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45800</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45800</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45800</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45800</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45800</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23196-2025</t>
        </is>
      </c>
      <c r="B211" s="1" t="n">
        <v>45791</v>
      </c>
      <c r="C211" s="1" t="n">
        <v>45800</v>
      </c>
      <c r="D211" t="inlineStr">
        <is>
          <t>JÄMTLANDS LÄN</t>
        </is>
      </c>
      <c r="E211" t="inlineStr">
        <is>
          <t>ÖSTERSUND</t>
        </is>
      </c>
      <c r="G211" t="n">
        <v>2.8</v>
      </c>
      <c r="H211" t="n">
        <v>1</v>
      </c>
      <c r="I211" t="n">
        <v>0</v>
      </c>
      <c r="J211" t="n">
        <v>0</v>
      </c>
      <c r="K211" t="n">
        <v>0</v>
      </c>
      <c r="L211" t="n">
        <v>0</v>
      </c>
      <c r="M211" t="n">
        <v>0</v>
      </c>
      <c r="N211" t="n">
        <v>0</v>
      </c>
      <c r="O211" t="n">
        <v>0</v>
      </c>
      <c r="P211" t="n">
        <v>0</v>
      </c>
      <c r="Q211" t="n">
        <v>1</v>
      </c>
      <c r="R211" s="2" t="inlineStr">
        <is>
          <t>Trana</t>
        </is>
      </c>
      <c r="S211">
        <f>HYPERLINK("https://klasma.github.io/Logging_232380/artfynd/A 23196-2025 artfynd.xlsx", "A 23196-2025")</f>
        <v/>
      </c>
      <c r="T211">
        <f>HYPERLINK("https://klasma.github.io/Logging_232380/kartor/A 23196-2025 karta.png", "A 23196-2025")</f>
        <v/>
      </c>
      <c r="V211">
        <f>HYPERLINK("https://klasma.github.io/Logging_232380/klagomål/A 23196-2025 FSC-klagomål.docx", "A 23196-2025")</f>
        <v/>
      </c>
      <c r="W211">
        <f>HYPERLINK("https://klasma.github.io/Logging_232380/klagomålsmail/A 23196-2025 FSC-klagomål mail.docx", "A 23196-2025")</f>
        <v/>
      </c>
      <c r="X211">
        <f>HYPERLINK("https://klasma.github.io/Logging_232380/tillsyn/A 23196-2025 tillsynsbegäran.docx", "A 23196-2025")</f>
        <v/>
      </c>
      <c r="Y211">
        <f>HYPERLINK("https://klasma.github.io/Logging_232380/tillsynsmail/A 23196-2025 tillsynsbegäran mail.docx", "A 23196-2025")</f>
        <v/>
      </c>
      <c r="Z211">
        <f>HYPERLINK("https://klasma.github.io/Logging_232380/fåglar/A 23196-2025 prioriterade fågelarter.docx", "A 23196-2025")</f>
        <v/>
      </c>
    </row>
    <row r="212" ht="15" customHeight="1">
      <c r="A212" t="inlineStr">
        <is>
          <t>A 20319-2019</t>
        </is>
      </c>
      <c r="B212" s="1" t="n">
        <v>43571</v>
      </c>
      <c r="C212" s="1" t="n">
        <v>45800</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21727-2019</t>
        </is>
      </c>
      <c r="B213" s="1" t="n">
        <v>43581</v>
      </c>
      <c r="C213" s="1" t="n">
        <v>45800</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21793-2019</t>
        </is>
      </c>
      <c r="B214" s="1" t="n">
        <v>43581</v>
      </c>
      <c r="C214" s="1" t="n">
        <v>45800</v>
      </c>
      <c r="D214" t="inlineStr">
        <is>
          <t>JÄMTLANDS LÄN</t>
        </is>
      </c>
      <c r="E214" t="inlineStr">
        <is>
          <t>ÖSTERSUND</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22119-2019</t>
        </is>
      </c>
      <c r="B215" s="1" t="n">
        <v>43584</v>
      </c>
      <c r="C215" s="1" t="n">
        <v>45800</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22115-2019</t>
        </is>
      </c>
      <c r="B216" s="1" t="n">
        <v>43584</v>
      </c>
      <c r="C216" s="1" t="n">
        <v>45800</v>
      </c>
      <c r="D216" t="inlineStr">
        <is>
          <t>JÄMTLANDS LÄN</t>
        </is>
      </c>
      <c r="E216" t="inlineStr">
        <is>
          <t>ÖSTERSUND</t>
        </is>
      </c>
      <c r="G216" t="n">
        <v>15.1</v>
      </c>
      <c r="H216" t="n">
        <v>0</v>
      </c>
      <c r="I216" t="n">
        <v>0</v>
      </c>
      <c r="J216" t="n">
        <v>0</v>
      </c>
      <c r="K216" t="n">
        <v>0</v>
      </c>
      <c r="L216" t="n">
        <v>0</v>
      </c>
      <c r="M216" t="n">
        <v>0</v>
      </c>
      <c r="N216" t="n">
        <v>0</v>
      </c>
      <c r="O216" t="n">
        <v>0</v>
      </c>
      <c r="P216" t="n">
        <v>0</v>
      </c>
      <c r="Q216" t="n">
        <v>0</v>
      </c>
      <c r="R216" s="2" t="inlineStr"/>
      <c r="U216">
        <f>HYPERLINK("https://klasma.github.io/Logging_2380/knärot/A 22115-2019 karta knärot.png", "A 22115-2019")</f>
        <v/>
      </c>
      <c r="V216">
        <f>HYPERLINK("https://klasma.github.io/Logging_2380/klagomål/A 22115-2019 FSC-klagomål.docx", "A 22115-2019")</f>
        <v/>
      </c>
      <c r="W216">
        <f>HYPERLINK("https://klasma.github.io/Logging_2380/klagomålsmail/A 22115-2019 FSC-klagomål mail.docx", "A 22115-2019")</f>
        <v/>
      </c>
      <c r="X216">
        <f>HYPERLINK("https://klasma.github.io/Logging_2380/tillsyn/A 22115-2019 tillsynsbegäran.docx", "A 22115-2019")</f>
        <v/>
      </c>
      <c r="Y216">
        <f>HYPERLINK("https://klasma.github.io/Logging_2380/tillsynsmail/A 22115-2019 tillsynsbegäran mail.docx", "A 22115-2019")</f>
        <v/>
      </c>
    </row>
    <row r="217" ht="15" customHeight="1">
      <c r="A217" t="inlineStr">
        <is>
          <t>A 23609-2019</t>
        </is>
      </c>
      <c r="B217" s="1" t="n">
        <v>43594</v>
      </c>
      <c r="C217" s="1" t="n">
        <v>45800</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23940-2019</t>
        </is>
      </c>
      <c r="B218" s="1" t="n">
        <v>43595</v>
      </c>
      <c r="C218" s="1" t="n">
        <v>45800</v>
      </c>
      <c r="D218" t="inlineStr">
        <is>
          <t>JÄMTLANDS LÄN</t>
        </is>
      </c>
      <c r="E218" t="inlineStr">
        <is>
          <t>ÖSTERSUND</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25205-2019</t>
        </is>
      </c>
      <c r="B219" s="1" t="n">
        <v>43600</v>
      </c>
      <c r="C219" s="1" t="n">
        <v>45800</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28892-2019</t>
        </is>
      </c>
      <c r="B220" s="1" t="n">
        <v>43619</v>
      </c>
      <c r="C220" s="1" t="n">
        <v>45800</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28899-2019</t>
        </is>
      </c>
      <c r="B221" s="1" t="n">
        <v>43619</v>
      </c>
      <c r="C221" s="1" t="n">
        <v>45800</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28884-2019</t>
        </is>
      </c>
      <c r="B222" s="1" t="n">
        <v>43619</v>
      </c>
      <c r="C222" s="1" t="n">
        <v>45800</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27977-2019</t>
        </is>
      </c>
      <c r="B223" s="1" t="n">
        <v>43620</v>
      </c>
      <c r="C223" s="1" t="n">
        <v>45800</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31189-2019</t>
        </is>
      </c>
      <c r="B224" s="1" t="n">
        <v>43635</v>
      </c>
      <c r="C224" s="1" t="n">
        <v>45800</v>
      </c>
      <c r="D224" t="inlineStr">
        <is>
          <t>JÄMTLANDS LÄN</t>
        </is>
      </c>
      <c r="E224" t="inlineStr">
        <is>
          <t>ÖSTERSUND</t>
        </is>
      </c>
      <c r="G224" t="n">
        <v>5.5</v>
      </c>
      <c r="H224" t="n">
        <v>0</v>
      </c>
      <c r="I224" t="n">
        <v>0</v>
      </c>
      <c r="J224" t="n">
        <v>0</v>
      </c>
      <c r="K224" t="n">
        <v>0</v>
      </c>
      <c r="L224" t="n">
        <v>0</v>
      </c>
      <c r="M224" t="n">
        <v>0</v>
      </c>
      <c r="N224" t="n">
        <v>0</v>
      </c>
      <c r="O224" t="n">
        <v>0</v>
      </c>
      <c r="P224" t="n">
        <v>0</v>
      </c>
      <c r="Q224" t="n">
        <v>0</v>
      </c>
      <c r="R224" s="2" t="inlineStr"/>
    </row>
    <row r="225" ht="15" customHeight="1">
      <c r="A225" t="inlineStr">
        <is>
          <t>A 30940-2019</t>
        </is>
      </c>
      <c r="B225" s="1" t="n">
        <v>43637</v>
      </c>
      <c r="C225" s="1" t="n">
        <v>45800</v>
      </c>
      <c r="D225" t="inlineStr">
        <is>
          <t>JÄMTLANDS LÄN</t>
        </is>
      </c>
      <c r="E225" t="inlineStr">
        <is>
          <t>ÖSTERSUND</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30946-2019</t>
        </is>
      </c>
      <c r="B226" s="1" t="n">
        <v>43636</v>
      </c>
      <c r="C226" s="1" t="n">
        <v>45800</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31617-2019</t>
        </is>
      </c>
      <c r="B227" s="1" t="n">
        <v>43640</v>
      </c>
      <c r="C227" s="1" t="n">
        <v>45800</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31621-2019</t>
        </is>
      </c>
      <c r="B228" s="1" t="n">
        <v>43640</v>
      </c>
      <c r="C228" s="1" t="n">
        <v>45800</v>
      </c>
      <c r="D228" t="inlineStr">
        <is>
          <t>JÄMTLANDS LÄN</t>
        </is>
      </c>
      <c r="E228" t="inlineStr">
        <is>
          <t>ÖSTERSUND</t>
        </is>
      </c>
      <c r="G228" t="n">
        <v>1.3</v>
      </c>
      <c r="H228" t="n">
        <v>0</v>
      </c>
      <c r="I228" t="n">
        <v>0</v>
      </c>
      <c r="J228" t="n">
        <v>0</v>
      </c>
      <c r="K228" t="n">
        <v>0</v>
      </c>
      <c r="L228" t="n">
        <v>0</v>
      </c>
      <c r="M228" t="n">
        <v>0</v>
      </c>
      <c r="N228" t="n">
        <v>0</v>
      </c>
      <c r="O228" t="n">
        <v>0</v>
      </c>
      <c r="P228" t="n">
        <v>0</v>
      </c>
      <c r="Q228" t="n">
        <v>0</v>
      </c>
      <c r="R228" s="2" t="inlineStr"/>
    </row>
    <row r="229" ht="15" customHeight="1">
      <c r="A229" t="inlineStr">
        <is>
          <t>A 34903-2019</t>
        </is>
      </c>
      <c r="B229" s="1" t="n">
        <v>43650</v>
      </c>
      <c r="C229" s="1" t="n">
        <v>45800</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35500-2019</t>
        </is>
      </c>
      <c r="B230" s="1" t="n">
        <v>43651</v>
      </c>
      <c r="C230" s="1" t="n">
        <v>45800</v>
      </c>
      <c r="D230" t="inlineStr">
        <is>
          <t>JÄMTLANDS LÄN</t>
        </is>
      </c>
      <c r="E230" t="inlineStr">
        <is>
          <t>ÖSTERSUND</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35535-2019</t>
        </is>
      </c>
      <c r="B231" s="1" t="n">
        <v>43654</v>
      </c>
      <c r="C231" s="1" t="n">
        <v>45800</v>
      </c>
      <c r="D231" t="inlineStr">
        <is>
          <t>JÄMTLANDS LÄN</t>
        </is>
      </c>
      <c r="E231" t="inlineStr">
        <is>
          <t>ÖSTERSUND</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34109-2019</t>
        </is>
      </c>
      <c r="B232" s="1" t="n">
        <v>43654</v>
      </c>
      <c r="C232" s="1" t="n">
        <v>45800</v>
      </c>
      <c r="D232" t="inlineStr">
        <is>
          <t>JÄMTLANDS LÄN</t>
        </is>
      </c>
      <c r="E232" t="inlineStr">
        <is>
          <t>ÖSTERSUND</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34246-2019</t>
        </is>
      </c>
      <c r="B233" s="1" t="n">
        <v>43655</v>
      </c>
      <c r="C233" s="1" t="n">
        <v>45800</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35678-2019</t>
        </is>
      </c>
      <c r="B234" s="1" t="n">
        <v>43656</v>
      </c>
      <c r="C234" s="1" t="n">
        <v>45800</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35688-2019</t>
        </is>
      </c>
      <c r="B235" s="1" t="n">
        <v>43656</v>
      </c>
      <c r="C235" s="1" t="n">
        <v>45800</v>
      </c>
      <c r="D235" t="inlineStr">
        <is>
          <t>JÄMTLANDS LÄN</t>
        </is>
      </c>
      <c r="E235" t="inlineStr">
        <is>
          <t>ÖSTERSUND</t>
        </is>
      </c>
      <c r="G235" t="n">
        <v>12.6</v>
      </c>
      <c r="H235" t="n">
        <v>0</v>
      </c>
      <c r="I235" t="n">
        <v>0</v>
      </c>
      <c r="J235" t="n">
        <v>0</v>
      </c>
      <c r="K235" t="n">
        <v>0</v>
      </c>
      <c r="L235" t="n">
        <v>0</v>
      </c>
      <c r="M235" t="n">
        <v>0</v>
      </c>
      <c r="N235" t="n">
        <v>0</v>
      </c>
      <c r="O235" t="n">
        <v>0</v>
      </c>
      <c r="P235" t="n">
        <v>0</v>
      </c>
      <c r="Q235" t="n">
        <v>0</v>
      </c>
      <c r="R235" s="2" t="inlineStr"/>
    </row>
    <row r="236" ht="15" customHeight="1">
      <c r="A236" t="inlineStr">
        <is>
          <t>A 36003-2019</t>
        </is>
      </c>
      <c r="B236" s="1" t="n">
        <v>43657</v>
      </c>
      <c r="C236" s="1" t="n">
        <v>45800</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36652-2019</t>
        </is>
      </c>
      <c r="B237" s="1" t="n">
        <v>43670</v>
      </c>
      <c r="C237" s="1" t="n">
        <v>45800</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37222-2019</t>
        </is>
      </c>
      <c r="B238" s="1" t="n">
        <v>43676</v>
      </c>
      <c r="C238" s="1" t="n">
        <v>45800</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38662-2019</t>
        </is>
      </c>
      <c r="B239" s="1" t="n">
        <v>43684</v>
      </c>
      <c r="C239" s="1" t="n">
        <v>45800</v>
      </c>
      <c r="D239" t="inlineStr">
        <is>
          <t>JÄMTLANDS LÄN</t>
        </is>
      </c>
      <c r="E239" t="inlineStr">
        <is>
          <t>ÖSTERSUND</t>
        </is>
      </c>
      <c r="G239" t="n">
        <v>2.2</v>
      </c>
      <c r="H239" t="n">
        <v>0</v>
      </c>
      <c r="I239" t="n">
        <v>0</v>
      </c>
      <c r="J239" t="n">
        <v>0</v>
      </c>
      <c r="K239" t="n">
        <v>0</v>
      </c>
      <c r="L239" t="n">
        <v>0</v>
      </c>
      <c r="M239" t="n">
        <v>0</v>
      </c>
      <c r="N239" t="n">
        <v>0</v>
      </c>
      <c r="O239" t="n">
        <v>0</v>
      </c>
      <c r="P239" t="n">
        <v>0</v>
      </c>
      <c r="Q239" t="n">
        <v>0</v>
      </c>
      <c r="R239" s="2" t="inlineStr"/>
    </row>
    <row r="240" ht="15" customHeight="1">
      <c r="A240" t="inlineStr">
        <is>
          <t>A 39459-2019</t>
        </is>
      </c>
      <c r="B240" s="1" t="n">
        <v>43686</v>
      </c>
      <c r="C240" s="1" t="n">
        <v>45800</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40530-2019</t>
        </is>
      </c>
      <c r="B241" s="1" t="n">
        <v>43696</v>
      </c>
      <c r="C241" s="1" t="n">
        <v>45800</v>
      </c>
      <c r="D241" t="inlineStr">
        <is>
          <t>JÄMTLANDS LÄN</t>
        </is>
      </c>
      <c r="E241" t="inlineStr">
        <is>
          <t>ÖSTERSUND</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41364-2019</t>
        </is>
      </c>
      <c r="B242" s="1" t="n">
        <v>43696</v>
      </c>
      <c r="C242" s="1" t="n">
        <v>45800</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40531-2019</t>
        </is>
      </c>
      <c r="B243" s="1" t="n">
        <v>43696</v>
      </c>
      <c r="C243" s="1" t="n">
        <v>45800</v>
      </c>
      <c r="D243" t="inlineStr">
        <is>
          <t>JÄMTLANDS LÄN</t>
        </is>
      </c>
      <c r="E243" t="inlineStr">
        <is>
          <t>ÖSTERSUND</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41556-2019</t>
        </is>
      </c>
      <c r="B244" s="1" t="n">
        <v>43696</v>
      </c>
      <c r="C244" s="1" t="n">
        <v>45800</v>
      </c>
      <c r="D244" t="inlineStr">
        <is>
          <t>JÄMTLANDS LÄN</t>
        </is>
      </c>
      <c r="E244" t="inlineStr">
        <is>
          <t>ÖSTERSUND</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41588-2019</t>
        </is>
      </c>
      <c r="B245" s="1" t="n">
        <v>43699</v>
      </c>
      <c r="C245" s="1" t="n">
        <v>45800</v>
      </c>
      <c r="D245" t="inlineStr">
        <is>
          <t>JÄMTLANDS LÄN</t>
        </is>
      </c>
      <c r="E245" t="inlineStr">
        <is>
          <t>ÖSTERSUND</t>
        </is>
      </c>
      <c r="G245" t="n">
        <v>26.7</v>
      </c>
      <c r="H245" t="n">
        <v>0</v>
      </c>
      <c r="I245" t="n">
        <v>0</v>
      </c>
      <c r="J245" t="n">
        <v>0</v>
      </c>
      <c r="K245" t="n">
        <v>0</v>
      </c>
      <c r="L245" t="n">
        <v>0</v>
      </c>
      <c r="M245" t="n">
        <v>0</v>
      </c>
      <c r="N245" t="n">
        <v>0</v>
      </c>
      <c r="O245" t="n">
        <v>0</v>
      </c>
      <c r="P245" t="n">
        <v>0</v>
      </c>
      <c r="Q245" t="n">
        <v>0</v>
      </c>
      <c r="R245" s="2" t="inlineStr"/>
    </row>
    <row r="246" ht="15" customHeight="1">
      <c r="A246" t="inlineStr">
        <is>
          <t>A 43249-2019</t>
        </is>
      </c>
      <c r="B246" s="1" t="n">
        <v>43703</v>
      </c>
      <c r="C246" s="1" t="n">
        <v>45800</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43425-2019</t>
        </is>
      </c>
      <c r="B247" s="1" t="n">
        <v>43703</v>
      </c>
      <c r="C247" s="1" t="n">
        <v>45800</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46346-2019</t>
        </is>
      </c>
      <c r="B248" s="1" t="n">
        <v>43718</v>
      </c>
      <c r="C248" s="1" t="n">
        <v>45800</v>
      </c>
      <c r="D248" t="inlineStr">
        <is>
          <t>JÄMTLANDS LÄN</t>
        </is>
      </c>
      <c r="E248" t="inlineStr">
        <is>
          <t>ÖSTERSUND</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47810-2019</t>
        </is>
      </c>
      <c r="B249" s="1" t="n">
        <v>43724</v>
      </c>
      <c r="C249" s="1" t="n">
        <v>45800</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48115-2019</t>
        </is>
      </c>
      <c r="B250" s="1" t="n">
        <v>43725</v>
      </c>
      <c r="C250" s="1" t="n">
        <v>45800</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48680-2019</t>
        </is>
      </c>
      <c r="B251" s="1" t="n">
        <v>43727</v>
      </c>
      <c r="C251" s="1" t="n">
        <v>45800</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49629-2019</t>
        </is>
      </c>
      <c r="B252" s="1" t="n">
        <v>43732</v>
      </c>
      <c r="C252" s="1" t="n">
        <v>45800</v>
      </c>
      <c r="D252" t="inlineStr">
        <is>
          <t>JÄMTLANDS LÄN</t>
        </is>
      </c>
      <c r="E252" t="inlineStr">
        <is>
          <t>ÖSTERSUND</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51347-2019</t>
        </is>
      </c>
      <c r="B253" s="1" t="n">
        <v>43732</v>
      </c>
      <c r="C253" s="1" t="n">
        <v>45800</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49997-2019</t>
        </is>
      </c>
      <c r="B254" s="1" t="n">
        <v>43733</v>
      </c>
      <c r="C254" s="1" t="n">
        <v>45800</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50316-2019</t>
        </is>
      </c>
      <c r="B255" s="1" t="n">
        <v>43735</v>
      </c>
      <c r="C255" s="1" t="n">
        <v>45800</v>
      </c>
      <c r="D255" t="inlineStr">
        <is>
          <t>JÄMTLANDS LÄN</t>
        </is>
      </c>
      <c r="E255" t="inlineStr">
        <is>
          <t>ÖSTERSUND</t>
        </is>
      </c>
      <c r="G255" t="n">
        <v>9.5</v>
      </c>
      <c r="H255" t="n">
        <v>0</v>
      </c>
      <c r="I255" t="n">
        <v>0</v>
      </c>
      <c r="J255" t="n">
        <v>0</v>
      </c>
      <c r="K255" t="n">
        <v>0</v>
      </c>
      <c r="L255" t="n">
        <v>0</v>
      </c>
      <c r="M255" t="n">
        <v>0</v>
      </c>
      <c r="N255" t="n">
        <v>0</v>
      </c>
      <c r="O255" t="n">
        <v>0</v>
      </c>
      <c r="P255" t="n">
        <v>0</v>
      </c>
      <c r="Q255" t="n">
        <v>0</v>
      </c>
      <c r="R255" s="2" t="inlineStr"/>
    </row>
    <row r="256" ht="15" customHeight="1">
      <c r="A256" t="inlineStr">
        <is>
          <t>A 50779-2019</t>
        </is>
      </c>
      <c r="B256" s="1" t="n">
        <v>43738</v>
      </c>
      <c r="C256" s="1" t="n">
        <v>45800</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50968-2019</t>
        </is>
      </c>
      <c r="B257" s="1" t="n">
        <v>43738</v>
      </c>
      <c r="C257" s="1" t="n">
        <v>45800</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54498-2019</t>
        </is>
      </c>
      <c r="B258" s="1" t="n">
        <v>43747</v>
      </c>
      <c r="C258" s="1" t="n">
        <v>45800</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53297-2019</t>
        </is>
      </c>
      <c r="B259" s="1" t="n">
        <v>43748</v>
      </c>
      <c r="C259" s="1" t="n">
        <v>45800</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53533-2019</t>
        </is>
      </c>
      <c r="B260" s="1" t="n">
        <v>43749</v>
      </c>
      <c r="C260" s="1" t="n">
        <v>45800</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53859-2019</t>
        </is>
      </c>
      <c r="B261" s="1" t="n">
        <v>43752</v>
      </c>
      <c r="C261" s="1" t="n">
        <v>45800</v>
      </c>
      <c r="D261" t="inlineStr">
        <is>
          <t>JÄMTLANDS LÄN</t>
        </is>
      </c>
      <c r="E261" t="inlineStr">
        <is>
          <t>ÖSTERSUND</t>
        </is>
      </c>
      <c r="F261" t="inlineStr">
        <is>
          <t>Övriga Aktiebolag</t>
        </is>
      </c>
      <c r="G261" t="n">
        <v>4.3</v>
      </c>
      <c r="H261" t="n">
        <v>0</v>
      </c>
      <c r="I261" t="n">
        <v>0</v>
      </c>
      <c r="J261" t="n">
        <v>0</v>
      </c>
      <c r="K261" t="n">
        <v>0</v>
      </c>
      <c r="L261" t="n">
        <v>0</v>
      </c>
      <c r="M261" t="n">
        <v>0</v>
      </c>
      <c r="N261" t="n">
        <v>0</v>
      </c>
      <c r="O261" t="n">
        <v>0</v>
      </c>
      <c r="P261" t="n">
        <v>0</v>
      </c>
      <c r="Q261" t="n">
        <v>0</v>
      </c>
      <c r="R261" s="2" t="inlineStr"/>
    </row>
    <row r="262" ht="15" customHeight="1">
      <c r="A262" t="inlineStr">
        <is>
          <t>A 57466-2019</t>
        </is>
      </c>
      <c r="B262" s="1" t="n">
        <v>43761</v>
      </c>
      <c r="C262" s="1" t="n">
        <v>45800</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56512-2019</t>
        </is>
      </c>
      <c r="B263" s="1" t="n">
        <v>43762</v>
      </c>
      <c r="C263" s="1" t="n">
        <v>45800</v>
      </c>
      <c r="D263" t="inlineStr">
        <is>
          <t>JÄMTLANDS LÄN</t>
        </is>
      </c>
      <c r="E263" t="inlineStr">
        <is>
          <t>ÖSTERSUND</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57845-2019</t>
        </is>
      </c>
      <c r="B264" s="1" t="n">
        <v>43768</v>
      </c>
      <c r="C264" s="1" t="n">
        <v>45800</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58216-2019</t>
        </is>
      </c>
      <c r="B265" s="1" t="n">
        <v>43770</v>
      </c>
      <c r="C265" s="1" t="n">
        <v>45800</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58210-2019</t>
        </is>
      </c>
      <c r="B266" s="1" t="n">
        <v>43770</v>
      </c>
      <c r="C266" s="1" t="n">
        <v>45800</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59437-2019</t>
        </is>
      </c>
      <c r="B267" s="1" t="n">
        <v>43773</v>
      </c>
      <c r="C267" s="1" t="n">
        <v>45800</v>
      </c>
      <c r="D267" t="inlineStr">
        <is>
          <t>JÄMTLANDS LÄN</t>
        </is>
      </c>
      <c r="E267" t="inlineStr">
        <is>
          <t>ÖSTERSUND</t>
        </is>
      </c>
      <c r="G267" t="n">
        <v>6.2</v>
      </c>
      <c r="H267" t="n">
        <v>0</v>
      </c>
      <c r="I267" t="n">
        <v>0</v>
      </c>
      <c r="J267" t="n">
        <v>0</v>
      </c>
      <c r="K267" t="n">
        <v>0</v>
      </c>
      <c r="L267" t="n">
        <v>0</v>
      </c>
      <c r="M267" t="n">
        <v>0</v>
      </c>
      <c r="N267" t="n">
        <v>0</v>
      </c>
      <c r="O267" t="n">
        <v>0</v>
      </c>
      <c r="P267" t="n">
        <v>0</v>
      </c>
      <c r="Q267" t="n">
        <v>0</v>
      </c>
      <c r="R267" s="2" t="inlineStr"/>
    </row>
    <row r="268" ht="15" customHeight="1">
      <c r="A268" t="inlineStr">
        <is>
          <t>A 60240-2019</t>
        </is>
      </c>
      <c r="B268" s="1" t="n">
        <v>43776</v>
      </c>
      <c r="C268" s="1" t="n">
        <v>45800</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60001-2019</t>
        </is>
      </c>
      <c r="B269" s="1" t="n">
        <v>43777</v>
      </c>
      <c r="C269" s="1" t="n">
        <v>45800</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60669-2019</t>
        </is>
      </c>
      <c r="B270" s="1" t="n">
        <v>43781</v>
      </c>
      <c r="C270" s="1" t="n">
        <v>45800</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60604-2019</t>
        </is>
      </c>
      <c r="B271" s="1" t="n">
        <v>43781</v>
      </c>
      <c r="C271" s="1" t="n">
        <v>45800</v>
      </c>
      <c r="D271" t="inlineStr">
        <is>
          <t>JÄMTLANDS LÄN</t>
        </is>
      </c>
      <c r="E271" t="inlineStr">
        <is>
          <t>ÖSTERSUND</t>
        </is>
      </c>
      <c r="G271" t="n">
        <v>8.9</v>
      </c>
      <c r="H271" t="n">
        <v>0</v>
      </c>
      <c r="I271" t="n">
        <v>0</v>
      </c>
      <c r="J271" t="n">
        <v>0</v>
      </c>
      <c r="K271" t="n">
        <v>0</v>
      </c>
      <c r="L271" t="n">
        <v>0</v>
      </c>
      <c r="M271" t="n">
        <v>0</v>
      </c>
      <c r="N271" t="n">
        <v>0</v>
      </c>
      <c r="O271" t="n">
        <v>0</v>
      </c>
      <c r="P271" t="n">
        <v>0</v>
      </c>
      <c r="Q271" t="n">
        <v>0</v>
      </c>
      <c r="R271" s="2" t="inlineStr"/>
    </row>
    <row r="272" ht="15" customHeight="1">
      <c r="A272" t="inlineStr">
        <is>
          <t>A 62234-2019</t>
        </is>
      </c>
      <c r="B272" s="1" t="n">
        <v>43784</v>
      </c>
      <c r="C272" s="1" t="n">
        <v>45800</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62136-2019</t>
        </is>
      </c>
      <c r="B273" s="1" t="n">
        <v>43787</v>
      </c>
      <c r="C273" s="1" t="n">
        <v>45800</v>
      </c>
      <c r="D273" t="inlineStr">
        <is>
          <t>JÄMTLANDS LÄN</t>
        </is>
      </c>
      <c r="E273" t="inlineStr">
        <is>
          <t>ÖSTERSUND</t>
        </is>
      </c>
      <c r="F273" t="inlineStr">
        <is>
          <t>Övriga Aktiebolag</t>
        </is>
      </c>
      <c r="G273" t="n">
        <v>35.2</v>
      </c>
      <c r="H273" t="n">
        <v>0</v>
      </c>
      <c r="I273" t="n">
        <v>0</v>
      </c>
      <c r="J273" t="n">
        <v>0</v>
      </c>
      <c r="K273" t="n">
        <v>0</v>
      </c>
      <c r="L273" t="n">
        <v>0</v>
      </c>
      <c r="M273" t="n">
        <v>0</v>
      </c>
      <c r="N273" t="n">
        <v>0</v>
      </c>
      <c r="O273" t="n">
        <v>0</v>
      </c>
      <c r="P273" t="n">
        <v>0</v>
      </c>
      <c r="Q273" t="n">
        <v>0</v>
      </c>
      <c r="R273" s="2" t="inlineStr"/>
    </row>
    <row r="274" ht="15" customHeight="1">
      <c r="A274" t="inlineStr">
        <is>
          <t>A 64622-2019</t>
        </is>
      </c>
      <c r="B274" s="1" t="n">
        <v>43794</v>
      </c>
      <c r="C274" s="1" t="n">
        <v>45800</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65335-2019</t>
        </is>
      </c>
      <c r="B275" s="1" t="n">
        <v>43802</v>
      </c>
      <c r="C275" s="1" t="n">
        <v>45800</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67010-2019</t>
        </is>
      </c>
      <c r="B276" s="1" t="n">
        <v>43805</v>
      </c>
      <c r="C276" s="1" t="n">
        <v>45800</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66592-2019</t>
        </is>
      </c>
      <c r="B277" s="1" t="n">
        <v>43809</v>
      </c>
      <c r="C277" s="1" t="n">
        <v>45800</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67863-2019</t>
        </is>
      </c>
      <c r="B278" s="1" t="n">
        <v>43809</v>
      </c>
      <c r="C278" s="1" t="n">
        <v>45800</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68238-2019</t>
        </is>
      </c>
      <c r="B279" s="1" t="n">
        <v>43817</v>
      </c>
      <c r="C279" s="1" t="n">
        <v>45800</v>
      </c>
      <c r="D279" t="inlineStr">
        <is>
          <t>JÄMTLANDS LÄN</t>
        </is>
      </c>
      <c r="E279" t="inlineStr">
        <is>
          <t>ÖSTERSUND</t>
        </is>
      </c>
      <c r="G279" t="n">
        <v>2.7</v>
      </c>
      <c r="H279" t="n">
        <v>0</v>
      </c>
      <c r="I279" t="n">
        <v>0</v>
      </c>
      <c r="J279" t="n">
        <v>0</v>
      </c>
      <c r="K279" t="n">
        <v>0</v>
      </c>
      <c r="L279" t="n">
        <v>0</v>
      </c>
      <c r="M279" t="n">
        <v>0</v>
      </c>
      <c r="N279" t="n">
        <v>0</v>
      </c>
      <c r="O279" t="n">
        <v>0</v>
      </c>
      <c r="P279" t="n">
        <v>0</v>
      </c>
      <c r="Q279" t="n">
        <v>0</v>
      </c>
      <c r="R279" s="2" t="inlineStr"/>
    </row>
    <row r="280" ht="15" customHeight="1">
      <c r="A280" t="inlineStr">
        <is>
          <t>A 745-2020</t>
        </is>
      </c>
      <c r="B280" s="1" t="n">
        <v>43838</v>
      </c>
      <c r="C280" s="1" t="n">
        <v>45800</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1088-2020</t>
        </is>
      </c>
      <c r="B281" s="1" t="n">
        <v>43840</v>
      </c>
      <c r="C281" s="1" t="n">
        <v>45800</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1268-2020</t>
        </is>
      </c>
      <c r="B282" s="1" t="n">
        <v>43840</v>
      </c>
      <c r="C282" s="1" t="n">
        <v>45800</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1077-2020</t>
        </is>
      </c>
      <c r="B283" s="1" t="n">
        <v>43840</v>
      </c>
      <c r="C283" s="1" t="n">
        <v>45800</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5905-2020</t>
        </is>
      </c>
      <c r="B284" s="1" t="n">
        <v>43861</v>
      </c>
      <c r="C284" s="1" t="n">
        <v>45800</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6028-2020</t>
        </is>
      </c>
      <c r="B285" s="1" t="n">
        <v>43864</v>
      </c>
      <c r="C285" s="1" t="n">
        <v>45800</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6522-2020</t>
        </is>
      </c>
      <c r="B286" s="1" t="n">
        <v>43864</v>
      </c>
      <c r="C286" s="1" t="n">
        <v>45800</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6566-2020</t>
        </is>
      </c>
      <c r="B287" s="1" t="n">
        <v>43865</v>
      </c>
      <c r="C287" s="1" t="n">
        <v>45800</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7255-2020</t>
        </is>
      </c>
      <c r="B288" s="1" t="n">
        <v>43871</v>
      </c>
      <c r="C288" s="1" t="n">
        <v>45800</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7570-2020</t>
        </is>
      </c>
      <c r="B289" s="1" t="n">
        <v>43871</v>
      </c>
      <c r="C289" s="1" t="n">
        <v>45800</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8401-2020</t>
        </is>
      </c>
      <c r="B290" s="1" t="n">
        <v>43875</v>
      </c>
      <c r="C290" s="1" t="n">
        <v>45800</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11566-2020</t>
        </is>
      </c>
      <c r="B291" s="1" t="n">
        <v>43893</v>
      </c>
      <c r="C291" s="1" t="n">
        <v>45800</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12202-2020</t>
        </is>
      </c>
      <c r="B292" s="1" t="n">
        <v>43895</v>
      </c>
      <c r="C292" s="1" t="n">
        <v>45800</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13264-2020</t>
        </is>
      </c>
      <c r="B293" s="1" t="n">
        <v>43901</v>
      </c>
      <c r="C293" s="1" t="n">
        <v>45800</v>
      </c>
      <c r="D293" t="inlineStr">
        <is>
          <t>JÄMTLANDS LÄN</t>
        </is>
      </c>
      <c r="E293" t="inlineStr">
        <is>
          <t>ÖSTERSUND</t>
        </is>
      </c>
      <c r="G293" t="n">
        <v>4.4</v>
      </c>
      <c r="H293" t="n">
        <v>0</v>
      </c>
      <c r="I293" t="n">
        <v>0</v>
      </c>
      <c r="J293" t="n">
        <v>0</v>
      </c>
      <c r="K293" t="n">
        <v>0</v>
      </c>
      <c r="L293" t="n">
        <v>0</v>
      </c>
      <c r="M293" t="n">
        <v>0</v>
      </c>
      <c r="N293" t="n">
        <v>0</v>
      </c>
      <c r="O293" t="n">
        <v>0</v>
      </c>
      <c r="P293" t="n">
        <v>0</v>
      </c>
      <c r="Q293" t="n">
        <v>0</v>
      </c>
      <c r="R293" s="2" t="inlineStr"/>
    </row>
    <row r="294" ht="15" customHeight="1">
      <c r="A294" t="inlineStr">
        <is>
          <t>A 14917-2020</t>
        </is>
      </c>
      <c r="B294" s="1" t="n">
        <v>43906</v>
      </c>
      <c r="C294" s="1" t="n">
        <v>45800</v>
      </c>
      <c r="D294" t="inlineStr">
        <is>
          <t>JÄMTLANDS LÄN</t>
        </is>
      </c>
      <c r="E294" t="inlineStr">
        <is>
          <t>ÖSTERSUND</t>
        </is>
      </c>
      <c r="G294" t="n">
        <v>12.9</v>
      </c>
      <c r="H294" t="n">
        <v>0</v>
      </c>
      <c r="I294" t="n">
        <v>0</v>
      </c>
      <c r="J294" t="n">
        <v>0</v>
      </c>
      <c r="K294" t="n">
        <v>0</v>
      </c>
      <c r="L294" t="n">
        <v>0</v>
      </c>
      <c r="M294" t="n">
        <v>0</v>
      </c>
      <c r="N294" t="n">
        <v>0</v>
      </c>
      <c r="O294" t="n">
        <v>0</v>
      </c>
      <c r="P294" t="n">
        <v>0</v>
      </c>
      <c r="Q294" t="n">
        <v>0</v>
      </c>
      <c r="R294" s="2" t="inlineStr"/>
    </row>
    <row r="295" ht="15" customHeight="1">
      <c r="A295" t="inlineStr">
        <is>
          <t>A 15797-2020</t>
        </is>
      </c>
      <c r="B295" s="1" t="n">
        <v>43909</v>
      </c>
      <c r="C295" s="1" t="n">
        <v>45800</v>
      </c>
      <c r="D295" t="inlineStr">
        <is>
          <t>JÄMTLANDS LÄN</t>
        </is>
      </c>
      <c r="E295" t="inlineStr">
        <is>
          <t>ÖSTERSUND</t>
        </is>
      </c>
      <c r="G295" t="n">
        <v>3.5</v>
      </c>
      <c r="H295" t="n">
        <v>0</v>
      </c>
      <c r="I295" t="n">
        <v>0</v>
      </c>
      <c r="J295" t="n">
        <v>0</v>
      </c>
      <c r="K295" t="n">
        <v>0</v>
      </c>
      <c r="L295" t="n">
        <v>0</v>
      </c>
      <c r="M295" t="n">
        <v>0</v>
      </c>
      <c r="N295" t="n">
        <v>0</v>
      </c>
      <c r="O295" t="n">
        <v>0</v>
      </c>
      <c r="P295" t="n">
        <v>0</v>
      </c>
      <c r="Q295" t="n">
        <v>0</v>
      </c>
      <c r="R295" s="2" t="inlineStr"/>
    </row>
    <row r="296" ht="15" customHeight="1">
      <c r="A296" t="inlineStr">
        <is>
          <t>A 14903-2020</t>
        </is>
      </c>
      <c r="B296" s="1" t="n">
        <v>43910</v>
      </c>
      <c r="C296" s="1" t="n">
        <v>45800</v>
      </c>
      <c r="D296" t="inlineStr">
        <is>
          <t>JÄMTLANDS LÄN</t>
        </is>
      </c>
      <c r="E296" t="inlineStr">
        <is>
          <t>ÖSTERSUND</t>
        </is>
      </c>
      <c r="F296" t="inlineStr">
        <is>
          <t>Kyrkan</t>
        </is>
      </c>
      <c r="G296" t="n">
        <v>2.3</v>
      </c>
      <c r="H296" t="n">
        <v>0</v>
      </c>
      <c r="I296" t="n">
        <v>0</v>
      </c>
      <c r="J296" t="n">
        <v>0</v>
      </c>
      <c r="K296" t="n">
        <v>0</v>
      </c>
      <c r="L296" t="n">
        <v>0</v>
      </c>
      <c r="M296" t="n">
        <v>0</v>
      </c>
      <c r="N296" t="n">
        <v>0</v>
      </c>
      <c r="O296" t="n">
        <v>0</v>
      </c>
      <c r="P296" t="n">
        <v>0</v>
      </c>
      <c r="Q296" t="n">
        <v>0</v>
      </c>
      <c r="R296" s="2" t="inlineStr"/>
    </row>
    <row r="297" ht="15" customHeight="1">
      <c r="A297" t="inlineStr">
        <is>
          <t>A 17464-2020</t>
        </is>
      </c>
      <c r="B297" s="1" t="n">
        <v>43917</v>
      </c>
      <c r="C297" s="1" t="n">
        <v>45800</v>
      </c>
      <c r="D297" t="inlineStr">
        <is>
          <t>JÄMTLANDS LÄN</t>
        </is>
      </c>
      <c r="E297" t="inlineStr">
        <is>
          <t>ÖSTERSUND</t>
        </is>
      </c>
      <c r="G297" t="n">
        <v>3.8</v>
      </c>
      <c r="H297" t="n">
        <v>0</v>
      </c>
      <c r="I297" t="n">
        <v>0</v>
      </c>
      <c r="J297" t="n">
        <v>0</v>
      </c>
      <c r="K297" t="n">
        <v>0</v>
      </c>
      <c r="L297" t="n">
        <v>0</v>
      </c>
      <c r="M297" t="n">
        <v>0</v>
      </c>
      <c r="N297" t="n">
        <v>0</v>
      </c>
      <c r="O297" t="n">
        <v>0</v>
      </c>
      <c r="P297" t="n">
        <v>0</v>
      </c>
      <c r="Q297" t="n">
        <v>0</v>
      </c>
      <c r="R297" s="2" t="inlineStr"/>
    </row>
    <row r="298" ht="15" customHeight="1">
      <c r="A298" t="inlineStr">
        <is>
          <t>A 18339-2020</t>
        </is>
      </c>
      <c r="B298" s="1" t="n">
        <v>43928</v>
      </c>
      <c r="C298" s="1" t="n">
        <v>45800</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18683-2020</t>
        </is>
      </c>
      <c r="B299" s="1" t="n">
        <v>43930</v>
      </c>
      <c r="C299" s="1" t="n">
        <v>45800</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19631-2020</t>
        </is>
      </c>
      <c r="B300" s="1" t="n">
        <v>43936</v>
      </c>
      <c r="C300" s="1" t="n">
        <v>45800</v>
      </c>
      <c r="D300" t="inlineStr">
        <is>
          <t>JÄMTLANDS LÄN</t>
        </is>
      </c>
      <c r="E300" t="inlineStr">
        <is>
          <t>ÖSTERSUND</t>
        </is>
      </c>
      <c r="G300" t="n">
        <v>5.5</v>
      </c>
      <c r="H300" t="n">
        <v>0</v>
      </c>
      <c r="I300" t="n">
        <v>0</v>
      </c>
      <c r="J300" t="n">
        <v>0</v>
      </c>
      <c r="K300" t="n">
        <v>0</v>
      </c>
      <c r="L300" t="n">
        <v>0</v>
      </c>
      <c r="M300" t="n">
        <v>0</v>
      </c>
      <c r="N300" t="n">
        <v>0</v>
      </c>
      <c r="O300" t="n">
        <v>0</v>
      </c>
      <c r="P300" t="n">
        <v>0</v>
      </c>
      <c r="Q300" t="n">
        <v>0</v>
      </c>
      <c r="R300" s="2" t="inlineStr"/>
    </row>
    <row r="301" ht="15" customHeight="1">
      <c r="A301" t="inlineStr">
        <is>
          <t>A 19923-2020</t>
        </is>
      </c>
      <c r="B301" s="1" t="n">
        <v>43943</v>
      </c>
      <c r="C301" s="1" t="n">
        <v>45800</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20198-2020</t>
        </is>
      </c>
      <c r="B302" s="1" t="n">
        <v>43944</v>
      </c>
      <c r="C302" s="1" t="n">
        <v>45800</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23507-2020</t>
        </is>
      </c>
      <c r="B303" s="1" t="n">
        <v>43969</v>
      </c>
      <c r="C303" s="1" t="n">
        <v>45800</v>
      </c>
      <c r="D303" t="inlineStr">
        <is>
          <t>JÄMTLANDS LÄN</t>
        </is>
      </c>
      <c r="E303" t="inlineStr">
        <is>
          <t>ÖSTERSUND</t>
        </is>
      </c>
      <c r="G303" t="n">
        <v>5.8</v>
      </c>
      <c r="H303" t="n">
        <v>0</v>
      </c>
      <c r="I303" t="n">
        <v>0</v>
      </c>
      <c r="J303" t="n">
        <v>0</v>
      </c>
      <c r="K303" t="n">
        <v>0</v>
      </c>
      <c r="L303" t="n">
        <v>0</v>
      </c>
      <c r="M303" t="n">
        <v>0</v>
      </c>
      <c r="N303" t="n">
        <v>0</v>
      </c>
      <c r="O303" t="n">
        <v>0</v>
      </c>
      <c r="P303" t="n">
        <v>0</v>
      </c>
      <c r="Q303" t="n">
        <v>0</v>
      </c>
      <c r="R303" s="2" t="inlineStr"/>
    </row>
    <row r="304" ht="15" customHeight="1">
      <c r="A304" t="inlineStr">
        <is>
          <t>A 23445-2020</t>
        </is>
      </c>
      <c r="B304" s="1" t="n">
        <v>43969</v>
      </c>
      <c r="C304" s="1" t="n">
        <v>45800</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24259-2020</t>
        </is>
      </c>
      <c r="B305" s="1" t="n">
        <v>43970</v>
      </c>
      <c r="C305" s="1" t="n">
        <v>45800</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24253-2020</t>
        </is>
      </c>
      <c r="B306" s="1" t="n">
        <v>43970</v>
      </c>
      <c r="C306" s="1" t="n">
        <v>45800</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25148-2020</t>
        </is>
      </c>
      <c r="B307" s="1" t="n">
        <v>43978</v>
      </c>
      <c r="C307" s="1" t="n">
        <v>45800</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26410-2020</t>
        </is>
      </c>
      <c r="B308" s="1" t="n">
        <v>43986</v>
      </c>
      <c r="C308" s="1" t="n">
        <v>45800</v>
      </c>
      <c r="D308" t="inlineStr">
        <is>
          <t>JÄMTLANDS LÄN</t>
        </is>
      </c>
      <c r="E308" t="inlineStr">
        <is>
          <t>ÖSTERSUND</t>
        </is>
      </c>
      <c r="G308" t="n">
        <v>2.1</v>
      </c>
      <c r="H308" t="n">
        <v>0</v>
      </c>
      <c r="I308" t="n">
        <v>0</v>
      </c>
      <c r="J308" t="n">
        <v>0</v>
      </c>
      <c r="K308" t="n">
        <v>0</v>
      </c>
      <c r="L308" t="n">
        <v>0</v>
      </c>
      <c r="M308" t="n">
        <v>0</v>
      </c>
      <c r="N308" t="n">
        <v>0</v>
      </c>
      <c r="O308" t="n">
        <v>0</v>
      </c>
      <c r="P308" t="n">
        <v>0</v>
      </c>
      <c r="Q308" t="n">
        <v>0</v>
      </c>
      <c r="R308" s="2" t="inlineStr"/>
    </row>
    <row r="309" ht="15" customHeight="1">
      <c r="A309" t="inlineStr">
        <is>
          <t>A 27576-2020</t>
        </is>
      </c>
      <c r="B309" s="1" t="n">
        <v>43992</v>
      </c>
      <c r="C309" s="1" t="n">
        <v>45800</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29635-2020</t>
        </is>
      </c>
      <c r="B310" s="1" t="n">
        <v>44000</v>
      </c>
      <c r="C310" s="1" t="n">
        <v>45800</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29435-2020</t>
        </is>
      </c>
      <c r="B311" s="1" t="n">
        <v>44004</v>
      </c>
      <c r="C311" s="1" t="n">
        <v>45800</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29479-2020</t>
        </is>
      </c>
      <c r="B312" s="1" t="n">
        <v>44005</v>
      </c>
      <c r="C312" s="1" t="n">
        <v>45800</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29581-2020</t>
        </is>
      </c>
      <c r="B313" s="1" t="n">
        <v>44004</v>
      </c>
      <c r="C313" s="1" t="n">
        <v>45800</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30676-2020</t>
        </is>
      </c>
      <c r="B314" s="1" t="n">
        <v>44008</v>
      </c>
      <c r="C314" s="1" t="n">
        <v>45800</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33945-2020</t>
        </is>
      </c>
      <c r="B315" s="1" t="n">
        <v>44027</v>
      </c>
      <c r="C315" s="1" t="n">
        <v>45800</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34703-2020</t>
        </is>
      </c>
      <c r="B316" s="1" t="n">
        <v>44035</v>
      </c>
      <c r="C316" s="1" t="n">
        <v>45800</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37500-2020</t>
        </is>
      </c>
      <c r="B317" s="1" t="n">
        <v>44055</v>
      </c>
      <c r="C317" s="1" t="n">
        <v>45800</v>
      </c>
      <c r="D317" t="inlineStr">
        <is>
          <t>JÄMTLANDS LÄN</t>
        </is>
      </c>
      <c r="E317" t="inlineStr">
        <is>
          <t>ÖSTERSUND</t>
        </is>
      </c>
      <c r="G317" t="n">
        <v>4.8</v>
      </c>
      <c r="H317" t="n">
        <v>0</v>
      </c>
      <c r="I317" t="n">
        <v>0</v>
      </c>
      <c r="J317" t="n">
        <v>0</v>
      </c>
      <c r="K317" t="n">
        <v>0</v>
      </c>
      <c r="L317" t="n">
        <v>0</v>
      </c>
      <c r="M317" t="n">
        <v>0</v>
      </c>
      <c r="N317" t="n">
        <v>0</v>
      </c>
      <c r="O317" t="n">
        <v>0</v>
      </c>
      <c r="P317" t="n">
        <v>0</v>
      </c>
      <c r="Q317" t="n">
        <v>0</v>
      </c>
      <c r="R317" s="2" t="inlineStr"/>
    </row>
    <row r="318" ht="15" customHeight="1">
      <c r="A318" t="inlineStr">
        <is>
          <t>A 38099-2020</t>
        </is>
      </c>
      <c r="B318" s="1" t="n">
        <v>44057</v>
      </c>
      <c r="C318" s="1" t="n">
        <v>45800</v>
      </c>
      <c r="D318" t="inlineStr">
        <is>
          <t>JÄMTLANDS LÄN</t>
        </is>
      </c>
      <c r="E318" t="inlineStr">
        <is>
          <t>ÖSTERSUND</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41354-2020</t>
        </is>
      </c>
      <c r="B319" s="1" t="n">
        <v>44072</v>
      </c>
      <c r="C319" s="1" t="n">
        <v>45800</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42712-2020</t>
        </is>
      </c>
      <c r="B320" s="1" t="n">
        <v>44076</v>
      </c>
      <c r="C320" s="1" t="n">
        <v>45800</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42749-2020</t>
        </is>
      </c>
      <c r="B321" s="1" t="n">
        <v>44078</v>
      </c>
      <c r="C321" s="1" t="n">
        <v>45800</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42765-2020</t>
        </is>
      </c>
      <c r="B322" s="1" t="n">
        <v>44077</v>
      </c>
      <c r="C322" s="1" t="n">
        <v>45800</v>
      </c>
      <c r="D322" t="inlineStr">
        <is>
          <t>JÄMTLANDS LÄN</t>
        </is>
      </c>
      <c r="E322" t="inlineStr">
        <is>
          <t>ÖSTERSUND</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42766-2020</t>
        </is>
      </c>
      <c r="B323" s="1" t="n">
        <v>44077</v>
      </c>
      <c r="C323" s="1" t="n">
        <v>45800</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43796-2020</t>
        </is>
      </c>
      <c r="B324" s="1" t="n">
        <v>44082</v>
      </c>
      <c r="C324" s="1" t="n">
        <v>45800</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45820-2020</t>
        </is>
      </c>
      <c r="B325" s="1" t="n">
        <v>44090</v>
      </c>
      <c r="C325" s="1" t="n">
        <v>45800</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50121-2020</t>
        </is>
      </c>
      <c r="B326" s="1" t="n">
        <v>44106</v>
      </c>
      <c r="C326" s="1" t="n">
        <v>45800</v>
      </c>
      <c r="D326" t="inlineStr">
        <is>
          <t>JÄMTLANDS LÄN</t>
        </is>
      </c>
      <c r="E326" t="inlineStr">
        <is>
          <t>ÖSTERSUND</t>
        </is>
      </c>
      <c r="F326" t="inlineStr">
        <is>
          <t>Övriga statliga verk och myndigheter</t>
        </is>
      </c>
      <c r="G326" t="n">
        <v>5.2</v>
      </c>
      <c r="H326" t="n">
        <v>0</v>
      </c>
      <c r="I326" t="n">
        <v>0</v>
      </c>
      <c r="J326" t="n">
        <v>0</v>
      </c>
      <c r="K326" t="n">
        <v>0</v>
      </c>
      <c r="L326" t="n">
        <v>0</v>
      </c>
      <c r="M326" t="n">
        <v>0</v>
      </c>
      <c r="N326" t="n">
        <v>0</v>
      </c>
      <c r="O326" t="n">
        <v>0</v>
      </c>
      <c r="P326" t="n">
        <v>0</v>
      </c>
      <c r="Q326" t="n">
        <v>0</v>
      </c>
      <c r="R326" s="2" t="inlineStr"/>
    </row>
    <row r="327" ht="15" customHeight="1">
      <c r="A327" t="inlineStr">
        <is>
          <t>A 50153-2020</t>
        </is>
      </c>
      <c r="B327" s="1" t="n">
        <v>44106</v>
      </c>
      <c r="C327" s="1" t="n">
        <v>45800</v>
      </c>
      <c r="D327" t="inlineStr">
        <is>
          <t>JÄMTLANDS LÄN</t>
        </is>
      </c>
      <c r="E327" t="inlineStr">
        <is>
          <t>ÖSTERSUND</t>
        </is>
      </c>
      <c r="F327" t="inlineStr">
        <is>
          <t>Övriga statliga verk och myndigheter</t>
        </is>
      </c>
      <c r="G327" t="n">
        <v>4.6</v>
      </c>
      <c r="H327" t="n">
        <v>0</v>
      </c>
      <c r="I327" t="n">
        <v>0</v>
      </c>
      <c r="J327" t="n">
        <v>0</v>
      </c>
      <c r="K327" t="n">
        <v>0</v>
      </c>
      <c r="L327" t="n">
        <v>0</v>
      </c>
      <c r="M327" t="n">
        <v>0</v>
      </c>
      <c r="N327" t="n">
        <v>0</v>
      </c>
      <c r="O327" t="n">
        <v>0</v>
      </c>
      <c r="P327" t="n">
        <v>0</v>
      </c>
      <c r="Q327" t="n">
        <v>0</v>
      </c>
      <c r="R327" s="2" t="inlineStr"/>
    </row>
    <row r="328" ht="15" customHeight="1">
      <c r="A328" t="inlineStr">
        <is>
          <t>A 50144-2020</t>
        </is>
      </c>
      <c r="B328" s="1" t="n">
        <v>44106</v>
      </c>
      <c r="C328" s="1" t="n">
        <v>45800</v>
      </c>
      <c r="D328" t="inlineStr">
        <is>
          <t>JÄMTLANDS LÄN</t>
        </is>
      </c>
      <c r="E328" t="inlineStr">
        <is>
          <t>ÖSTERSUND</t>
        </is>
      </c>
      <c r="F328" t="inlineStr">
        <is>
          <t>Övriga statliga verk och myndigheter</t>
        </is>
      </c>
      <c r="G328" t="n">
        <v>2.2</v>
      </c>
      <c r="H328" t="n">
        <v>0</v>
      </c>
      <c r="I328" t="n">
        <v>0</v>
      </c>
      <c r="J328" t="n">
        <v>0</v>
      </c>
      <c r="K328" t="n">
        <v>0</v>
      </c>
      <c r="L328" t="n">
        <v>0</v>
      </c>
      <c r="M328" t="n">
        <v>0</v>
      </c>
      <c r="N328" t="n">
        <v>0</v>
      </c>
      <c r="O328" t="n">
        <v>0</v>
      </c>
      <c r="P328" t="n">
        <v>0</v>
      </c>
      <c r="Q328" t="n">
        <v>0</v>
      </c>
      <c r="R328" s="2" t="inlineStr"/>
    </row>
    <row r="329" ht="15" customHeight="1">
      <c r="A329" t="inlineStr">
        <is>
          <t>A 50632-2020</t>
        </is>
      </c>
      <c r="B329" s="1" t="n">
        <v>44110</v>
      </c>
      <c r="C329" s="1" t="n">
        <v>45800</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52478-2020</t>
        </is>
      </c>
      <c r="B330" s="1" t="n">
        <v>44113</v>
      </c>
      <c r="C330" s="1" t="n">
        <v>45800</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52535-2020</t>
        </is>
      </c>
      <c r="B331" s="1" t="n">
        <v>44118</v>
      </c>
      <c r="C331" s="1" t="n">
        <v>45800</v>
      </c>
      <c r="D331" t="inlineStr">
        <is>
          <t>JÄMTLANDS LÄN</t>
        </is>
      </c>
      <c r="E331" t="inlineStr">
        <is>
          <t>ÖSTERSUND</t>
        </is>
      </c>
      <c r="G331" t="n">
        <v>2</v>
      </c>
      <c r="H331" t="n">
        <v>0</v>
      </c>
      <c r="I331" t="n">
        <v>0</v>
      </c>
      <c r="J331" t="n">
        <v>0</v>
      </c>
      <c r="K331" t="n">
        <v>0</v>
      </c>
      <c r="L331" t="n">
        <v>0</v>
      </c>
      <c r="M331" t="n">
        <v>0</v>
      </c>
      <c r="N331" t="n">
        <v>0</v>
      </c>
      <c r="O331" t="n">
        <v>0</v>
      </c>
      <c r="P331" t="n">
        <v>0</v>
      </c>
      <c r="Q331" t="n">
        <v>0</v>
      </c>
      <c r="R331" s="2" t="inlineStr"/>
    </row>
    <row r="332" ht="15" customHeight="1">
      <c r="A332" t="inlineStr">
        <is>
          <t>A 52777-2020</t>
        </is>
      </c>
      <c r="B332" s="1" t="n">
        <v>44118</v>
      </c>
      <c r="C332" s="1" t="n">
        <v>45800</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52791-2020</t>
        </is>
      </c>
      <c r="B333" s="1" t="n">
        <v>44118</v>
      </c>
      <c r="C333" s="1" t="n">
        <v>45800</v>
      </c>
      <c r="D333" t="inlineStr">
        <is>
          <t>JÄMTLANDS LÄN</t>
        </is>
      </c>
      <c r="E333" t="inlineStr">
        <is>
          <t>ÖSTERSUND</t>
        </is>
      </c>
      <c r="G333" t="n">
        <v>0.4</v>
      </c>
      <c r="H333" t="n">
        <v>0</v>
      </c>
      <c r="I333" t="n">
        <v>0</v>
      </c>
      <c r="J333" t="n">
        <v>0</v>
      </c>
      <c r="K333" t="n">
        <v>0</v>
      </c>
      <c r="L333" t="n">
        <v>0</v>
      </c>
      <c r="M333" t="n">
        <v>0</v>
      </c>
      <c r="N333" t="n">
        <v>0</v>
      </c>
      <c r="O333" t="n">
        <v>0</v>
      </c>
      <c r="P333" t="n">
        <v>0</v>
      </c>
      <c r="Q333" t="n">
        <v>0</v>
      </c>
      <c r="R333" s="2" t="inlineStr"/>
    </row>
    <row r="334" ht="15" customHeight="1">
      <c r="A334" t="inlineStr">
        <is>
          <t>A 53323-2020</t>
        </is>
      </c>
      <c r="B334" s="1" t="n">
        <v>44123</v>
      </c>
      <c r="C334" s="1" t="n">
        <v>45800</v>
      </c>
      <c r="D334" t="inlineStr">
        <is>
          <t>JÄMTLANDS LÄN</t>
        </is>
      </c>
      <c r="E334" t="inlineStr">
        <is>
          <t>ÖSTERSUND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53967-2020</t>
        </is>
      </c>
      <c r="B335" s="1" t="n">
        <v>44125</v>
      </c>
      <c r="C335" s="1" t="n">
        <v>45800</v>
      </c>
      <c r="D335" t="inlineStr">
        <is>
          <t>JÄMTLANDS LÄN</t>
        </is>
      </c>
      <c r="E335" t="inlineStr">
        <is>
          <t>ÖSTERSUND</t>
        </is>
      </c>
      <c r="G335" t="n">
        <v>25.8</v>
      </c>
      <c r="H335" t="n">
        <v>0</v>
      </c>
      <c r="I335" t="n">
        <v>0</v>
      </c>
      <c r="J335" t="n">
        <v>0</v>
      </c>
      <c r="K335" t="n">
        <v>0</v>
      </c>
      <c r="L335" t="n">
        <v>0</v>
      </c>
      <c r="M335" t="n">
        <v>0</v>
      </c>
      <c r="N335" t="n">
        <v>0</v>
      </c>
      <c r="O335" t="n">
        <v>0</v>
      </c>
      <c r="P335" t="n">
        <v>0</v>
      </c>
      <c r="Q335" t="n">
        <v>0</v>
      </c>
      <c r="R335" s="2" t="inlineStr"/>
    </row>
    <row r="336" ht="15" customHeight="1">
      <c r="A336" t="inlineStr">
        <is>
          <t>A 54539-2020</t>
        </is>
      </c>
      <c r="B336" s="1" t="n">
        <v>44126</v>
      </c>
      <c r="C336" s="1" t="n">
        <v>45800</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54844-2020</t>
        </is>
      </c>
      <c r="B337" s="1" t="n">
        <v>44126</v>
      </c>
      <c r="C337" s="1" t="n">
        <v>45800</v>
      </c>
      <c r="D337" t="inlineStr">
        <is>
          <t>JÄMTLANDS LÄN</t>
        </is>
      </c>
      <c r="E337" t="inlineStr">
        <is>
          <t>ÖSTERSUND</t>
        </is>
      </c>
      <c r="G337" t="n">
        <v>6.9</v>
      </c>
      <c r="H337" t="n">
        <v>0</v>
      </c>
      <c r="I337" t="n">
        <v>0</v>
      </c>
      <c r="J337" t="n">
        <v>0</v>
      </c>
      <c r="K337" t="n">
        <v>0</v>
      </c>
      <c r="L337" t="n">
        <v>0</v>
      </c>
      <c r="M337" t="n">
        <v>0</v>
      </c>
      <c r="N337" t="n">
        <v>0</v>
      </c>
      <c r="O337" t="n">
        <v>0</v>
      </c>
      <c r="P337" t="n">
        <v>0</v>
      </c>
      <c r="Q337" t="n">
        <v>0</v>
      </c>
      <c r="R337" s="2" t="inlineStr"/>
    </row>
    <row r="338" ht="15" customHeight="1">
      <c r="A338" t="inlineStr">
        <is>
          <t>A 56220-2020</t>
        </is>
      </c>
      <c r="B338" s="1" t="n">
        <v>44133</v>
      </c>
      <c r="C338" s="1" t="n">
        <v>45800</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56486-2020</t>
        </is>
      </c>
      <c r="B339" s="1" t="n">
        <v>44137</v>
      </c>
      <c r="C339" s="1" t="n">
        <v>45800</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56636-2020</t>
        </is>
      </c>
      <c r="B340" s="1" t="n">
        <v>44137</v>
      </c>
      <c r="C340" s="1" t="n">
        <v>45800</v>
      </c>
      <c r="D340" t="inlineStr">
        <is>
          <t>JÄMTLANDS LÄN</t>
        </is>
      </c>
      <c r="E340" t="inlineStr">
        <is>
          <t>ÖSTERSUND</t>
        </is>
      </c>
      <c r="F340" t="inlineStr">
        <is>
          <t>Övriga Aktiebolag</t>
        </is>
      </c>
      <c r="G340" t="n">
        <v>16.2</v>
      </c>
      <c r="H340" t="n">
        <v>0</v>
      </c>
      <c r="I340" t="n">
        <v>0</v>
      </c>
      <c r="J340" t="n">
        <v>0</v>
      </c>
      <c r="K340" t="n">
        <v>0</v>
      </c>
      <c r="L340" t="n">
        <v>0</v>
      </c>
      <c r="M340" t="n">
        <v>0</v>
      </c>
      <c r="N340" t="n">
        <v>0</v>
      </c>
      <c r="O340" t="n">
        <v>0</v>
      </c>
      <c r="P340" t="n">
        <v>0</v>
      </c>
      <c r="Q340" t="n">
        <v>0</v>
      </c>
      <c r="R340" s="2" t="inlineStr"/>
    </row>
    <row r="341" ht="15" customHeight="1">
      <c r="A341" t="inlineStr">
        <is>
          <t>A 56642-2020</t>
        </is>
      </c>
      <c r="B341" s="1" t="n">
        <v>44137</v>
      </c>
      <c r="C341" s="1" t="n">
        <v>45800</v>
      </c>
      <c r="D341" t="inlineStr">
        <is>
          <t>JÄMTLANDS LÄN</t>
        </is>
      </c>
      <c r="E341" t="inlineStr">
        <is>
          <t>ÖSTERSUND</t>
        </is>
      </c>
      <c r="F341" t="inlineStr">
        <is>
          <t>Övriga Aktiebolag</t>
        </is>
      </c>
      <c r="G341" t="n">
        <v>6</v>
      </c>
      <c r="H341" t="n">
        <v>0</v>
      </c>
      <c r="I341" t="n">
        <v>0</v>
      </c>
      <c r="J341" t="n">
        <v>0</v>
      </c>
      <c r="K341" t="n">
        <v>0</v>
      </c>
      <c r="L341" t="n">
        <v>0</v>
      </c>
      <c r="M341" t="n">
        <v>0</v>
      </c>
      <c r="N341" t="n">
        <v>0</v>
      </c>
      <c r="O341" t="n">
        <v>0</v>
      </c>
      <c r="P341" t="n">
        <v>0</v>
      </c>
      <c r="Q341" t="n">
        <v>0</v>
      </c>
      <c r="R341" s="2" t="inlineStr"/>
    </row>
    <row r="342" ht="15" customHeight="1">
      <c r="A342" t="inlineStr">
        <is>
          <t>A 57616-2020</t>
        </is>
      </c>
      <c r="B342" s="1" t="n">
        <v>44140</v>
      </c>
      <c r="C342" s="1" t="n">
        <v>45800</v>
      </c>
      <c r="D342" t="inlineStr">
        <is>
          <t>JÄMTLANDS LÄN</t>
        </is>
      </c>
      <c r="E342" t="inlineStr">
        <is>
          <t>ÖSTERSUND</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57624-2020</t>
        </is>
      </c>
      <c r="B343" s="1" t="n">
        <v>44140</v>
      </c>
      <c r="C343" s="1" t="n">
        <v>45800</v>
      </c>
      <c r="D343" t="inlineStr">
        <is>
          <t>JÄMTLANDS LÄN</t>
        </is>
      </c>
      <c r="E343" t="inlineStr">
        <is>
          <t>ÖSTERSUND</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57791-2020</t>
        </is>
      </c>
      <c r="B344" s="1" t="n">
        <v>44141</v>
      </c>
      <c r="C344" s="1" t="n">
        <v>45800</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57771-2020</t>
        </is>
      </c>
      <c r="B345" s="1" t="n">
        <v>44141</v>
      </c>
      <c r="C345" s="1" t="n">
        <v>45800</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60050-2020</t>
        </is>
      </c>
      <c r="B346" s="1" t="n">
        <v>44151</v>
      </c>
      <c r="C346" s="1" t="n">
        <v>45800</v>
      </c>
      <c r="D346" t="inlineStr">
        <is>
          <t>JÄMTLANDS LÄN</t>
        </is>
      </c>
      <c r="E346" t="inlineStr">
        <is>
          <t>ÖSTERSUND</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45800</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63171-2020</t>
        </is>
      </c>
      <c r="B348" s="1" t="n">
        <v>44162</v>
      </c>
      <c r="C348" s="1" t="n">
        <v>45800</v>
      </c>
      <c r="D348" t="inlineStr">
        <is>
          <t>JÄMTLANDS LÄN</t>
        </is>
      </c>
      <c r="E348" t="inlineStr">
        <is>
          <t>ÖSTERSUND</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65410-2020</t>
        </is>
      </c>
      <c r="B349" s="1" t="n">
        <v>44173</v>
      </c>
      <c r="C349" s="1" t="n">
        <v>45800</v>
      </c>
      <c r="D349" t="inlineStr">
        <is>
          <t>JÄMTLANDS LÄN</t>
        </is>
      </c>
      <c r="E349" t="inlineStr">
        <is>
          <t>ÖSTERSUND</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66269-2020</t>
        </is>
      </c>
      <c r="B350" s="1" t="n">
        <v>44174</v>
      </c>
      <c r="C350" s="1" t="n">
        <v>45800</v>
      </c>
      <c r="D350" t="inlineStr">
        <is>
          <t>JÄMTLANDS LÄN</t>
        </is>
      </c>
      <c r="E350" t="inlineStr">
        <is>
          <t>ÖSTERSUND</t>
        </is>
      </c>
      <c r="F350" t="inlineStr">
        <is>
          <t>Övriga statliga verk och myndigheter</t>
        </is>
      </c>
      <c r="G350" t="n">
        <v>10</v>
      </c>
      <c r="H350" t="n">
        <v>0</v>
      </c>
      <c r="I350" t="n">
        <v>0</v>
      </c>
      <c r="J350" t="n">
        <v>0</v>
      </c>
      <c r="K350" t="n">
        <v>0</v>
      </c>
      <c r="L350" t="n">
        <v>0</v>
      </c>
      <c r="M350" t="n">
        <v>0</v>
      </c>
      <c r="N350" t="n">
        <v>0</v>
      </c>
      <c r="O350" t="n">
        <v>0</v>
      </c>
      <c r="P350" t="n">
        <v>0</v>
      </c>
      <c r="Q350" t="n">
        <v>0</v>
      </c>
      <c r="R350" s="2" t="inlineStr"/>
    </row>
    <row r="351" ht="15" customHeight="1">
      <c r="A351" t="inlineStr">
        <is>
          <t>A 66288-2020</t>
        </is>
      </c>
      <c r="B351" s="1" t="n">
        <v>44174</v>
      </c>
      <c r="C351" s="1" t="n">
        <v>45800</v>
      </c>
      <c r="D351" t="inlineStr">
        <is>
          <t>JÄMTLANDS LÄN</t>
        </is>
      </c>
      <c r="E351" t="inlineStr">
        <is>
          <t>ÖSTERSUND</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66286-2020</t>
        </is>
      </c>
      <c r="B352" s="1" t="n">
        <v>44174</v>
      </c>
      <c r="C352" s="1" t="n">
        <v>45800</v>
      </c>
      <c r="D352" t="inlineStr">
        <is>
          <t>JÄMTLANDS LÄN</t>
        </is>
      </c>
      <c r="E352" t="inlineStr">
        <is>
          <t>ÖSTERSUND</t>
        </is>
      </c>
      <c r="F352" t="inlineStr">
        <is>
          <t>Övriga statliga verk och myndigheter</t>
        </is>
      </c>
      <c r="G352" t="n">
        <v>1.1</v>
      </c>
      <c r="H352" t="n">
        <v>0</v>
      </c>
      <c r="I352" t="n">
        <v>0</v>
      </c>
      <c r="J352" t="n">
        <v>0</v>
      </c>
      <c r="K352" t="n">
        <v>0</v>
      </c>
      <c r="L352" t="n">
        <v>0</v>
      </c>
      <c r="M352" t="n">
        <v>0</v>
      </c>
      <c r="N352" t="n">
        <v>0</v>
      </c>
      <c r="O352" t="n">
        <v>0</v>
      </c>
      <c r="P352" t="n">
        <v>0</v>
      </c>
      <c r="Q352" t="n">
        <v>0</v>
      </c>
      <c r="R352" s="2" t="inlineStr"/>
    </row>
    <row r="353" ht="15" customHeight="1">
      <c r="A353" t="inlineStr">
        <is>
          <t>A 67646-2020</t>
        </is>
      </c>
      <c r="B353" s="1" t="n">
        <v>44180</v>
      </c>
      <c r="C353" s="1" t="n">
        <v>45800</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67643-2020</t>
        </is>
      </c>
      <c r="B354" s="1" t="n">
        <v>44180</v>
      </c>
      <c r="C354" s="1" t="n">
        <v>45800</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68408-2020</t>
        </is>
      </c>
      <c r="B355" s="1" t="n">
        <v>44186</v>
      </c>
      <c r="C355" s="1" t="n">
        <v>45800</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68937-2020</t>
        </is>
      </c>
      <c r="B356" s="1" t="n">
        <v>44187</v>
      </c>
      <c r="C356" s="1" t="n">
        <v>45800</v>
      </c>
      <c r="D356" t="inlineStr">
        <is>
          <t>JÄMTLANDS LÄN</t>
        </is>
      </c>
      <c r="E356" t="inlineStr">
        <is>
          <t>ÖSTERSUND</t>
        </is>
      </c>
      <c r="G356" t="n">
        <v>4.7</v>
      </c>
      <c r="H356" t="n">
        <v>0</v>
      </c>
      <c r="I356" t="n">
        <v>0</v>
      </c>
      <c r="J356" t="n">
        <v>0</v>
      </c>
      <c r="K356" t="n">
        <v>0</v>
      </c>
      <c r="L356" t="n">
        <v>0</v>
      </c>
      <c r="M356" t="n">
        <v>0</v>
      </c>
      <c r="N356" t="n">
        <v>0</v>
      </c>
      <c r="O356" t="n">
        <v>0</v>
      </c>
      <c r="P356" t="n">
        <v>0</v>
      </c>
      <c r="Q356" t="n">
        <v>0</v>
      </c>
      <c r="R356" s="2" t="inlineStr"/>
    </row>
    <row r="357" ht="15" customHeight="1">
      <c r="A357" t="inlineStr">
        <is>
          <t>A 126-2021</t>
        </is>
      </c>
      <c r="B357" s="1" t="n">
        <v>44200</v>
      </c>
      <c r="C357" s="1" t="n">
        <v>45800</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501-2021</t>
        </is>
      </c>
      <c r="B358" s="1" t="n">
        <v>44200</v>
      </c>
      <c r="C358" s="1" t="n">
        <v>45800</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1322-2021</t>
        </is>
      </c>
      <c r="B359" s="1" t="n">
        <v>44208</v>
      </c>
      <c r="C359" s="1" t="n">
        <v>45800</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2686-2021</t>
        </is>
      </c>
      <c r="B360" s="1" t="n">
        <v>44214</v>
      </c>
      <c r="C360" s="1" t="n">
        <v>45800</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5460-2021</t>
        </is>
      </c>
      <c r="B361" s="1" t="n">
        <v>44229</v>
      </c>
      <c r="C361" s="1" t="n">
        <v>45800</v>
      </c>
      <c r="D361" t="inlineStr">
        <is>
          <t>JÄMTLANDS LÄN</t>
        </is>
      </c>
      <c r="E361" t="inlineStr">
        <is>
          <t>ÖSTERSUND</t>
        </is>
      </c>
      <c r="G361" t="n">
        <v>14.2</v>
      </c>
      <c r="H361" t="n">
        <v>0</v>
      </c>
      <c r="I361" t="n">
        <v>0</v>
      </c>
      <c r="J361" t="n">
        <v>0</v>
      </c>
      <c r="K361" t="n">
        <v>0</v>
      </c>
      <c r="L361" t="n">
        <v>0</v>
      </c>
      <c r="M361" t="n">
        <v>0</v>
      </c>
      <c r="N361" t="n">
        <v>0</v>
      </c>
      <c r="O361" t="n">
        <v>0</v>
      </c>
      <c r="P361" t="n">
        <v>0</v>
      </c>
      <c r="Q361" t="n">
        <v>0</v>
      </c>
      <c r="R361" s="2" t="inlineStr"/>
    </row>
    <row r="362" ht="15" customHeight="1">
      <c r="A362" t="inlineStr">
        <is>
          <t>A 6578-2021</t>
        </is>
      </c>
      <c r="B362" s="1" t="n">
        <v>44236</v>
      </c>
      <c r="C362" s="1" t="n">
        <v>45800</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8396-2021</t>
        </is>
      </c>
      <c r="B363" s="1" t="n">
        <v>44238</v>
      </c>
      <c r="C363" s="1" t="n">
        <v>45800</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10590-2021</t>
        </is>
      </c>
      <c r="B364" s="1" t="n">
        <v>44258</v>
      </c>
      <c r="C364" s="1" t="n">
        <v>45800</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10911-2021</t>
        </is>
      </c>
      <c r="B365" s="1" t="n">
        <v>44259</v>
      </c>
      <c r="C365" s="1" t="n">
        <v>45800</v>
      </c>
      <c r="D365" t="inlineStr">
        <is>
          <t>JÄMTLANDS LÄN</t>
        </is>
      </c>
      <c r="E365" t="inlineStr">
        <is>
          <t>ÖSTERSUND</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10834-2021</t>
        </is>
      </c>
      <c r="B366" s="1" t="n">
        <v>44259</v>
      </c>
      <c r="C366" s="1" t="n">
        <v>45800</v>
      </c>
      <c r="D366" t="inlineStr">
        <is>
          <t>JÄMTLANDS LÄN</t>
        </is>
      </c>
      <c r="E366" t="inlineStr">
        <is>
          <t>ÖSTERSUND</t>
        </is>
      </c>
      <c r="G366" t="n">
        <v>12.2</v>
      </c>
      <c r="H366" t="n">
        <v>0</v>
      </c>
      <c r="I366" t="n">
        <v>0</v>
      </c>
      <c r="J366" t="n">
        <v>0</v>
      </c>
      <c r="K366" t="n">
        <v>0</v>
      </c>
      <c r="L366" t="n">
        <v>0</v>
      </c>
      <c r="M366" t="n">
        <v>0</v>
      </c>
      <c r="N366" t="n">
        <v>0</v>
      </c>
      <c r="O366" t="n">
        <v>0</v>
      </c>
      <c r="P366" t="n">
        <v>0</v>
      </c>
      <c r="Q366" t="n">
        <v>0</v>
      </c>
      <c r="R366" s="2" t="inlineStr"/>
    </row>
    <row r="367" ht="15" customHeight="1">
      <c r="A367" t="inlineStr">
        <is>
          <t>A 12710-2021</t>
        </is>
      </c>
      <c r="B367" s="1" t="n">
        <v>44270</v>
      </c>
      <c r="C367" s="1" t="n">
        <v>45800</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12705-2021</t>
        </is>
      </c>
      <c r="B368" s="1" t="n">
        <v>44270</v>
      </c>
      <c r="C368" s="1" t="n">
        <v>45800</v>
      </c>
      <c r="D368" t="inlineStr">
        <is>
          <t>JÄMTLANDS LÄN</t>
        </is>
      </c>
      <c r="E368" t="inlineStr">
        <is>
          <t>ÖSTERSUND</t>
        </is>
      </c>
      <c r="G368" t="n">
        <v>3.5</v>
      </c>
      <c r="H368" t="n">
        <v>0</v>
      </c>
      <c r="I368" t="n">
        <v>0</v>
      </c>
      <c r="J368" t="n">
        <v>0</v>
      </c>
      <c r="K368" t="n">
        <v>0</v>
      </c>
      <c r="L368" t="n">
        <v>0</v>
      </c>
      <c r="M368" t="n">
        <v>0</v>
      </c>
      <c r="N368" t="n">
        <v>0</v>
      </c>
      <c r="O368" t="n">
        <v>0</v>
      </c>
      <c r="P368" t="n">
        <v>0</v>
      </c>
      <c r="Q368" t="n">
        <v>0</v>
      </c>
      <c r="R368" s="2" t="inlineStr"/>
    </row>
    <row r="369" ht="15" customHeight="1">
      <c r="A369" t="inlineStr">
        <is>
          <t>A 14155-2021</t>
        </is>
      </c>
      <c r="B369" s="1" t="n">
        <v>44278</v>
      </c>
      <c r="C369" s="1" t="n">
        <v>45800</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15659-2021</t>
        </is>
      </c>
      <c r="B370" s="1" t="n">
        <v>44298</v>
      </c>
      <c r="C370" s="1" t="n">
        <v>45800</v>
      </c>
      <c r="D370" t="inlineStr">
        <is>
          <t>JÄMTLANDS LÄN</t>
        </is>
      </c>
      <c r="E370" t="inlineStr">
        <is>
          <t>ÖSTERSUND</t>
        </is>
      </c>
      <c r="G370" t="n">
        <v>13.3</v>
      </c>
      <c r="H370" t="n">
        <v>0</v>
      </c>
      <c r="I370" t="n">
        <v>0</v>
      </c>
      <c r="J370" t="n">
        <v>0</v>
      </c>
      <c r="K370" t="n">
        <v>0</v>
      </c>
      <c r="L370" t="n">
        <v>0</v>
      </c>
      <c r="M370" t="n">
        <v>0</v>
      </c>
      <c r="N370" t="n">
        <v>0</v>
      </c>
      <c r="O370" t="n">
        <v>0</v>
      </c>
      <c r="P370" t="n">
        <v>0</v>
      </c>
      <c r="Q370" t="n">
        <v>0</v>
      </c>
      <c r="R370" s="2" t="inlineStr"/>
    </row>
    <row r="371" ht="15" customHeight="1">
      <c r="A371" t="inlineStr">
        <is>
          <t>A 17362-2021</t>
        </is>
      </c>
      <c r="B371" s="1" t="n">
        <v>44298</v>
      </c>
      <c r="C371" s="1" t="n">
        <v>45800</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17596-2021</t>
        </is>
      </c>
      <c r="B372" s="1" t="n">
        <v>44299</v>
      </c>
      <c r="C372" s="1" t="n">
        <v>45800</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19541-2021</t>
        </is>
      </c>
      <c r="B373" s="1" t="n">
        <v>44312</v>
      </c>
      <c r="C373" s="1" t="n">
        <v>45800</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20290-2021</t>
        </is>
      </c>
      <c r="B374" s="1" t="n">
        <v>44314</v>
      </c>
      <c r="C374" s="1" t="n">
        <v>45800</v>
      </c>
      <c r="D374" t="inlineStr">
        <is>
          <t>JÄMTLANDS LÄN</t>
        </is>
      </c>
      <c r="E374" t="inlineStr">
        <is>
          <t>ÖSTERSUND</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20620-2021</t>
        </is>
      </c>
      <c r="B375" s="1" t="n">
        <v>44316</v>
      </c>
      <c r="C375" s="1" t="n">
        <v>45800</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21306-2021</t>
        </is>
      </c>
      <c r="B376" s="1" t="n">
        <v>44320</v>
      </c>
      <c r="C376" s="1" t="n">
        <v>45800</v>
      </c>
      <c r="D376" t="inlineStr">
        <is>
          <t>JÄMTLANDS LÄN</t>
        </is>
      </c>
      <c r="E376" t="inlineStr">
        <is>
          <t>ÖSTERSUND</t>
        </is>
      </c>
      <c r="G376" t="n">
        <v>4.5</v>
      </c>
      <c r="H376" t="n">
        <v>0</v>
      </c>
      <c r="I376" t="n">
        <v>0</v>
      </c>
      <c r="J376" t="n">
        <v>0</v>
      </c>
      <c r="K376" t="n">
        <v>0</v>
      </c>
      <c r="L376" t="n">
        <v>0</v>
      </c>
      <c r="M376" t="n">
        <v>0</v>
      </c>
      <c r="N376" t="n">
        <v>0</v>
      </c>
      <c r="O376" t="n">
        <v>0</v>
      </c>
      <c r="P376" t="n">
        <v>0</v>
      </c>
      <c r="Q376" t="n">
        <v>0</v>
      </c>
      <c r="R376" s="2" t="inlineStr"/>
    </row>
    <row r="377" ht="15" customHeight="1">
      <c r="A377" t="inlineStr">
        <is>
          <t>A 21849-2021</t>
        </is>
      </c>
      <c r="B377" s="1" t="n">
        <v>44322</v>
      </c>
      <c r="C377" s="1" t="n">
        <v>45800</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22126-2021</t>
        </is>
      </c>
      <c r="B378" s="1" t="n">
        <v>44323</v>
      </c>
      <c r="C378" s="1" t="n">
        <v>45800</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23187-2021</t>
        </is>
      </c>
      <c r="B379" s="1" t="n">
        <v>44328</v>
      </c>
      <c r="C379" s="1" t="n">
        <v>45800</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23895-2021</t>
        </is>
      </c>
      <c r="B380" s="1" t="n">
        <v>44335</v>
      </c>
      <c r="C380" s="1" t="n">
        <v>45800</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24312-2021</t>
        </is>
      </c>
      <c r="B381" s="1" t="n">
        <v>44336</v>
      </c>
      <c r="C381" s="1" t="n">
        <v>45800</v>
      </c>
      <c r="D381" t="inlineStr">
        <is>
          <t>JÄMTLANDS LÄN</t>
        </is>
      </c>
      <c r="E381" t="inlineStr">
        <is>
          <t>ÖSTERSUND</t>
        </is>
      </c>
      <c r="G381" t="n">
        <v>10.6</v>
      </c>
      <c r="H381" t="n">
        <v>0</v>
      </c>
      <c r="I381" t="n">
        <v>0</v>
      </c>
      <c r="J381" t="n">
        <v>0</v>
      </c>
      <c r="K381" t="n">
        <v>0</v>
      </c>
      <c r="L381" t="n">
        <v>0</v>
      </c>
      <c r="M381" t="n">
        <v>0</v>
      </c>
      <c r="N381" t="n">
        <v>0</v>
      </c>
      <c r="O381" t="n">
        <v>0</v>
      </c>
      <c r="P381" t="n">
        <v>0</v>
      </c>
      <c r="Q381" t="n">
        <v>0</v>
      </c>
      <c r="R381" s="2" t="inlineStr"/>
    </row>
    <row r="382" ht="15" customHeight="1">
      <c r="A382" t="inlineStr">
        <is>
          <t>A 24706-2021</t>
        </is>
      </c>
      <c r="B382" s="1" t="n">
        <v>44340</v>
      </c>
      <c r="C382" s="1" t="n">
        <v>45800</v>
      </c>
      <c r="D382" t="inlineStr">
        <is>
          <t>JÄMTLANDS LÄN</t>
        </is>
      </c>
      <c r="E382" t="inlineStr">
        <is>
          <t>ÖSTERSUND</t>
        </is>
      </c>
      <c r="G382" t="n">
        <v>5.6</v>
      </c>
      <c r="H382" t="n">
        <v>0</v>
      </c>
      <c r="I382" t="n">
        <v>0</v>
      </c>
      <c r="J382" t="n">
        <v>0</v>
      </c>
      <c r="K382" t="n">
        <v>0</v>
      </c>
      <c r="L382" t="n">
        <v>0</v>
      </c>
      <c r="M382" t="n">
        <v>0</v>
      </c>
      <c r="N382" t="n">
        <v>0</v>
      </c>
      <c r="O382" t="n">
        <v>0</v>
      </c>
      <c r="P382" t="n">
        <v>0</v>
      </c>
      <c r="Q382" t="n">
        <v>0</v>
      </c>
      <c r="R382" s="2" t="inlineStr"/>
    </row>
    <row r="383" ht="15" customHeight="1">
      <c r="A383" t="inlineStr">
        <is>
          <t>A 24721-2021</t>
        </is>
      </c>
      <c r="B383" s="1" t="n">
        <v>44340</v>
      </c>
      <c r="C383" s="1" t="n">
        <v>45800</v>
      </c>
      <c r="D383" t="inlineStr">
        <is>
          <t>JÄMTLANDS LÄN</t>
        </is>
      </c>
      <c r="E383" t="inlineStr">
        <is>
          <t>ÖSTERSUND</t>
        </is>
      </c>
      <c r="G383" t="n">
        <v>2.7</v>
      </c>
      <c r="H383" t="n">
        <v>0</v>
      </c>
      <c r="I383" t="n">
        <v>0</v>
      </c>
      <c r="J383" t="n">
        <v>0</v>
      </c>
      <c r="K383" t="n">
        <v>0</v>
      </c>
      <c r="L383" t="n">
        <v>0</v>
      </c>
      <c r="M383" t="n">
        <v>0</v>
      </c>
      <c r="N383" t="n">
        <v>0</v>
      </c>
      <c r="O383" t="n">
        <v>0</v>
      </c>
      <c r="P383" t="n">
        <v>0</v>
      </c>
      <c r="Q383" t="n">
        <v>0</v>
      </c>
      <c r="R383" s="2" t="inlineStr"/>
    </row>
    <row r="384" ht="15" customHeight="1">
      <c r="A384" t="inlineStr">
        <is>
          <t>A 26254-2021</t>
        </is>
      </c>
      <c r="B384" s="1" t="n">
        <v>44347</v>
      </c>
      <c r="C384" s="1" t="n">
        <v>45800</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26259-2021</t>
        </is>
      </c>
      <c r="B385" s="1" t="n">
        <v>44347</v>
      </c>
      <c r="C385" s="1" t="n">
        <v>45800</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27061-2021</t>
        </is>
      </c>
      <c r="B386" s="1" t="n">
        <v>44349</v>
      </c>
      <c r="C386" s="1" t="n">
        <v>45800</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27004-2021</t>
        </is>
      </c>
      <c r="B387" s="1" t="n">
        <v>44349</v>
      </c>
      <c r="C387" s="1" t="n">
        <v>45800</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29582-2021</t>
        </is>
      </c>
      <c r="B388" s="1" t="n">
        <v>44362</v>
      </c>
      <c r="C388" s="1" t="n">
        <v>45800</v>
      </c>
      <c r="D388" t="inlineStr">
        <is>
          <t>JÄMTLANDS LÄN</t>
        </is>
      </c>
      <c r="E388" t="inlineStr">
        <is>
          <t>ÖSTERSUND</t>
        </is>
      </c>
      <c r="G388" t="n">
        <v>31.5</v>
      </c>
      <c r="H388" t="n">
        <v>0</v>
      </c>
      <c r="I388" t="n">
        <v>0</v>
      </c>
      <c r="J388" t="n">
        <v>0</v>
      </c>
      <c r="K388" t="n">
        <v>0</v>
      </c>
      <c r="L388" t="n">
        <v>0</v>
      </c>
      <c r="M388" t="n">
        <v>0</v>
      </c>
      <c r="N388" t="n">
        <v>0</v>
      </c>
      <c r="O388" t="n">
        <v>0</v>
      </c>
      <c r="P388" t="n">
        <v>0</v>
      </c>
      <c r="Q388" t="n">
        <v>0</v>
      </c>
      <c r="R388" s="2" t="inlineStr"/>
    </row>
    <row r="389" ht="15" customHeight="1">
      <c r="A389" t="inlineStr">
        <is>
          <t>A 29707-2021</t>
        </is>
      </c>
      <c r="B389" s="1" t="n">
        <v>44362</v>
      </c>
      <c r="C389" s="1" t="n">
        <v>45800</v>
      </c>
      <c r="D389" t="inlineStr">
        <is>
          <t>JÄMTLANDS LÄN</t>
        </is>
      </c>
      <c r="E389" t="inlineStr">
        <is>
          <t>ÖSTERSUND</t>
        </is>
      </c>
      <c r="G389" t="n">
        <v>4</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45800</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32994-2021</t>
        </is>
      </c>
      <c r="B391" s="1" t="n">
        <v>44375</v>
      </c>
      <c r="C391" s="1" t="n">
        <v>45800</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33004-2021</t>
        </is>
      </c>
      <c r="B392" s="1" t="n">
        <v>44375</v>
      </c>
      <c r="C392" s="1" t="n">
        <v>45800</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32998-2021</t>
        </is>
      </c>
      <c r="B393" s="1" t="n">
        <v>44375</v>
      </c>
      <c r="C393" s="1" t="n">
        <v>45800</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32986-2021</t>
        </is>
      </c>
      <c r="B394" s="1" t="n">
        <v>44375</v>
      </c>
      <c r="C394" s="1" t="n">
        <v>45800</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33002-2021</t>
        </is>
      </c>
      <c r="B395" s="1" t="n">
        <v>44375</v>
      </c>
      <c r="C395" s="1" t="n">
        <v>45800</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32990-2021</t>
        </is>
      </c>
      <c r="B396" s="1" t="n">
        <v>44375</v>
      </c>
      <c r="C396" s="1" t="n">
        <v>45800</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33831-2021</t>
        </is>
      </c>
      <c r="B397" s="1" t="n">
        <v>44378</v>
      </c>
      <c r="C397" s="1" t="n">
        <v>45800</v>
      </c>
      <c r="D397" t="inlineStr">
        <is>
          <t>JÄMTLANDS LÄN</t>
        </is>
      </c>
      <c r="E397" t="inlineStr">
        <is>
          <t>ÖSTERSUND</t>
        </is>
      </c>
      <c r="G397" t="n">
        <v>2.5</v>
      </c>
      <c r="H397" t="n">
        <v>0</v>
      </c>
      <c r="I397" t="n">
        <v>0</v>
      </c>
      <c r="J397" t="n">
        <v>0</v>
      </c>
      <c r="K397" t="n">
        <v>0</v>
      </c>
      <c r="L397" t="n">
        <v>0</v>
      </c>
      <c r="M397" t="n">
        <v>0</v>
      </c>
      <c r="N397" t="n">
        <v>0</v>
      </c>
      <c r="O397" t="n">
        <v>0</v>
      </c>
      <c r="P397" t="n">
        <v>0</v>
      </c>
      <c r="Q397" t="n">
        <v>0</v>
      </c>
      <c r="R397" s="2" t="inlineStr"/>
    </row>
    <row r="398" ht="15" customHeight="1">
      <c r="A398" t="inlineStr">
        <is>
          <t>A 35032-2021</t>
        </is>
      </c>
      <c r="B398" s="1" t="n">
        <v>44383</v>
      </c>
      <c r="C398" s="1" t="n">
        <v>45800</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35755-2021</t>
        </is>
      </c>
      <c r="B399" s="1" t="n">
        <v>44385</v>
      </c>
      <c r="C399" s="1" t="n">
        <v>45800</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38142-2021</t>
        </is>
      </c>
      <c r="B400" s="1" t="n">
        <v>44405</v>
      </c>
      <c r="C400" s="1" t="n">
        <v>45800</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38647-2021</t>
        </is>
      </c>
      <c r="B401" s="1" t="n">
        <v>44410</v>
      </c>
      <c r="C401" s="1" t="n">
        <v>45800</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v>
      </c>
      <c r="C402" s="1" t="n">
        <v>45800</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39735-2021</t>
        </is>
      </c>
      <c r="B403" s="1" t="n">
        <v>44414</v>
      </c>
      <c r="C403" s="1" t="n">
        <v>45800</v>
      </c>
      <c r="D403" t="inlineStr">
        <is>
          <t>JÄMTLANDS LÄN</t>
        </is>
      </c>
      <c r="E403" t="inlineStr">
        <is>
          <t>ÖSTERSUND</t>
        </is>
      </c>
      <c r="G403" t="n">
        <v>4.5</v>
      </c>
      <c r="H403" t="n">
        <v>0</v>
      </c>
      <c r="I403" t="n">
        <v>0</v>
      </c>
      <c r="J403" t="n">
        <v>0</v>
      </c>
      <c r="K403" t="n">
        <v>0</v>
      </c>
      <c r="L403" t="n">
        <v>0</v>
      </c>
      <c r="M403" t="n">
        <v>0</v>
      </c>
      <c r="N403" t="n">
        <v>0</v>
      </c>
      <c r="O403" t="n">
        <v>0</v>
      </c>
      <c r="P403" t="n">
        <v>0</v>
      </c>
      <c r="Q403" t="n">
        <v>0</v>
      </c>
      <c r="R403" s="2" t="inlineStr"/>
    </row>
    <row r="404" ht="15" customHeight="1">
      <c r="A404" t="inlineStr">
        <is>
          <t>A 40038-2021</t>
        </is>
      </c>
      <c r="B404" s="1" t="n">
        <v>44418</v>
      </c>
      <c r="C404" s="1" t="n">
        <v>45800</v>
      </c>
      <c r="D404" t="inlineStr">
        <is>
          <t>JÄMTLANDS LÄN</t>
        </is>
      </c>
      <c r="E404" t="inlineStr">
        <is>
          <t>ÖSTERSUND</t>
        </is>
      </c>
      <c r="G404" t="n">
        <v>7</v>
      </c>
      <c r="H404" t="n">
        <v>0</v>
      </c>
      <c r="I404" t="n">
        <v>0</v>
      </c>
      <c r="J404" t="n">
        <v>0</v>
      </c>
      <c r="K404" t="n">
        <v>0</v>
      </c>
      <c r="L404" t="n">
        <v>0</v>
      </c>
      <c r="M404" t="n">
        <v>0</v>
      </c>
      <c r="N404" t="n">
        <v>0</v>
      </c>
      <c r="O404" t="n">
        <v>0</v>
      </c>
      <c r="P404" t="n">
        <v>0</v>
      </c>
      <c r="Q404" t="n">
        <v>0</v>
      </c>
      <c r="R404" s="2" t="inlineStr"/>
    </row>
    <row r="405" ht="15" customHeight="1">
      <c r="A405" t="inlineStr">
        <is>
          <t>A 41802-2021</t>
        </is>
      </c>
      <c r="B405" s="1" t="n">
        <v>44425</v>
      </c>
      <c r="C405" s="1" t="n">
        <v>45800</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42469-2021</t>
        </is>
      </c>
      <c r="B406" s="1" t="n">
        <v>44427</v>
      </c>
      <c r="C406" s="1" t="n">
        <v>45800</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42793-2021</t>
        </is>
      </c>
      <c r="B407" s="1" t="n">
        <v>44428</v>
      </c>
      <c r="C407" s="1" t="n">
        <v>45800</v>
      </c>
      <c r="D407" t="inlineStr">
        <is>
          <t>JÄMTLANDS LÄN</t>
        </is>
      </c>
      <c r="E407" t="inlineStr">
        <is>
          <t>ÖSTERSUND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42832-2021</t>
        </is>
      </c>
      <c r="B408" s="1" t="n">
        <v>44430</v>
      </c>
      <c r="C408" s="1" t="n">
        <v>45800</v>
      </c>
      <c r="D408" t="inlineStr">
        <is>
          <t>JÄMTLANDS LÄN</t>
        </is>
      </c>
      <c r="E408" t="inlineStr">
        <is>
          <t>ÖSTERSUND</t>
        </is>
      </c>
      <c r="G408" t="n">
        <v>9</v>
      </c>
      <c r="H408" t="n">
        <v>0</v>
      </c>
      <c r="I408" t="n">
        <v>0</v>
      </c>
      <c r="J408" t="n">
        <v>0</v>
      </c>
      <c r="K408" t="n">
        <v>0</v>
      </c>
      <c r="L408" t="n">
        <v>0</v>
      </c>
      <c r="M408" t="n">
        <v>0</v>
      </c>
      <c r="N408" t="n">
        <v>0</v>
      </c>
      <c r="O408" t="n">
        <v>0</v>
      </c>
      <c r="P408" t="n">
        <v>0</v>
      </c>
      <c r="Q408" t="n">
        <v>0</v>
      </c>
      <c r="R408" s="2" t="inlineStr"/>
    </row>
    <row r="409" ht="15" customHeight="1">
      <c r="A409" t="inlineStr">
        <is>
          <t>A 43310-2021</t>
        </is>
      </c>
      <c r="B409" s="1" t="n">
        <v>44432</v>
      </c>
      <c r="C409" s="1" t="n">
        <v>45800</v>
      </c>
      <c r="D409" t="inlineStr">
        <is>
          <t>JÄMTLANDS LÄN</t>
        </is>
      </c>
      <c r="E409" t="inlineStr">
        <is>
          <t>ÖSTERSUND</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44013-2021</t>
        </is>
      </c>
      <c r="B410" s="1" t="n">
        <v>44434</v>
      </c>
      <c r="C410" s="1" t="n">
        <v>45800</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44051-2021</t>
        </is>
      </c>
      <c r="B411" s="1" t="n">
        <v>44434</v>
      </c>
      <c r="C411" s="1" t="n">
        <v>45800</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44267-2021</t>
        </is>
      </c>
      <c r="B412" s="1" t="n">
        <v>44434</v>
      </c>
      <c r="C412" s="1" t="n">
        <v>45800</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46002-2021</t>
        </is>
      </c>
      <c r="B413" s="1" t="n">
        <v>44441</v>
      </c>
      <c r="C413" s="1" t="n">
        <v>45800</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46004-2021</t>
        </is>
      </c>
      <c r="B414" s="1" t="n">
        <v>44441</v>
      </c>
      <c r="C414" s="1" t="n">
        <v>45800</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46111-2021</t>
        </is>
      </c>
      <c r="B415" s="1" t="n">
        <v>44441</v>
      </c>
      <c r="C415" s="1" t="n">
        <v>45800</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45800</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48947-2021</t>
        </is>
      </c>
      <c r="B417" s="1" t="n">
        <v>44453</v>
      </c>
      <c r="C417" s="1" t="n">
        <v>45800</v>
      </c>
      <c r="D417" t="inlineStr">
        <is>
          <t>JÄMTLANDS LÄN</t>
        </is>
      </c>
      <c r="E417" t="inlineStr">
        <is>
          <t>ÖSTERSUND</t>
        </is>
      </c>
      <c r="G417" t="n">
        <v>22.3</v>
      </c>
      <c r="H417" t="n">
        <v>0</v>
      </c>
      <c r="I417" t="n">
        <v>0</v>
      </c>
      <c r="J417" t="n">
        <v>0</v>
      </c>
      <c r="K417" t="n">
        <v>0</v>
      </c>
      <c r="L417" t="n">
        <v>0</v>
      </c>
      <c r="M417" t="n">
        <v>0</v>
      </c>
      <c r="N417" t="n">
        <v>0</v>
      </c>
      <c r="O417" t="n">
        <v>0</v>
      </c>
      <c r="P417" t="n">
        <v>0</v>
      </c>
      <c r="Q417" t="n">
        <v>0</v>
      </c>
      <c r="R417" s="2" t="inlineStr"/>
    </row>
    <row r="418" ht="15" customHeight="1">
      <c r="A418" t="inlineStr">
        <is>
          <t>A 52913-2021</t>
        </is>
      </c>
      <c r="B418" s="1" t="n">
        <v>44466</v>
      </c>
      <c r="C418" s="1" t="n">
        <v>45800</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55302-2021</t>
        </is>
      </c>
      <c r="B419" s="1" t="n">
        <v>44475</v>
      </c>
      <c r="C419" s="1" t="n">
        <v>45800</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61631-2021</t>
        </is>
      </c>
      <c r="B420" s="1" t="n">
        <v>44501</v>
      </c>
      <c r="C420" s="1" t="n">
        <v>45800</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64092-2021</t>
        </is>
      </c>
      <c r="B421" s="1" t="n">
        <v>44510</v>
      </c>
      <c r="C421" s="1" t="n">
        <v>45800</v>
      </c>
      <c r="D421" t="inlineStr">
        <is>
          <t>JÄMTLANDS LÄN</t>
        </is>
      </c>
      <c r="E421" t="inlineStr">
        <is>
          <t>ÖSTERSUND</t>
        </is>
      </c>
      <c r="G421" t="n">
        <v>5.6</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v>
      </c>
      <c r="C422" s="1" t="n">
        <v>45800</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65428-2021</t>
        </is>
      </c>
      <c r="B423" s="1" t="n">
        <v>44515</v>
      </c>
      <c r="C423" s="1" t="n">
        <v>45800</v>
      </c>
      <c r="D423" t="inlineStr">
        <is>
          <t>JÄMTLANDS LÄN</t>
        </is>
      </c>
      <c r="E423" t="inlineStr">
        <is>
          <t>ÖSTERSUND</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65866-2021</t>
        </is>
      </c>
      <c r="B424" s="1" t="n">
        <v>44516</v>
      </c>
      <c r="C424" s="1" t="n">
        <v>45800</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65991-2021</t>
        </is>
      </c>
      <c r="B425" s="1" t="n">
        <v>44517</v>
      </c>
      <c r="C425" s="1" t="n">
        <v>45800</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66940-2021</t>
        </is>
      </c>
      <c r="B426" s="1" t="n">
        <v>44522</v>
      </c>
      <c r="C426" s="1" t="n">
        <v>45800</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67695-2021</t>
        </is>
      </c>
      <c r="B427" s="1" t="n">
        <v>44524</v>
      </c>
      <c r="C427" s="1" t="n">
        <v>45800</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67694-2021</t>
        </is>
      </c>
      <c r="B428" s="1" t="n">
        <v>44524</v>
      </c>
      <c r="C428" s="1" t="n">
        <v>45800</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69190-2021</t>
        </is>
      </c>
      <c r="B429" s="1" t="n">
        <v>44529</v>
      </c>
      <c r="C429" s="1" t="n">
        <v>45800</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70256-2021</t>
        </is>
      </c>
      <c r="B430" s="1" t="n">
        <v>44533</v>
      </c>
      <c r="C430" s="1" t="n">
        <v>45800</v>
      </c>
      <c r="D430" t="inlineStr">
        <is>
          <t>JÄMTLANDS LÄN</t>
        </is>
      </c>
      <c r="E430" t="inlineStr">
        <is>
          <t>ÖSTERSUND</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70678-2021</t>
        </is>
      </c>
      <c r="B431" s="1" t="n">
        <v>44537</v>
      </c>
      <c r="C431" s="1" t="n">
        <v>45800</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70816-2021</t>
        </is>
      </c>
      <c r="B432" s="1" t="n">
        <v>44537</v>
      </c>
      <c r="C432" s="1" t="n">
        <v>45800</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71823-2021</t>
        </is>
      </c>
      <c r="B433" s="1" t="n">
        <v>44539</v>
      </c>
      <c r="C433" s="1" t="n">
        <v>45800</v>
      </c>
      <c r="D433" t="inlineStr">
        <is>
          <t>JÄMTLANDS LÄN</t>
        </is>
      </c>
      <c r="E433" t="inlineStr">
        <is>
          <t>ÖSTERSUND</t>
        </is>
      </c>
      <c r="G433" t="n">
        <v>10.5</v>
      </c>
      <c r="H433" t="n">
        <v>0</v>
      </c>
      <c r="I433" t="n">
        <v>0</v>
      </c>
      <c r="J433" t="n">
        <v>0</v>
      </c>
      <c r="K433" t="n">
        <v>0</v>
      </c>
      <c r="L433" t="n">
        <v>0</v>
      </c>
      <c r="M433" t="n">
        <v>0</v>
      </c>
      <c r="N433" t="n">
        <v>0</v>
      </c>
      <c r="O433" t="n">
        <v>0</v>
      </c>
      <c r="P433" t="n">
        <v>0</v>
      </c>
      <c r="Q433" t="n">
        <v>0</v>
      </c>
      <c r="R433" s="2" t="inlineStr"/>
    </row>
    <row r="434" ht="15" customHeight="1">
      <c r="A434" t="inlineStr">
        <is>
          <t>A 72089-2021</t>
        </is>
      </c>
      <c r="B434" s="1" t="n">
        <v>44540</v>
      </c>
      <c r="C434" s="1" t="n">
        <v>45800</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72041-2021</t>
        </is>
      </c>
      <c r="B435" s="1" t="n">
        <v>44540</v>
      </c>
      <c r="C435" s="1" t="n">
        <v>45800</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72258-2021</t>
        </is>
      </c>
      <c r="B436" s="1" t="n">
        <v>44540</v>
      </c>
      <c r="C436" s="1" t="n">
        <v>45800</v>
      </c>
      <c r="D436" t="inlineStr">
        <is>
          <t>JÄMTLANDS LÄN</t>
        </is>
      </c>
      <c r="E436" t="inlineStr">
        <is>
          <t>ÖSTERSUND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72061-2021</t>
        </is>
      </c>
      <c r="B437" s="1" t="n">
        <v>44540</v>
      </c>
      <c r="C437" s="1" t="n">
        <v>45800</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71956-2021</t>
        </is>
      </c>
      <c r="B438" s="1" t="n">
        <v>44544</v>
      </c>
      <c r="C438" s="1" t="n">
        <v>45800</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72938-2021</t>
        </is>
      </c>
      <c r="B439" s="1" t="n">
        <v>44547</v>
      </c>
      <c r="C439" s="1" t="n">
        <v>45800</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73078-2021</t>
        </is>
      </c>
      <c r="B440" s="1" t="n">
        <v>44550</v>
      </c>
      <c r="C440" s="1" t="n">
        <v>45800</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73066-2021</t>
        </is>
      </c>
      <c r="B441" s="1" t="n">
        <v>44550</v>
      </c>
      <c r="C441" s="1" t="n">
        <v>45800</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73875-2021</t>
        </is>
      </c>
      <c r="B442" s="1" t="n">
        <v>44553</v>
      </c>
      <c r="C442" s="1" t="n">
        <v>45800</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73870-2021</t>
        </is>
      </c>
      <c r="B443" s="1" t="n">
        <v>44553</v>
      </c>
      <c r="C443" s="1" t="n">
        <v>45800</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154-2022</t>
        </is>
      </c>
      <c r="B444" s="1" t="n">
        <v>44561</v>
      </c>
      <c r="C444" s="1" t="n">
        <v>45800</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231-2022</t>
        </is>
      </c>
      <c r="B445" s="1" t="n">
        <v>44564</v>
      </c>
      <c r="C445" s="1" t="n">
        <v>45800</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681-2022</t>
        </is>
      </c>
      <c r="B446" s="1" t="n">
        <v>44566</v>
      </c>
      <c r="C446" s="1" t="n">
        <v>45800</v>
      </c>
      <c r="D446" t="inlineStr">
        <is>
          <t>JÄMTLANDS LÄN</t>
        </is>
      </c>
      <c r="E446" t="inlineStr">
        <is>
          <t>ÖSTERSUND</t>
        </is>
      </c>
      <c r="G446" t="n">
        <v>2.3</v>
      </c>
      <c r="H446" t="n">
        <v>0</v>
      </c>
      <c r="I446" t="n">
        <v>0</v>
      </c>
      <c r="J446" t="n">
        <v>0</v>
      </c>
      <c r="K446" t="n">
        <v>0</v>
      </c>
      <c r="L446" t="n">
        <v>0</v>
      </c>
      <c r="M446" t="n">
        <v>0</v>
      </c>
      <c r="N446" t="n">
        <v>0</v>
      </c>
      <c r="O446" t="n">
        <v>0</v>
      </c>
      <c r="P446" t="n">
        <v>0</v>
      </c>
      <c r="Q446" t="n">
        <v>0</v>
      </c>
      <c r="R446" s="2" t="inlineStr"/>
    </row>
    <row r="447" ht="15" customHeight="1">
      <c r="A447" t="inlineStr">
        <is>
          <t>A 695-2022</t>
        </is>
      </c>
      <c r="B447" s="1" t="n">
        <v>44566</v>
      </c>
      <c r="C447" s="1" t="n">
        <v>45800</v>
      </c>
      <c r="D447" t="inlineStr">
        <is>
          <t>JÄMTLANDS LÄN</t>
        </is>
      </c>
      <c r="E447" t="inlineStr">
        <is>
          <t>ÖSTERSUND</t>
        </is>
      </c>
      <c r="G447" t="n">
        <v>14.9</v>
      </c>
      <c r="H447" t="n">
        <v>0</v>
      </c>
      <c r="I447" t="n">
        <v>0</v>
      </c>
      <c r="J447" t="n">
        <v>0</v>
      </c>
      <c r="K447" t="n">
        <v>0</v>
      </c>
      <c r="L447" t="n">
        <v>0</v>
      </c>
      <c r="M447" t="n">
        <v>0</v>
      </c>
      <c r="N447" t="n">
        <v>0</v>
      </c>
      <c r="O447" t="n">
        <v>0</v>
      </c>
      <c r="P447" t="n">
        <v>0</v>
      </c>
      <c r="Q447" t="n">
        <v>0</v>
      </c>
      <c r="R447" s="2" t="inlineStr"/>
    </row>
    <row r="448" ht="15" customHeight="1">
      <c r="A448" t="inlineStr">
        <is>
          <t>A 2431-2022</t>
        </is>
      </c>
      <c r="B448" s="1" t="n">
        <v>44579</v>
      </c>
      <c r="C448" s="1" t="n">
        <v>45800</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2763-2022</t>
        </is>
      </c>
      <c r="B449" s="1" t="n">
        <v>44580</v>
      </c>
      <c r="C449" s="1" t="n">
        <v>45800</v>
      </c>
      <c r="D449" t="inlineStr">
        <is>
          <t>JÄMTLANDS LÄN</t>
        </is>
      </c>
      <c r="E449" t="inlineStr">
        <is>
          <t>ÖSTERSUND</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2880-2022</t>
        </is>
      </c>
      <c r="B450" s="1" t="n">
        <v>44581</v>
      </c>
      <c r="C450" s="1" t="n">
        <v>45800</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3016-2022</t>
        </is>
      </c>
      <c r="B451" s="1" t="n">
        <v>44581</v>
      </c>
      <c r="C451" s="1" t="n">
        <v>45800</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5145-2022</t>
        </is>
      </c>
      <c r="B452" s="1" t="n">
        <v>44594</v>
      </c>
      <c r="C452" s="1" t="n">
        <v>45800</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5670-2022</t>
        </is>
      </c>
      <c r="B453" s="1" t="n">
        <v>44595</v>
      </c>
      <c r="C453" s="1" t="n">
        <v>45800</v>
      </c>
      <c r="D453" t="inlineStr">
        <is>
          <t>JÄMTLANDS LÄN</t>
        </is>
      </c>
      <c r="E453" t="inlineStr">
        <is>
          <t>ÖSTERSUND</t>
        </is>
      </c>
      <c r="G453" t="n">
        <v>2.7</v>
      </c>
      <c r="H453" t="n">
        <v>0</v>
      </c>
      <c r="I453" t="n">
        <v>0</v>
      </c>
      <c r="J453" t="n">
        <v>0</v>
      </c>
      <c r="K453" t="n">
        <v>0</v>
      </c>
      <c r="L453" t="n">
        <v>0</v>
      </c>
      <c r="M453" t="n">
        <v>0</v>
      </c>
      <c r="N453" t="n">
        <v>0</v>
      </c>
      <c r="O453" t="n">
        <v>0</v>
      </c>
      <c r="P453" t="n">
        <v>0</v>
      </c>
      <c r="Q453" t="n">
        <v>0</v>
      </c>
      <c r="R453" s="2" t="inlineStr"/>
    </row>
    <row r="454" ht="15" customHeight="1">
      <c r="A454" t="inlineStr">
        <is>
          <t>A 6013-2022</t>
        </is>
      </c>
      <c r="B454" s="1" t="n">
        <v>44599</v>
      </c>
      <c r="C454" s="1" t="n">
        <v>45800</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6458-2022</t>
        </is>
      </c>
      <c r="B455" s="1" t="n">
        <v>44601</v>
      </c>
      <c r="C455" s="1" t="n">
        <v>45800</v>
      </c>
      <c r="D455" t="inlineStr">
        <is>
          <t>JÄMTLANDS LÄN</t>
        </is>
      </c>
      <c r="E455" t="inlineStr">
        <is>
          <t>ÖSTERSUND</t>
        </is>
      </c>
      <c r="G455" t="n">
        <v>3.1</v>
      </c>
      <c r="H455" t="n">
        <v>0</v>
      </c>
      <c r="I455" t="n">
        <v>0</v>
      </c>
      <c r="J455" t="n">
        <v>0</v>
      </c>
      <c r="K455" t="n">
        <v>0</v>
      </c>
      <c r="L455" t="n">
        <v>0</v>
      </c>
      <c r="M455" t="n">
        <v>0</v>
      </c>
      <c r="N455" t="n">
        <v>0</v>
      </c>
      <c r="O455" t="n">
        <v>0</v>
      </c>
      <c r="P455" t="n">
        <v>0</v>
      </c>
      <c r="Q455" t="n">
        <v>0</v>
      </c>
      <c r="R455" s="2" t="inlineStr"/>
    </row>
    <row r="456" ht="15" customHeight="1">
      <c r="A456" t="inlineStr">
        <is>
          <t>A 7573-2022</t>
        </is>
      </c>
      <c r="B456" s="1" t="n">
        <v>44607</v>
      </c>
      <c r="C456" s="1" t="n">
        <v>45800</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8027-2022</t>
        </is>
      </c>
      <c r="B457" s="1" t="n">
        <v>44609</v>
      </c>
      <c r="C457" s="1" t="n">
        <v>45800</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8227-2022</t>
        </is>
      </c>
      <c r="B458" s="1" t="n">
        <v>44609</v>
      </c>
      <c r="C458" s="1" t="n">
        <v>45800</v>
      </c>
      <c r="D458" t="inlineStr">
        <is>
          <t>JÄMTLANDS LÄN</t>
        </is>
      </c>
      <c r="E458" t="inlineStr">
        <is>
          <t>ÖSTERSUND</t>
        </is>
      </c>
      <c r="G458" t="n">
        <v>6.6</v>
      </c>
      <c r="H458" t="n">
        <v>0</v>
      </c>
      <c r="I458" t="n">
        <v>0</v>
      </c>
      <c r="J458" t="n">
        <v>0</v>
      </c>
      <c r="K458" t="n">
        <v>0</v>
      </c>
      <c r="L458" t="n">
        <v>0</v>
      </c>
      <c r="M458" t="n">
        <v>0</v>
      </c>
      <c r="N458" t="n">
        <v>0</v>
      </c>
      <c r="O458" t="n">
        <v>0</v>
      </c>
      <c r="P458" t="n">
        <v>0</v>
      </c>
      <c r="Q458" t="n">
        <v>0</v>
      </c>
      <c r="R458" s="2" t="inlineStr"/>
    </row>
    <row r="459" ht="15" customHeight="1">
      <c r="A459" t="inlineStr">
        <is>
          <t>A 8647-2022</t>
        </is>
      </c>
      <c r="B459" s="1" t="n">
        <v>44613</v>
      </c>
      <c r="C459" s="1" t="n">
        <v>45800</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8972-2022</t>
        </is>
      </c>
      <c r="B460" s="1" t="n">
        <v>44614</v>
      </c>
      <c r="C460" s="1" t="n">
        <v>45800</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11740-2022</t>
        </is>
      </c>
      <c r="B461" s="1" t="n">
        <v>44634</v>
      </c>
      <c r="C461" s="1" t="n">
        <v>45800</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11933-2022</t>
        </is>
      </c>
      <c r="B462" s="1" t="n">
        <v>44635</v>
      </c>
      <c r="C462" s="1" t="n">
        <v>45800</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12301-2022</t>
        </is>
      </c>
      <c r="B463" s="1" t="n">
        <v>44637</v>
      </c>
      <c r="C463" s="1" t="n">
        <v>45800</v>
      </c>
      <c r="D463" t="inlineStr">
        <is>
          <t>JÄMTLANDS LÄN</t>
        </is>
      </c>
      <c r="E463" t="inlineStr">
        <is>
          <t>ÖSTERSUND</t>
        </is>
      </c>
      <c r="G463" t="n">
        <v>5.8</v>
      </c>
      <c r="H463" t="n">
        <v>0</v>
      </c>
      <c r="I463" t="n">
        <v>0</v>
      </c>
      <c r="J463" t="n">
        <v>0</v>
      </c>
      <c r="K463" t="n">
        <v>0</v>
      </c>
      <c r="L463" t="n">
        <v>0</v>
      </c>
      <c r="M463" t="n">
        <v>0</v>
      </c>
      <c r="N463" t="n">
        <v>0</v>
      </c>
      <c r="O463" t="n">
        <v>0</v>
      </c>
      <c r="P463" t="n">
        <v>0</v>
      </c>
      <c r="Q463" t="n">
        <v>0</v>
      </c>
      <c r="R463" s="2" t="inlineStr"/>
    </row>
    <row r="464" ht="15" customHeight="1">
      <c r="A464" t="inlineStr">
        <is>
          <t>A 12285-2022</t>
        </is>
      </c>
      <c r="B464" s="1" t="n">
        <v>44637</v>
      </c>
      <c r="C464" s="1" t="n">
        <v>45800</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v>
      </c>
      <c r="C465" s="1" t="n">
        <v>45800</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13024-2022</t>
        </is>
      </c>
      <c r="B466" s="1" t="n">
        <v>44643</v>
      </c>
      <c r="C466" s="1" t="n">
        <v>45800</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14653-2022</t>
        </is>
      </c>
      <c r="B467" s="1" t="n">
        <v>44655</v>
      </c>
      <c r="C467" s="1" t="n">
        <v>45800</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14657-2022</t>
        </is>
      </c>
      <c r="B468" s="1" t="n">
        <v>44655</v>
      </c>
      <c r="C468" s="1" t="n">
        <v>45800</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14658-2022</t>
        </is>
      </c>
      <c r="B469" s="1" t="n">
        <v>44655</v>
      </c>
      <c r="C469" s="1" t="n">
        <v>45800</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16025-2022</t>
        </is>
      </c>
      <c r="B470" s="1" t="n">
        <v>44665</v>
      </c>
      <c r="C470" s="1" t="n">
        <v>45800</v>
      </c>
      <c r="D470" t="inlineStr">
        <is>
          <t>JÄMTLANDS LÄN</t>
        </is>
      </c>
      <c r="E470" t="inlineStr">
        <is>
          <t>ÖSTERSUND</t>
        </is>
      </c>
      <c r="G470" t="n">
        <v>6</v>
      </c>
      <c r="H470" t="n">
        <v>0</v>
      </c>
      <c r="I470" t="n">
        <v>0</v>
      </c>
      <c r="J470" t="n">
        <v>0</v>
      </c>
      <c r="K470" t="n">
        <v>0</v>
      </c>
      <c r="L470" t="n">
        <v>0</v>
      </c>
      <c r="M470" t="n">
        <v>0</v>
      </c>
      <c r="N470" t="n">
        <v>0</v>
      </c>
      <c r="O470" t="n">
        <v>0</v>
      </c>
      <c r="P470" t="n">
        <v>0</v>
      </c>
      <c r="Q470" t="n">
        <v>0</v>
      </c>
      <c r="R470" s="2" t="inlineStr"/>
    </row>
    <row r="471" ht="15" customHeight="1">
      <c r="A471" t="inlineStr">
        <is>
          <t>A 16034-2022</t>
        </is>
      </c>
      <c r="B471" s="1" t="n">
        <v>44665</v>
      </c>
      <c r="C471" s="1" t="n">
        <v>45800</v>
      </c>
      <c r="D471" t="inlineStr">
        <is>
          <t>JÄMTLANDS LÄN</t>
        </is>
      </c>
      <c r="E471" t="inlineStr">
        <is>
          <t>ÖSTERSUND</t>
        </is>
      </c>
      <c r="G471" t="n">
        <v>5.2</v>
      </c>
      <c r="H471" t="n">
        <v>0</v>
      </c>
      <c r="I471" t="n">
        <v>0</v>
      </c>
      <c r="J471" t="n">
        <v>0</v>
      </c>
      <c r="K471" t="n">
        <v>0</v>
      </c>
      <c r="L471" t="n">
        <v>0</v>
      </c>
      <c r="M471" t="n">
        <v>0</v>
      </c>
      <c r="N471" t="n">
        <v>0</v>
      </c>
      <c r="O471" t="n">
        <v>0</v>
      </c>
      <c r="P471" t="n">
        <v>0</v>
      </c>
      <c r="Q471" t="n">
        <v>0</v>
      </c>
      <c r="R471" s="2" t="inlineStr"/>
    </row>
    <row r="472" ht="15" customHeight="1">
      <c r="A472" t="inlineStr">
        <is>
          <t>A 17574-2022</t>
        </is>
      </c>
      <c r="B472" s="1" t="n">
        <v>44680</v>
      </c>
      <c r="C472" s="1" t="n">
        <v>45800</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17732-2022</t>
        </is>
      </c>
      <c r="B473" s="1" t="n">
        <v>44681</v>
      </c>
      <c r="C473" s="1" t="n">
        <v>45800</v>
      </c>
      <c r="D473" t="inlineStr">
        <is>
          <t>JÄMTLANDS LÄN</t>
        </is>
      </c>
      <c r="E473" t="inlineStr">
        <is>
          <t>ÖSTERSUND</t>
        </is>
      </c>
      <c r="G473" t="n">
        <v>5.4</v>
      </c>
      <c r="H473" t="n">
        <v>0</v>
      </c>
      <c r="I473" t="n">
        <v>0</v>
      </c>
      <c r="J473" t="n">
        <v>0</v>
      </c>
      <c r="K473" t="n">
        <v>0</v>
      </c>
      <c r="L473" t="n">
        <v>0</v>
      </c>
      <c r="M473" t="n">
        <v>0</v>
      </c>
      <c r="N473" t="n">
        <v>0</v>
      </c>
      <c r="O473" t="n">
        <v>0</v>
      </c>
      <c r="P473" t="n">
        <v>0</v>
      </c>
      <c r="Q473" t="n">
        <v>0</v>
      </c>
      <c r="R473" s="2" t="inlineStr"/>
    </row>
    <row r="474" ht="15" customHeight="1">
      <c r="A474" t="inlineStr">
        <is>
          <t>A 17734-2022</t>
        </is>
      </c>
      <c r="B474" s="1" t="n">
        <v>44680</v>
      </c>
      <c r="C474" s="1" t="n">
        <v>45800</v>
      </c>
      <c r="D474" t="inlineStr">
        <is>
          <t>JÄMTLANDS LÄN</t>
        </is>
      </c>
      <c r="E474" t="inlineStr">
        <is>
          <t>ÖSTERSUND</t>
        </is>
      </c>
      <c r="G474" t="n">
        <v>26.4</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44702</v>
      </c>
      <c r="C475" s="1" t="n">
        <v>45800</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20983-2022</t>
        </is>
      </c>
      <c r="B476" s="1" t="n">
        <v>44703</v>
      </c>
      <c r="C476" s="1" t="n">
        <v>45800</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21211-2022</t>
        </is>
      </c>
      <c r="B477" s="1" t="n">
        <v>44705</v>
      </c>
      <c r="C477" s="1" t="n">
        <v>45800</v>
      </c>
      <c r="D477" t="inlineStr">
        <is>
          <t>JÄMTLANDS LÄN</t>
        </is>
      </c>
      <c r="E477" t="inlineStr">
        <is>
          <t>ÖSTERSUND</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21495-2022</t>
        </is>
      </c>
      <c r="B478" s="1" t="n">
        <v>44706</v>
      </c>
      <c r="C478" s="1" t="n">
        <v>45800</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22083-2022</t>
        </is>
      </c>
      <c r="B479" s="1" t="n">
        <v>44711</v>
      </c>
      <c r="C479" s="1" t="n">
        <v>45800</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22085-2022</t>
        </is>
      </c>
      <c r="B480" s="1" t="n">
        <v>44711</v>
      </c>
      <c r="C480" s="1" t="n">
        <v>45800</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22084-2022</t>
        </is>
      </c>
      <c r="B481" s="1" t="n">
        <v>44711</v>
      </c>
      <c r="C481" s="1" t="n">
        <v>45800</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22082-2022</t>
        </is>
      </c>
      <c r="B482" s="1" t="n">
        <v>44712</v>
      </c>
      <c r="C482" s="1" t="n">
        <v>45800</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45800</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v>
      </c>
      <c r="C484" s="1" t="n">
        <v>45800</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23551-2022</t>
        </is>
      </c>
      <c r="B485" s="1" t="n">
        <v>44721</v>
      </c>
      <c r="C485" s="1" t="n">
        <v>45800</v>
      </c>
      <c r="D485" t="inlineStr">
        <is>
          <t>JÄMTLANDS LÄN</t>
        </is>
      </c>
      <c r="E485" t="inlineStr">
        <is>
          <t>ÖSTERSUND</t>
        </is>
      </c>
      <c r="G485" t="n">
        <v>0.3</v>
      </c>
      <c r="H485" t="n">
        <v>0</v>
      </c>
      <c r="I485" t="n">
        <v>0</v>
      </c>
      <c r="J485" t="n">
        <v>0</v>
      </c>
      <c r="K485" t="n">
        <v>0</v>
      </c>
      <c r="L485" t="n">
        <v>0</v>
      </c>
      <c r="M485" t="n">
        <v>0</v>
      </c>
      <c r="N485" t="n">
        <v>0</v>
      </c>
      <c r="O485" t="n">
        <v>0</v>
      </c>
      <c r="P485" t="n">
        <v>0</v>
      </c>
      <c r="Q485" t="n">
        <v>0</v>
      </c>
      <c r="R485" s="2" t="inlineStr"/>
    </row>
    <row r="486" ht="15" customHeight="1">
      <c r="A486" t="inlineStr">
        <is>
          <t>A 23992-2022</t>
        </is>
      </c>
      <c r="B486" s="1" t="n">
        <v>44722</v>
      </c>
      <c r="C486" s="1" t="n">
        <v>45800</v>
      </c>
      <c r="D486" t="inlineStr">
        <is>
          <t>JÄMTLANDS LÄN</t>
        </is>
      </c>
      <c r="E486" t="inlineStr">
        <is>
          <t>ÖSTERSUND</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23993-2022</t>
        </is>
      </c>
      <c r="B487" s="1" t="n">
        <v>44723</v>
      </c>
      <c r="C487" s="1" t="n">
        <v>45800</v>
      </c>
      <c r="D487" t="inlineStr">
        <is>
          <t>JÄMTLANDS LÄN</t>
        </is>
      </c>
      <c r="E487" t="inlineStr">
        <is>
          <t>ÖSTERSUND</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45800</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26731-2022</t>
        </is>
      </c>
      <c r="B489" s="1" t="n">
        <v>44740</v>
      </c>
      <c r="C489" s="1" t="n">
        <v>45800</v>
      </c>
      <c r="D489" t="inlineStr">
        <is>
          <t>JÄMTLANDS LÄN</t>
        </is>
      </c>
      <c r="E489" t="inlineStr">
        <is>
          <t>ÖSTERSUND</t>
        </is>
      </c>
      <c r="G489" t="n">
        <v>3.1</v>
      </c>
      <c r="H489" t="n">
        <v>0</v>
      </c>
      <c r="I489" t="n">
        <v>0</v>
      </c>
      <c r="J489" t="n">
        <v>0</v>
      </c>
      <c r="K489" t="n">
        <v>0</v>
      </c>
      <c r="L489" t="n">
        <v>0</v>
      </c>
      <c r="M489" t="n">
        <v>0</v>
      </c>
      <c r="N489" t="n">
        <v>0</v>
      </c>
      <c r="O489" t="n">
        <v>0</v>
      </c>
      <c r="P489" t="n">
        <v>0</v>
      </c>
      <c r="Q489" t="n">
        <v>0</v>
      </c>
      <c r="R489" s="2" t="inlineStr"/>
    </row>
    <row r="490" ht="15" customHeight="1">
      <c r="A490" t="inlineStr">
        <is>
          <t>A 27343-2022</t>
        </is>
      </c>
      <c r="B490" s="1" t="n">
        <v>44742</v>
      </c>
      <c r="C490" s="1" t="n">
        <v>45800</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27582-2022</t>
        </is>
      </c>
      <c r="B491" s="1" t="n">
        <v>44743</v>
      </c>
      <c r="C491" s="1" t="n">
        <v>45800</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27575-2022</t>
        </is>
      </c>
      <c r="B492" s="1" t="n">
        <v>44742</v>
      </c>
      <c r="C492" s="1" t="n">
        <v>45800</v>
      </c>
      <c r="D492" t="inlineStr">
        <is>
          <t>JÄMTLANDS LÄN</t>
        </is>
      </c>
      <c r="E492" t="inlineStr">
        <is>
          <t>ÖSTERSUND</t>
        </is>
      </c>
      <c r="F492" t="inlineStr">
        <is>
          <t>SCA</t>
        </is>
      </c>
      <c r="G492" t="n">
        <v>2.4</v>
      </c>
      <c r="H492" t="n">
        <v>0</v>
      </c>
      <c r="I492" t="n">
        <v>0</v>
      </c>
      <c r="J492" t="n">
        <v>0</v>
      </c>
      <c r="K492" t="n">
        <v>0</v>
      </c>
      <c r="L492" t="n">
        <v>0</v>
      </c>
      <c r="M492" t="n">
        <v>0</v>
      </c>
      <c r="N492" t="n">
        <v>0</v>
      </c>
      <c r="O492" t="n">
        <v>0</v>
      </c>
      <c r="P492" t="n">
        <v>0</v>
      </c>
      <c r="Q492" t="n">
        <v>0</v>
      </c>
      <c r="R492" s="2" t="inlineStr"/>
      <c r="U492">
        <f>HYPERLINK("https://klasma.github.io/Logging_2380/knärot/A 27575-2022 karta knärot.png", "A 27575-2022")</f>
        <v/>
      </c>
      <c r="V492">
        <f>HYPERLINK("https://klasma.github.io/Logging_2380/klagomål/A 27575-2022 FSC-klagomål.docx", "A 27575-2022")</f>
        <v/>
      </c>
      <c r="W492">
        <f>HYPERLINK("https://klasma.github.io/Logging_2380/klagomålsmail/A 27575-2022 FSC-klagomål mail.docx", "A 27575-2022")</f>
        <v/>
      </c>
      <c r="X492">
        <f>HYPERLINK("https://klasma.github.io/Logging_2380/tillsyn/A 27575-2022 tillsynsbegäran.docx", "A 27575-2022")</f>
        <v/>
      </c>
      <c r="Y492">
        <f>HYPERLINK("https://klasma.github.io/Logging_2380/tillsynsmail/A 27575-2022 tillsynsbegäran mail.docx", "A 27575-2022")</f>
        <v/>
      </c>
    </row>
    <row r="493" ht="15" customHeight="1">
      <c r="A493" t="inlineStr">
        <is>
          <t>A 27581-2022</t>
        </is>
      </c>
      <c r="B493" s="1" t="n">
        <v>44742</v>
      </c>
      <c r="C493" s="1" t="n">
        <v>45800</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27780-2022</t>
        </is>
      </c>
      <c r="B494" s="1" t="n">
        <v>44743</v>
      </c>
      <c r="C494" s="1" t="n">
        <v>45800</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29094-2022</t>
        </is>
      </c>
      <c r="B495" s="1" t="n">
        <v>44750</v>
      </c>
      <c r="C495" s="1" t="n">
        <v>45800</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29128-2022</t>
        </is>
      </c>
      <c r="B496" s="1" t="n">
        <v>44750</v>
      </c>
      <c r="C496" s="1" t="n">
        <v>45800</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29829-2022</t>
        </is>
      </c>
      <c r="B497" s="1" t="n">
        <v>44755</v>
      </c>
      <c r="C497" s="1" t="n">
        <v>45800</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29828-2022</t>
        </is>
      </c>
      <c r="B498" s="1" t="n">
        <v>44755</v>
      </c>
      <c r="C498" s="1" t="n">
        <v>45800</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44758</v>
      </c>
      <c r="C499" s="1" t="n">
        <v>45800</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33804-2022</t>
        </is>
      </c>
      <c r="B500" s="1" t="n">
        <v>44790</v>
      </c>
      <c r="C500" s="1" t="n">
        <v>45800</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33808-2022</t>
        </is>
      </c>
      <c r="B501" s="1" t="n">
        <v>44790</v>
      </c>
      <c r="C501" s="1" t="n">
        <v>45800</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33813-2022</t>
        </is>
      </c>
      <c r="B502" s="1" t="n">
        <v>44790</v>
      </c>
      <c r="C502" s="1" t="n">
        <v>45800</v>
      </c>
      <c r="D502" t="inlineStr">
        <is>
          <t>JÄMTLANDS LÄN</t>
        </is>
      </c>
      <c r="E502" t="inlineStr">
        <is>
          <t>ÖSTERSUND</t>
        </is>
      </c>
      <c r="G502" t="n">
        <v>7.9</v>
      </c>
      <c r="H502" t="n">
        <v>0</v>
      </c>
      <c r="I502" t="n">
        <v>0</v>
      </c>
      <c r="J502" t="n">
        <v>0</v>
      </c>
      <c r="K502" t="n">
        <v>0</v>
      </c>
      <c r="L502" t="n">
        <v>0</v>
      </c>
      <c r="M502" t="n">
        <v>0</v>
      </c>
      <c r="N502" t="n">
        <v>0</v>
      </c>
      <c r="O502" t="n">
        <v>0</v>
      </c>
      <c r="P502" t="n">
        <v>0</v>
      </c>
      <c r="Q502" t="n">
        <v>0</v>
      </c>
      <c r="R502" s="2" t="inlineStr"/>
    </row>
    <row r="503" ht="15" customHeight="1">
      <c r="A503" t="inlineStr">
        <is>
          <t>A 33786-2022</t>
        </is>
      </c>
      <c r="B503" s="1" t="n">
        <v>44790</v>
      </c>
      <c r="C503" s="1" t="n">
        <v>45800</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45800</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35556-2022</t>
        </is>
      </c>
      <c r="B505" s="1" t="n">
        <v>44799</v>
      </c>
      <c r="C505" s="1" t="n">
        <v>45800</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39828-2022</t>
        </is>
      </c>
      <c r="B506" s="1" t="n">
        <v>44817</v>
      </c>
      <c r="C506" s="1" t="n">
        <v>45800</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45800</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40885-2022</t>
        </is>
      </c>
      <c r="B508" s="1" t="n">
        <v>44820</v>
      </c>
      <c r="C508" s="1" t="n">
        <v>45800</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v>
      </c>
      <c r="C509" s="1" t="n">
        <v>45800</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43951-2022</t>
        </is>
      </c>
      <c r="B510" s="1" t="n">
        <v>44838</v>
      </c>
      <c r="C510" s="1" t="n">
        <v>45800</v>
      </c>
      <c r="D510" t="inlineStr">
        <is>
          <t>JÄMTLANDS LÄN</t>
        </is>
      </c>
      <c r="E510" t="inlineStr">
        <is>
          <t>ÖSTERSUND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44909-2022</t>
        </is>
      </c>
      <c r="B511" s="1" t="n">
        <v>44840</v>
      </c>
      <c r="C511" s="1" t="n">
        <v>45800</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45004-2022</t>
        </is>
      </c>
      <c r="B512" s="1" t="n">
        <v>44840</v>
      </c>
      <c r="C512" s="1" t="n">
        <v>45800</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45654-2022</t>
        </is>
      </c>
      <c r="B513" s="1" t="n">
        <v>44845</v>
      </c>
      <c r="C513" s="1" t="n">
        <v>45800</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46913-2022</t>
        </is>
      </c>
      <c r="B514" s="1" t="n">
        <v>44851</v>
      </c>
      <c r="C514" s="1" t="n">
        <v>45800</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47296-2022</t>
        </is>
      </c>
      <c r="B515" s="1" t="n">
        <v>44853</v>
      </c>
      <c r="C515" s="1" t="n">
        <v>45800</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47294-2022</t>
        </is>
      </c>
      <c r="B516" s="1" t="n">
        <v>44852</v>
      </c>
      <c r="C516" s="1" t="n">
        <v>45800</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47295-2022</t>
        </is>
      </c>
      <c r="B517" s="1" t="n">
        <v>44852</v>
      </c>
      <c r="C517" s="1" t="n">
        <v>45800</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49389-2022</t>
        </is>
      </c>
      <c r="B518" s="1" t="n">
        <v>44861</v>
      </c>
      <c r="C518" s="1" t="n">
        <v>45800</v>
      </c>
      <c r="D518" t="inlineStr">
        <is>
          <t>JÄMTLANDS LÄN</t>
        </is>
      </c>
      <c r="E518" t="inlineStr">
        <is>
          <t>ÖSTERSUND</t>
        </is>
      </c>
      <c r="F518" t="inlineStr">
        <is>
          <t>Övriga Aktiebolag</t>
        </is>
      </c>
      <c r="G518" t="n">
        <v>19.2</v>
      </c>
      <c r="H518" t="n">
        <v>0</v>
      </c>
      <c r="I518" t="n">
        <v>0</v>
      </c>
      <c r="J518" t="n">
        <v>0</v>
      </c>
      <c r="K518" t="n">
        <v>0</v>
      </c>
      <c r="L518" t="n">
        <v>0</v>
      </c>
      <c r="M518" t="n">
        <v>0</v>
      </c>
      <c r="N518" t="n">
        <v>0</v>
      </c>
      <c r="O518" t="n">
        <v>0</v>
      </c>
      <c r="P518" t="n">
        <v>0</v>
      </c>
      <c r="Q518" t="n">
        <v>0</v>
      </c>
      <c r="R518" s="2" t="inlineStr"/>
    </row>
    <row r="519" ht="15" customHeight="1">
      <c r="A519" t="inlineStr">
        <is>
          <t>A 50932-2022</t>
        </is>
      </c>
      <c r="B519" s="1" t="n">
        <v>44867</v>
      </c>
      <c r="C519" s="1" t="n">
        <v>45800</v>
      </c>
      <c r="D519" t="inlineStr">
        <is>
          <t>JÄMTLANDS LÄN</t>
        </is>
      </c>
      <c r="E519" t="inlineStr">
        <is>
          <t>ÖSTERSUND</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51164-2022</t>
        </is>
      </c>
      <c r="B520" s="1" t="n">
        <v>44868</v>
      </c>
      <c r="C520" s="1" t="n">
        <v>45800</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52155-2022</t>
        </is>
      </c>
      <c r="B521" s="1" t="n">
        <v>44873</v>
      </c>
      <c r="C521" s="1" t="n">
        <v>45800</v>
      </c>
      <c r="D521" t="inlineStr">
        <is>
          <t>JÄMTLANDS LÄN</t>
        </is>
      </c>
      <c r="E521" t="inlineStr">
        <is>
          <t>ÖSTERSUND</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52898-2022</t>
        </is>
      </c>
      <c r="B522" s="1" t="n">
        <v>44875</v>
      </c>
      <c r="C522" s="1" t="n">
        <v>45800</v>
      </c>
      <c r="D522" t="inlineStr">
        <is>
          <t>JÄMTLANDS LÄN</t>
        </is>
      </c>
      <c r="E522" t="inlineStr">
        <is>
          <t>ÖSTERSUND</t>
        </is>
      </c>
      <c r="F522" t="inlineStr">
        <is>
          <t>Övriga Aktiebolag</t>
        </is>
      </c>
      <c r="G522" t="n">
        <v>12.1</v>
      </c>
      <c r="H522" t="n">
        <v>0</v>
      </c>
      <c r="I522" t="n">
        <v>0</v>
      </c>
      <c r="J522" t="n">
        <v>0</v>
      </c>
      <c r="K522" t="n">
        <v>0</v>
      </c>
      <c r="L522" t="n">
        <v>0</v>
      </c>
      <c r="M522" t="n">
        <v>0</v>
      </c>
      <c r="N522" t="n">
        <v>0</v>
      </c>
      <c r="O522" t="n">
        <v>0</v>
      </c>
      <c r="P522" t="n">
        <v>0</v>
      </c>
      <c r="Q522" t="n">
        <v>0</v>
      </c>
      <c r="R522" s="2" t="inlineStr"/>
    </row>
    <row r="523" ht="15" customHeight="1">
      <c r="A523" t="inlineStr">
        <is>
          <t>A 53802-2022</t>
        </is>
      </c>
      <c r="B523" s="1" t="n">
        <v>44875</v>
      </c>
      <c r="C523" s="1" t="n">
        <v>45800</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53764-2022</t>
        </is>
      </c>
      <c r="B524" s="1" t="n">
        <v>44875</v>
      </c>
      <c r="C524" s="1" t="n">
        <v>45800</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53807-2022</t>
        </is>
      </c>
      <c r="B525" s="1" t="n">
        <v>44875</v>
      </c>
      <c r="C525" s="1" t="n">
        <v>45800</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53453-2022</t>
        </is>
      </c>
      <c r="B526" s="1" t="n">
        <v>44879</v>
      </c>
      <c r="C526" s="1" t="n">
        <v>45800</v>
      </c>
      <c r="D526" t="inlineStr">
        <is>
          <t>JÄMTLANDS LÄN</t>
        </is>
      </c>
      <c r="E526" t="inlineStr">
        <is>
          <t>ÖSTERSUND</t>
        </is>
      </c>
      <c r="G526" t="n">
        <v>22.2</v>
      </c>
      <c r="H526" t="n">
        <v>0</v>
      </c>
      <c r="I526" t="n">
        <v>0</v>
      </c>
      <c r="J526" t="n">
        <v>0</v>
      </c>
      <c r="K526" t="n">
        <v>0</v>
      </c>
      <c r="L526" t="n">
        <v>0</v>
      </c>
      <c r="M526" t="n">
        <v>0</v>
      </c>
      <c r="N526" t="n">
        <v>0</v>
      </c>
      <c r="O526" t="n">
        <v>0</v>
      </c>
      <c r="P526" t="n">
        <v>0</v>
      </c>
      <c r="Q526" t="n">
        <v>0</v>
      </c>
      <c r="R526" s="2" t="inlineStr"/>
    </row>
    <row r="527" ht="15" customHeight="1">
      <c r="A527" t="inlineStr">
        <is>
          <t>A 53556-2022</t>
        </is>
      </c>
      <c r="B527" s="1" t="n">
        <v>44879</v>
      </c>
      <c r="C527" s="1" t="n">
        <v>45800</v>
      </c>
      <c r="D527" t="inlineStr">
        <is>
          <t>JÄMTLANDS LÄN</t>
        </is>
      </c>
      <c r="E527" t="inlineStr">
        <is>
          <t>ÖSTERSUND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45800</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54712-2022</t>
        </is>
      </c>
      <c r="B529" s="1" t="n">
        <v>44883</v>
      </c>
      <c r="C529" s="1" t="n">
        <v>45800</v>
      </c>
      <c r="D529" t="inlineStr">
        <is>
          <t>JÄMTLANDS LÄN</t>
        </is>
      </c>
      <c r="E529" t="inlineStr">
        <is>
          <t>ÖSTERSUND</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54663-2022</t>
        </is>
      </c>
      <c r="B530" s="1" t="n">
        <v>44883</v>
      </c>
      <c r="C530" s="1" t="n">
        <v>45800</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55102-2022</t>
        </is>
      </c>
      <c r="B531" s="1" t="n">
        <v>44886</v>
      </c>
      <c r="C531" s="1" t="n">
        <v>45800</v>
      </c>
      <c r="D531" t="inlineStr">
        <is>
          <t>JÄMTLANDS LÄN</t>
        </is>
      </c>
      <c r="E531" t="inlineStr">
        <is>
          <t>ÖSTERSUND</t>
        </is>
      </c>
      <c r="F531" t="inlineStr">
        <is>
          <t>Övriga Aktiebolag</t>
        </is>
      </c>
      <c r="G531" t="n">
        <v>3.6</v>
      </c>
      <c r="H531" t="n">
        <v>0</v>
      </c>
      <c r="I531" t="n">
        <v>0</v>
      </c>
      <c r="J531" t="n">
        <v>0</v>
      </c>
      <c r="K531" t="n">
        <v>0</v>
      </c>
      <c r="L531" t="n">
        <v>0</v>
      </c>
      <c r="M531" t="n">
        <v>0</v>
      </c>
      <c r="N531" t="n">
        <v>0</v>
      </c>
      <c r="O531" t="n">
        <v>0</v>
      </c>
      <c r="P531" t="n">
        <v>0</v>
      </c>
      <c r="Q531" t="n">
        <v>0</v>
      </c>
      <c r="R531" s="2" t="inlineStr"/>
    </row>
    <row r="532" ht="15" customHeight="1">
      <c r="A532" t="inlineStr">
        <is>
          <t>A 55008-2022</t>
        </is>
      </c>
      <c r="B532" s="1" t="n">
        <v>44886</v>
      </c>
      <c r="C532" s="1" t="n">
        <v>45800</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55105-2022</t>
        </is>
      </c>
      <c r="B533" s="1" t="n">
        <v>44886</v>
      </c>
      <c r="C533" s="1" t="n">
        <v>45800</v>
      </c>
      <c r="D533" t="inlineStr">
        <is>
          <t>JÄMTLANDS LÄN</t>
        </is>
      </c>
      <c r="E533" t="inlineStr">
        <is>
          <t>ÖSTERSUND</t>
        </is>
      </c>
      <c r="F533" t="inlineStr">
        <is>
          <t>Övriga Aktiebolag</t>
        </is>
      </c>
      <c r="G533" t="n">
        <v>2.4</v>
      </c>
      <c r="H533" t="n">
        <v>0</v>
      </c>
      <c r="I533" t="n">
        <v>0</v>
      </c>
      <c r="J533" t="n">
        <v>0</v>
      </c>
      <c r="K533" t="n">
        <v>0</v>
      </c>
      <c r="L533" t="n">
        <v>0</v>
      </c>
      <c r="M533" t="n">
        <v>0</v>
      </c>
      <c r="N533" t="n">
        <v>0</v>
      </c>
      <c r="O533" t="n">
        <v>0</v>
      </c>
      <c r="P533" t="n">
        <v>0</v>
      </c>
      <c r="Q533" t="n">
        <v>0</v>
      </c>
      <c r="R533" s="2" t="inlineStr"/>
      <c r="U533">
        <f>HYPERLINK("https://klasma.github.io/Logging_2380/knärot/A 55105-2022 karta knärot.png", "A 55105-2022")</f>
        <v/>
      </c>
      <c r="V533">
        <f>HYPERLINK("https://klasma.github.io/Logging_2380/klagomål/A 55105-2022 FSC-klagomål.docx", "A 55105-2022")</f>
        <v/>
      </c>
      <c r="W533">
        <f>HYPERLINK("https://klasma.github.io/Logging_2380/klagomålsmail/A 55105-2022 FSC-klagomål mail.docx", "A 55105-2022")</f>
        <v/>
      </c>
      <c r="X533">
        <f>HYPERLINK("https://klasma.github.io/Logging_2380/tillsyn/A 55105-2022 tillsynsbegäran.docx", "A 55105-2022")</f>
        <v/>
      </c>
      <c r="Y533">
        <f>HYPERLINK("https://klasma.github.io/Logging_2380/tillsynsmail/A 55105-2022 tillsynsbegäran mail.docx", "A 55105-2022")</f>
        <v/>
      </c>
    </row>
    <row r="534" ht="15" customHeight="1">
      <c r="A534" t="inlineStr">
        <is>
          <t>A 55371-2022</t>
        </is>
      </c>
      <c r="B534" s="1" t="n">
        <v>44887</v>
      </c>
      <c r="C534" s="1" t="n">
        <v>45800</v>
      </c>
      <c r="D534" t="inlineStr">
        <is>
          <t>JÄMTLANDS LÄN</t>
        </is>
      </c>
      <c r="E534" t="inlineStr">
        <is>
          <t>ÖSTERSUND</t>
        </is>
      </c>
      <c r="F534" t="inlineStr">
        <is>
          <t>Övriga Aktiebolag</t>
        </is>
      </c>
      <c r="G534" t="n">
        <v>15.4</v>
      </c>
      <c r="H534" t="n">
        <v>0</v>
      </c>
      <c r="I534" t="n">
        <v>0</v>
      </c>
      <c r="J534" t="n">
        <v>0</v>
      </c>
      <c r="K534" t="n">
        <v>0</v>
      </c>
      <c r="L534" t="n">
        <v>0</v>
      </c>
      <c r="M534" t="n">
        <v>0</v>
      </c>
      <c r="N534" t="n">
        <v>0</v>
      </c>
      <c r="O534" t="n">
        <v>0</v>
      </c>
      <c r="P534" t="n">
        <v>0</v>
      </c>
      <c r="Q534" t="n">
        <v>0</v>
      </c>
      <c r="R534" s="2" t="inlineStr"/>
    </row>
    <row r="535" ht="15" customHeight="1">
      <c r="A535" t="inlineStr">
        <is>
          <t>A 55448-2022</t>
        </is>
      </c>
      <c r="B535" s="1" t="n">
        <v>44887</v>
      </c>
      <c r="C535" s="1" t="n">
        <v>45800</v>
      </c>
      <c r="D535" t="inlineStr">
        <is>
          <t>JÄMTLANDS LÄN</t>
        </is>
      </c>
      <c r="E535" t="inlineStr">
        <is>
          <t>ÖSTERSUND</t>
        </is>
      </c>
      <c r="G535" t="n">
        <v>5.2</v>
      </c>
      <c r="H535" t="n">
        <v>0</v>
      </c>
      <c r="I535" t="n">
        <v>0</v>
      </c>
      <c r="J535" t="n">
        <v>0</v>
      </c>
      <c r="K535" t="n">
        <v>0</v>
      </c>
      <c r="L535" t="n">
        <v>0</v>
      </c>
      <c r="M535" t="n">
        <v>0</v>
      </c>
      <c r="N535" t="n">
        <v>0</v>
      </c>
      <c r="O535" t="n">
        <v>0</v>
      </c>
      <c r="P535" t="n">
        <v>0</v>
      </c>
      <c r="Q535" t="n">
        <v>0</v>
      </c>
      <c r="R535" s="2" t="inlineStr"/>
    </row>
    <row r="536" ht="15" customHeight="1">
      <c r="A536" t="inlineStr">
        <is>
          <t>A 56067-2022</t>
        </is>
      </c>
      <c r="B536" s="1" t="n">
        <v>44889</v>
      </c>
      <c r="C536" s="1" t="n">
        <v>45800</v>
      </c>
      <c r="D536" t="inlineStr">
        <is>
          <t>JÄMTLANDS LÄN</t>
        </is>
      </c>
      <c r="E536" t="inlineStr">
        <is>
          <t>ÖSTERSUND</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56148-2022</t>
        </is>
      </c>
      <c r="B537" s="1" t="n">
        <v>44889</v>
      </c>
      <c r="C537" s="1" t="n">
        <v>45800</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56111-2022</t>
        </is>
      </c>
      <c r="B538" s="1" t="n">
        <v>44889</v>
      </c>
      <c r="C538" s="1" t="n">
        <v>45800</v>
      </c>
      <c r="D538" t="inlineStr">
        <is>
          <t>JÄMTLANDS LÄN</t>
        </is>
      </c>
      <c r="E538" t="inlineStr">
        <is>
          <t>ÖSTERSUND</t>
        </is>
      </c>
      <c r="G538" t="n">
        <v>2.5</v>
      </c>
      <c r="H538" t="n">
        <v>0</v>
      </c>
      <c r="I538" t="n">
        <v>0</v>
      </c>
      <c r="J538" t="n">
        <v>0</v>
      </c>
      <c r="K538" t="n">
        <v>0</v>
      </c>
      <c r="L538" t="n">
        <v>0</v>
      </c>
      <c r="M538" t="n">
        <v>0</v>
      </c>
      <c r="N538" t="n">
        <v>0</v>
      </c>
      <c r="O538" t="n">
        <v>0</v>
      </c>
      <c r="P538" t="n">
        <v>0</v>
      </c>
      <c r="Q538" t="n">
        <v>0</v>
      </c>
      <c r="R538" s="2" t="inlineStr"/>
    </row>
    <row r="539" ht="15" customHeight="1">
      <c r="A539" t="inlineStr">
        <is>
          <t>A 57009-2022</t>
        </is>
      </c>
      <c r="B539" s="1" t="n">
        <v>44894</v>
      </c>
      <c r="C539" s="1" t="n">
        <v>45800</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59266-2022</t>
        </is>
      </c>
      <c r="B540" s="1" t="n">
        <v>44904</v>
      </c>
      <c r="C540" s="1" t="n">
        <v>45800</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45800</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59649-2022</t>
        </is>
      </c>
      <c r="B542" s="1" t="n">
        <v>44908</v>
      </c>
      <c r="C542" s="1" t="n">
        <v>45800</v>
      </c>
      <c r="D542" t="inlineStr">
        <is>
          <t>JÄMTLANDS LÄN</t>
        </is>
      </c>
      <c r="E542" t="inlineStr">
        <is>
          <t>ÖSTERSUND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44910</v>
      </c>
      <c r="C543" s="1" t="n">
        <v>45800</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61256-2022</t>
        </is>
      </c>
      <c r="B544" s="1" t="n">
        <v>44909</v>
      </c>
      <c r="C544" s="1" t="n">
        <v>45800</v>
      </c>
      <c r="D544" t="inlineStr">
        <is>
          <t>JÄMTLANDS LÄN</t>
        </is>
      </c>
      <c r="E544" t="inlineStr">
        <is>
          <t>ÖSTERSUND</t>
        </is>
      </c>
      <c r="G544" t="n">
        <v>3.9</v>
      </c>
      <c r="H544" t="n">
        <v>0</v>
      </c>
      <c r="I544" t="n">
        <v>0</v>
      </c>
      <c r="J544" t="n">
        <v>0</v>
      </c>
      <c r="K544" t="n">
        <v>0</v>
      </c>
      <c r="L544" t="n">
        <v>0</v>
      </c>
      <c r="M544" t="n">
        <v>0</v>
      </c>
      <c r="N544" t="n">
        <v>0</v>
      </c>
      <c r="O544" t="n">
        <v>0</v>
      </c>
      <c r="P544" t="n">
        <v>0</v>
      </c>
      <c r="Q544" t="n">
        <v>0</v>
      </c>
      <c r="R544" s="2" t="inlineStr"/>
    </row>
    <row r="545" ht="15" customHeight="1">
      <c r="A545" t="inlineStr">
        <is>
          <t>A 60430-2022</t>
        </is>
      </c>
      <c r="B545" s="1" t="n">
        <v>44911</v>
      </c>
      <c r="C545" s="1" t="n">
        <v>45800</v>
      </c>
      <c r="D545" t="inlineStr">
        <is>
          <t>JÄMTLANDS LÄN</t>
        </is>
      </c>
      <c r="E545" t="inlineStr">
        <is>
          <t>ÖSTERSUND</t>
        </is>
      </c>
      <c r="F545" t="inlineStr">
        <is>
          <t>Övriga Aktiebolag</t>
        </is>
      </c>
      <c r="G545" t="n">
        <v>24.2</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v>
      </c>
      <c r="C546" s="1" t="n">
        <v>45800</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60674-2022</t>
        </is>
      </c>
      <c r="B547" s="1" t="n">
        <v>44911</v>
      </c>
      <c r="C547" s="1" t="n">
        <v>45800</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60677-2022</t>
        </is>
      </c>
      <c r="B548" s="1" t="n">
        <v>44911</v>
      </c>
      <c r="C548" s="1" t="n">
        <v>45800</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60681-2022</t>
        </is>
      </c>
      <c r="B549" s="1" t="n">
        <v>44911</v>
      </c>
      <c r="C549" s="1" t="n">
        <v>45800</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60678-2022</t>
        </is>
      </c>
      <c r="B550" s="1" t="n">
        <v>44911</v>
      </c>
      <c r="C550" s="1" t="n">
        <v>45800</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60560-2022</t>
        </is>
      </c>
      <c r="B551" s="1" t="n">
        <v>44911</v>
      </c>
      <c r="C551" s="1" t="n">
        <v>45800</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60676-2022</t>
        </is>
      </c>
      <c r="B552" s="1" t="n">
        <v>44911</v>
      </c>
      <c r="C552" s="1" t="n">
        <v>45800</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60680-2022</t>
        </is>
      </c>
      <c r="B553" s="1" t="n">
        <v>44911</v>
      </c>
      <c r="C553" s="1" t="n">
        <v>45800</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60623-2022</t>
        </is>
      </c>
      <c r="B554" s="1" t="n">
        <v>44911</v>
      </c>
      <c r="C554" s="1" t="n">
        <v>45800</v>
      </c>
      <c r="D554" t="inlineStr">
        <is>
          <t>JÄMTLANDS LÄN</t>
        </is>
      </c>
      <c r="E554" t="inlineStr">
        <is>
          <t>ÖSTERSUND</t>
        </is>
      </c>
      <c r="G554" t="n">
        <v>10.9</v>
      </c>
      <c r="H554" t="n">
        <v>0</v>
      </c>
      <c r="I554" t="n">
        <v>0</v>
      </c>
      <c r="J554" t="n">
        <v>0</v>
      </c>
      <c r="K554" t="n">
        <v>0</v>
      </c>
      <c r="L554" t="n">
        <v>0</v>
      </c>
      <c r="M554" t="n">
        <v>0</v>
      </c>
      <c r="N554" t="n">
        <v>0</v>
      </c>
      <c r="O554" t="n">
        <v>0</v>
      </c>
      <c r="P554" t="n">
        <v>0</v>
      </c>
      <c r="Q554" t="n">
        <v>0</v>
      </c>
      <c r="R554" s="2" t="inlineStr"/>
    </row>
    <row r="555" ht="15" customHeight="1">
      <c r="A555" t="inlineStr">
        <is>
          <t>A 60675-2022</t>
        </is>
      </c>
      <c r="B555" s="1" t="n">
        <v>44911</v>
      </c>
      <c r="C555" s="1" t="n">
        <v>45800</v>
      </c>
      <c r="D555" t="inlineStr">
        <is>
          <t>JÄMTLANDS LÄN</t>
        </is>
      </c>
      <c r="E555" t="inlineStr">
        <is>
          <t>ÖSTERSUND</t>
        </is>
      </c>
      <c r="G555" t="n">
        <v>4.3</v>
      </c>
      <c r="H555" t="n">
        <v>0</v>
      </c>
      <c r="I555" t="n">
        <v>0</v>
      </c>
      <c r="J555" t="n">
        <v>0</v>
      </c>
      <c r="K555" t="n">
        <v>0</v>
      </c>
      <c r="L555" t="n">
        <v>0</v>
      </c>
      <c r="M555" t="n">
        <v>0</v>
      </c>
      <c r="N555" t="n">
        <v>0</v>
      </c>
      <c r="O555" t="n">
        <v>0</v>
      </c>
      <c r="P555" t="n">
        <v>0</v>
      </c>
      <c r="Q555" t="n">
        <v>0</v>
      </c>
      <c r="R555" s="2" t="inlineStr"/>
    </row>
    <row r="556" ht="15" customHeight="1">
      <c r="A556" t="inlineStr">
        <is>
          <t>A 60679-2022</t>
        </is>
      </c>
      <c r="B556" s="1" t="n">
        <v>44911</v>
      </c>
      <c r="C556" s="1" t="n">
        <v>45800</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60767-2022</t>
        </is>
      </c>
      <c r="B557" s="1" t="n">
        <v>44914</v>
      </c>
      <c r="C557" s="1" t="n">
        <v>45800</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61653-2022</t>
        </is>
      </c>
      <c r="B558" s="1" t="n">
        <v>44916</v>
      </c>
      <c r="C558" s="1" t="n">
        <v>45800</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62040-2022</t>
        </is>
      </c>
      <c r="B559" s="1" t="n">
        <v>44918</v>
      </c>
      <c r="C559" s="1" t="n">
        <v>45800</v>
      </c>
      <c r="D559" t="inlineStr">
        <is>
          <t>JÄMTLANDS LÄN</t>
        </is>
      </c>
      <c r="E559" t="inlineStr">
        <is>
          <t>ÖSTERSUND</t>
        </is>
      </c>
      <c r="G559" t="n">
        <v>2.6</v>
      </c>
      <c r="H559" t="n">
        <v>0</v>
      </c>
      <c r="I559" t="n">
        <v>0</v>
      </c>
      <c r="J559" t="n">
        <v>0</v>
      </c>
      <c r="K559" t="n">
        <v>0</v>
      </c>
      <c r="L559" t="n">
        <v>0</v>
      </c>
      <c r="M559" t="n">
        <v>0</v>
      </c>
      <c r="N559" t="n">
        <v>0</v>
      </c>
      <c r="O559" t="n">
        <v>0</v>
      </c>
      <c r="P559" t="n">
        <v>0</v>
      </c>
      <c r="Q559" t="n">
        <v>0</v>
      </c>
      <c r="R559" s="2" t="inlineStr"/>
    </row>
    <row r="560" ht="15" customHeight="1">
      <c r="A560" t="inlineStr">
        <is>
          <t>A 62043-2022</t>
        </is>
      </c>
      <c r="B560" s="1" t="n">
        <v>44918</v>
      </c>
      <c r="C560" s="1" t="n">
        <v>45800</v>
      </c>
      <c r="D560" t="inlineStr">
        <is>
          <t>JÄMTLANDS LÄN</t>
        </is>
      </c>
      <c r="E560" t="inlineStr">
        <is>
          <t>ÖSTERSUND</t>
        </is>
      </c>
      <c r="G560" t="n">
        <v>5.2</v>
      </c>
      <c r="H560" t="n">
        <v>0</v>
      </c>
      <c r="I560" t="n">
        <v>0</v>
      </c>
      <c r="J560" t="n">
        <v>0</v>
      </c>
      <c r="K560" t="n">
        <v>0</v>
      </c>
      <c r="L560" t="n">
        <v>0</v>
      </c>
      <c r="M560" t="n">
        <v>0</v>
      </c>
      <c r="N560" t="n">
        <v>0</v>
      </c>
      <c r="O560" t="n">
        <v>0</v>
      </c>
      <c r="P560" t="n">
        <v>0</v>
      </c>
      <c r="Q560" t="n">
        <v>0</v>
      </c>
      <c r="R560" s="2" t="inlineStr"/>
    </row>
    <row r="561" ht="15" customHeight="1">
      <c r="A561" t="inlineStr">
        <is>
          <t>A 62227-2022</t>
        </is>
      </c>
      <c r="B561" s="1" t="n">
        <v>44922</v>
      </c>
      <c r="C561" s="1" t="n">
        <v>45800</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62225-2022</t>
        </is>
      </c>
      <c r="B562" s="1" t="n">
        <v>44922</v>
      </c>
      <c r="C562" s="1" t="n">
        <v>45800</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62222-2022</t>
        </is>
      </c>
      <c r="B563" s="1" t="n">
        <v>44922</v>
      </c>
      <c r="C563" s="1" t="n">
        <v>45800</v>
      </c>
      <c r="D563" t="inlineStr">
        <is>
          <t>JÄMTLANDS LÄN</t>
        </is>
      </c>
      <c r="E563" t="inlineStr">
        <is>
          <t>ÖSTERSUND</t>
        </is>
      </c>
      <c r="G563" t="n">
        <v>4.1</v>
      </c>
      <c r="H563" t="n">
        <v>0</v>
      </c>
      <c r="I563" t="n">
        <v>0</v>
      </c>
      <c r="J563" t="n">
        <v>0</v>
      </c>
      <c r="K563" t="n">
        <v>0</v>
      </c>
      <c r="L563" t="n">
        <v>0</v>
      </c>
      <c r="M563" t="n">
        <v>0</v>
      </c>
      <c r="N563" t="n">
        <v>0</v>
      </c>
      <c r="O563" t="n">
        <v>0</v>
      </c>
      <c r="P563" t="n">
        <v>0</v>
      </c>
      <c r="Q563" t="n">
        <v>0</v>
      </c>
      <c r="R563" s="2" t="inlineStr"/>
    </row>
    <row r="564" ht="15" customHeight="1">
      <c r="A564" t="inlineStr">
        <is>
          <t>A 296-2023</t>
        </is>
      </c>
      <c r="B564" s="1" t="n">
        <v>44922</v>
      </c>
      <c r="C564" s="1" t="n">
        <v>45800</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12-2023</t>
        </is>
      </c>
      <c r="B565" s="1" t="n">
        <v>44927</v>
      </c>
      <c r="C565" s="1" t="n">
        <v>45800</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257-2023</t>
        </is>
      </c>
      <c r="B566" s="1" t="n">
        <v>44928</v>
      </c>
      <c r="C566" s="1" t="n">
        <v>45800</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55-2023</t>
        </is>
      </c>
      <c r="B567" s="1" t="n">
        <v>44928</v>
      </c>
      <c r="C567" s="1" t="n">
        <v>45800</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1234-2023</t>
        </is>
      </c>
      <c r="B568" s="1" t="n">
        <v>44936</v>
      </c>
      <c r="C568" s="1" t="n">
        <v>45800</v>
      </c>
      <c r="D568" t="inlineStr">
        <is>
          <t>JÄMTLANDS LÄN</t>
        </is>
      </c>
      <c r="E568" t="inlineStr">
        <is>
          <t>ÖSTERSUND</t>
        </is>
      </c>
      <c r="G568" t="n">
        <v>2.3</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45800</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2420-2023</t>
        </is>
      </c>
      <c r="B570" s="1" t="n">
        <v>44943</v>
      </c>
      <c r="C570" s="1" t="n">
        <v>45800</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3339-2023</t>
        </is>
      </c>
      <c r="B571" s="1" t="n">
        <v>44949</v>
      </c>
      <c r="C571" s="1" t="n">
        <v>45800</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45800</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3949-2023</t>
        </is>
      </c>
      <c r="B573" s="1" t="n">
        <v>44950</v>
      </c>
      <c r="C573" s="1" t="n">
        <v>45800</v>
      </c>
      <c r="D573" t="inlineStr">
        <is>
          <t>JÄMTLANDS LÄN</t>
        </is>
      </c>
      <c r="E573" t="inlineStr">
        <is>
          <t>ÖSTERSUND</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4134-2023</t>
        </is>
      </c>
      <c r="B574" s="1" t="n">
        <v>44952</v>
      </c>
      <c r="C574" s="1" t="n">
        <v>45800</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45800</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45800</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4345-2023</t>
        </is>
      </c>
      <c r="B577" s="1" t="n">
        <v>44954</v>
      </c>
      <c r="C577" s="1" t="n">
        <v>45800</v>
      </c>
      <c r="D577" t="inlineStr">
        <is>
          <t>JÄMTLANDS LÄN</t>
        </is>
      </c>
      <c r="E577" t="inlineStr">
        <is>
          <t>ÖSTERSUND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5197-2023</t>
        </is>
      </c>
      <c r="B578" s="1" t="n">
        <v>44953</v>
      </c>
      <c r="C578" s="1" t="n">
        <v>45800</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4872-2023</t>
        </is>
      </c>
      <c r="B579" s="1" t="n">
        <v>44957</v>
      </c>
      <c r="C579" s="1" t="n">
        <v>45800</v>
      </c>
      <c r="D579" t="inlineStr">
        <is>
          <t>JÄMTLANDS LÄN</t>
        </is>
      </c>
      <c r="E579" t="inlineStr">
        <is>
          <t>ÖSTERSUND</t>
        </is>
      </c>
      <c r="G579" t="n">
        <v>10.7</v>
      </c>
      <c r="H579" t="n">
        <v>0</v>
      </c>
      <c r="I579" t="n">
        <v>0</v>
      </c>
      <c r="J579" t="n">
        <v>0</v>
      </c>
      <c r="K579" t="n">
        <v>0</v>
      </c>
      <c r="L579" t="n">
        <v>0</v>
      </c>
      <c r="M579" t="n">
        <v>0</v>
      </c>
      <c r="N579" t="n">
        <v>0</v>
      </c>
      <c r="O579" t="n">
        <v>0</v>
      </c>
      <c r="P579" t="n">
        <v>0</v>
      </c>
      <c r="Q579" t="n">
        <v>0</v>
      </c>
      <c r="R579" s="2" t="inlineStr"/>
    </row>
    <row r="580" ht="15" customHeight="1">
      <c r="A580" t="inlineStr">
        <is>
          <t>A 5951-2023</t>
        </is>
      </c>
      <c r="B580" s="1" t="n">
        <v>44963</v>
      </c>
      <c r="C580" s="1" t="n">
        <v>45800</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5950-2023</t>
        </is>
      </c>
      <c r="B581" s="1" t="n">
        <v>44963</v>
      </c>
      <c r="C581" s="1" t="n">
        <v>45800</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6341-2023</t>
        </is>
      </c>
      <c r="B582" s="1" t="n">
        <v>44965</v>
      </c>
      <c r="C582" s="1" t="n">
        <v>45800</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7327-2023</t>
        </is>
      </c>
      <c r="B583" s="1" t="n">
        <v>44971</v>
      </c>
      <c r="C583" s="1" t="n">
        <v>45800</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7983-2023</t>
        </is>
      </c>
      <c r="B584" s="1" t="n">
        <v>44970</v>
      </c>
      <c r="C584" s="1" t="n">
        <v>45800</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8223-2023</t>
        </is>
      </c>
      <c r="B585" s="1" t="n">
        <v>44971</v>
      </c>
      <c r="C585" s="1" t="n">
        <v>45800</v>
      </c>
      <c r="D585" t="inlineStr">
        <is>
          <t>JÄMTLANDS LÄN</t>
        </is>
      </c>
      <c r="E585" t="inlineStr">
        <is>
          <t>ÖSTERSUND</t>
        </is>
      </c>
      <c r="G585" t="n">
        <v>7.6</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45800</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8675-2023</t>
        </is>
      </c>
      <c r="B587" s="1" t="n">
        <v>44978</v>
      </c>
      <c r="C587" s="1" t="n">
        <v>45800</v>
      </c>
      <c r="D587" t="inlineStr">
        <is>
          <t>JÄMTLANDS LÄN</t>
        </is>
      </c>
      <c r="E587" t="inlineStr">
        <is>
          <t>ÖSTERSUND</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10306-2023</t>
        </is>
      </c>
      <c r="B588" s="1" t="n">
        <v>44986</v>
      </c>
      <c r="C588" s="1" t="n">
        <v>45800</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10308-2023</t>
        </is>
      </c>
      <c r="B589" s="1" t="n">
        <v>44986</v>
      </c>
      <c r="C589" s="1" t="n">
        <v>45800</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10307-2023</t>
        </is>
      </c>
      <c r="B590" s="1" t="n">
        <v>44986</v>
      </c>
      <c r="C590" s="1" t="n">
        <v>45800</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10315-2023</t>
        </is>
      </c>
      <c r="B591" s="1" t="n">
        <v>44986</v>
      </c>
      <c r="C591" s="1" t="n">
        <v>45800</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10305-2023</t>
        </is>
      </c>
      <c r="B592" s="1" t="n">
        <v>44986</v>
      </c>
      <c r="C592" s="1" t="n">
        <v>45800</v>
      </c>
      <c r="D592" t="inlineStr">
        <is>
          <t>JÄMTLANDS LÄN</t>
        </is>
      </c>
      <c r="E592" t="inlineStr">
        <is>
          <t>ÖSTERSUND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11356-2023</t>
        </is>
      </c>
      <c r="B593" s="1" t="n">
        <v>44993</v>
      </c>
      <c r="C593" s="1" t="n">
        <v>45800</v>
      </c>
      <c r="D593" t="inlineStr">
        <is>
          <t>JÄMTLANDS LÄN</t>
        </is>
      </c>
      <c r="E593" t="inlineStr">
        <is>
          <t>ÖSTERSUND</t>
        </is>
      </c>
      <c r="G593" t="n">
        <v>8.1</v>
      </c>
      <c r="H593" t="n">
        <v>0</v>
      </c>
      <c r="I593" t="n">
        <v>0</v>
      </c>
      <c r="J593" t="n">
        <v>0</v>
      </c>
      <c r="K593" t="n">
        <v>0</v>
      </c>
      <c r="L593" t="n">
        <v>0</v>
      </c>
      <c r="M593" t="n">
        <v>0</v>
      </c>
      <c r="N593" t="n">
        <v>0</v>
      </c>
      <c r="O593" t="n">
        <v>0</v>
      </c>
      <c r="P593" t="n">
        <v>0</v>
      </c>
      <c r="Q593" t="n">
        <v>0</v>
      </c>
      <c r="R593" s="2" t="inlineStr"/>
    </row>
    <row r="594" ht="15" customHeight="1">
      <c r="A594" t="inlineStr">
        <is>
          <t>A 12821-2023</t>
        </is>
      </c>
      <c r="B594" s="1" t="n">
        <v>45000</v>
      </c>
      <c r="C594" s="1" t="n">
        <v>45800</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13166-2023</t>
        </is>
      </c>
      <c r="B595" s="1" t="n">
        <v>45002</v>
      </c>
      <c r="C595" s="1" t="n">
        <v>45800</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13148-2023</t>
        </is>
      </c>
      <c r="B596" s="1" t="n">
        <v>45002</v>
      </c>
      <c r="C596" s="1" t="n">
        <v>45800</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13152-2023</t>
        </is>
      </c>
      <c r="B597" s="1" t="n">
        <v>45002</v>
      </c>
      <c r="C597" s="1" t="n">
        <v>45800</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45800</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13921-2023</t>
        </is>
      </c>
      <c r="B599" s="1" t="n">
        <v>45008</v>
      </c>
      <c r="C599" s="1" t="n">
        <v>45800</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14520-2023</t>
        </is>
      </c>
      <c r="B600" s="1" t="n">
        <v>45012</v>
      </c>
      <c r="C600" s="1" t="n">
        <v>45800</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14523-2023</t>
        </is>
      </c>
      <c r="B601" s="1" t="n">
        <v>45012</v>
      </c>
      <c r="C601" s="1" t="n">
        <v>45800</v>
      </c>
      <c r="D601" t="inlineStr">
        <is>
          <t>JÄMTLANDS LÄN</t>
        </is>
      </c>
      <c r="E601" t="inlineStr">
        <is>
          <t>ÖSTERSUND</t>
        </is>
      </c>
      <c r="G601" t="n">
        <v>4.5</v>
      </c>
      <c r="H601" t="n">
        <v>0</v>
      </c>
      <c r="I601" t="n">
        <v>0</v>
      </c>
      <c r="J601" t="n">
        <v>0</v>
      </c>
      <c r="K601" t="n">
        <v>0</v>
      </c>
      <c r="L601" t="n">
        <v>0</v>
      </c>
      <c r="M601" t="n">
        <v>0</v>
      </c>
      <c r="N601" t="n">
        <v>0</v>
      </c>
      <c r="O601" t="n">
        <v>0</v>
      </c>
      <c r="P601" t="n">
        <v>0</v>
      </c>
      <c r="Q601" t="n">
        <v>0</v>
      </c>
      <c r="R601" s="2" t="inlineStr"/>
    </row>
    <row r="602" ht="15" customHeight="1">
      <c r="A602" t="inlineStr">
        <is>
          <t>A 14521-2023</t>
        </is>
      </c>
      <c r="B602" s="1" t="n">
        <v>45013</v>
      </c>
      <c r="C602" s="1" t="n">
        <v>45800</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14518-2023</t>
        </is>
      </c>
      <c r="B603" s="1" t="n">
        <v>45012</v>
      </c>
      <c r="C603" s="1" t="n">
        <v>45800</v>
      </c>
      <c r="D603" t="inlineStr">
        <is>
          <t>JÄMTLANDS LÄN</t>
        </is>
      </c>
      <c r="E603" t="inlineStr">
        <is>
          <t>ÖSTERSUND</t>
        </is>
      </c>
      <c r="G603" t="n">
        <v>14.4</v>
      </c>
      <c r="H603" t="n">
        <v>0</v>
      </c>
      <c r="I603" t="n">
        <v>0</v>
      </c>
      <c r="J603" t="n">
        <v>0</v>
      </c>
      <c r="K603" t="n">
        <v>0</v>
      </c>
      <c r="L603" t="n">
        <v>0</v>
      </c>
      <c r="M603" t="n">
        <v>0</v>
      </c>
      <c r="N603" t="n">
        <v>0</v>
      </c>
      <c r="O603" t="n">
        <v>0</v>
      </c>
      <c r="P603" t="n">
        <v>0</v>
      </c>
      <c r="Q603" t="n">
        <v>0</v>
      </c>
      <c r="R603" s="2" t="inlineStr"/>
    </row>
    <row r="604" ht="15" customHeight="1">
      <c r="A604" t="inlineStr">
        <is>
          <t>A 15984-2023</t>
        </is>
      </c>
      <c r="B604" s="1" t="n">
        <v>45022</v>
      </c>
      <c r="C604" s="1" t="n">
        <v>45800</v>
      </c>
      <c r="D604" t="inlineStr">
        <is>
          <t>JÄMTLANDS LÄN</t>
        </is>
      </c>
      <c r="E604" t="inlineStr">
        <is>
          <t>ÖSTERSUND</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16666-2023</t>
        </is>
      </c>
      <c r="B605" s="1" t="n">
        <v>45028</v>
      </c>
      <c r="C605" s="1" t="n">
        <v>45800</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16682-2023</t>
        </is>
      </c>
      <c r="B606" s="1" t="n">
        <v>45028</v>
      </c>
      <c r="C606" s="1" t="n">
        <v>45800</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17225-2023</t>
        </is>
      </c>
      <c r="B607" s="1" t="n">
        <v>45035</v>
      </c>
      <c r="C607" s="1" t="n">
        <v>45800</v>
      </c>
      <c r="D607" t="inlineStr">
        <is>
          <t>JÄMTLANDS LÄN</t>
        </is>
      </c>
      <c r="E607" t="inlineStr">
        <is>
          <t>ÖSTERSUND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19573-2023</t>
        </is>
      </c>
      <c r="B608" s="1" t="n">
        <v>45049</v>
      </c>
      <c r="C608" s="1" t="n">
        <v>45800</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19750-2023</t>
        </is>
      </c>
      <c r="B609" s="1" t="n">
        <v>45050</v>
      </c>
      <c r="C609" s="1" t="n">
        <v>45800</v>
      </c>
      <c r="D609" t="inlineStr">
        <is>
          <t>JÄMTLANDS LÄN</t>
        </is>
      </c>
      <c r="E609" t="inlineStr">
        <is>
          <t>ÖSTERSUND</t>
        </is>
      </c>
      <c r="G609" t="n">
        <v>3.2</v>
      </c>
      <c r="H609" t="n">
        <v>0</v>
      </c>
      <c r="I609" t="n">
        <v>0</v>
      </c>
      <c r="J609" t="n">
        <v>0</v>
      </c>
      <c r="K609" t="n">
        <v>0</v>
      </c>
      <c r="L609" t="n">
        <v>0</v>
      </c>
      <c r="M609" t="n">
        <v>0</v>
      </c>
      <c r="N609" t="n">
        <v>0</v>
      </c>
      <c r="O609" t="n">
        <v>0</v>
      </c>
      <c r="P609" t="n">
        <v>0</v>
      </c>
      <c r="Q609" t="n">
        <v>0</v>
      </c>
      <c r="R609" s="2" t="inlineStr"/>
    </row>
    <row r="610" ht="15" customHeight="1">
      <c r="A610" t="inlineStr">
        <is>
          <t>A 20606-2023</t>
        </is>
      </c>
      <c r="B610" s="1" t="n">
        <v>45057</v>
      </c>
      <c r="C610" s="1" t="n">
        <v>45800</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20634-2023</t>
        </is>
      </c>
      <c r="B611" s="1" t="n">
        <v>45058</v>
      </c>
      <c r="C611" s="1" t="n">
        <v>45800</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20588-2023</t>
        </is>
      </c>
      <c r="B612" s="1" t="n">
        <v>45057</v>
      </c>
      <c r="C612" s="1" t="n">
        <v>45800</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20635-2023</t>
        </is>
      </c>
      <c r="B613" s="1" t="n">
        <v>45058</v>
      </c>
      <c r="C613" s="1" t="n">
        <v>45800</v>
      </c>
      <c r="D613" t="inlineStr">
        <is>
          <t>JÄMTLANDS LÄN</t>
        </is>
      </c>
      <c r="E613" t="inlineStr">
        <is>
          <t>ÖSTERSUND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20633-2023</t>
        </is>
      </c>
      <c r="B614" s="1" t="n">
        <v>45058</v>
      </c>
      <c r="C614" s="1" t="n">
        <v>45800</v>
      </c>
      <c r="D614" t="inlineStr">
        <is>
          <t>JÄMTLANDS LÄN</t>
        </is>
      </c>
      <c r="E614" t="inlineStr">
        <is>
          <t>ÖSTERSUND</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20636-2023</t>
        </is>
      </c>
      <c r="B615" s="1" t="n">
        <v>45058</v>
      </c>
      <c r="C615" s="1" t="n">
        <v>45800</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24515-2023</t>
        </is>
      </c>
      <c r="B616" s="1" t="n">
        <v>45077</v>
      </c>
      <c r="C616" s="1" t="n">
        <v>45800</v>
      </c>
      <c r="D616" t="inlineStr">
        <is>
          <t>JÄMTLANDS LÄN</t>
        </is>
      </c>
      <c r="E616" t="inlineStr">
        <is>
          <t>ÖSTERSUND</t>
        </is>
      </c>
      <c r="G616" t="n">
        <v>27.8</v>
      </c>
      <c r="H616" t="n">
        <v>0</v>
      </c>
      <c r="I616" t="n">
        <v>0</v>
      </c>
      <c r="J616" t="n">
        <v>0</v>
      </c>
      <c r="K616" t="n">
        <v>0</v>
      </c>
      <c r="L616" t="n">
        <v>0</v>
      </c>
      <c r="M616" t="n">
        <v>0</v>
      </c>
      <c r="N616" t="n">
        <v>0</v>
      </c>
      <c r="O616" t="n">
        <v>0</v>
      </c>
      <c r="P616" t="n">
        <v>0</v>
      </c>
      <c r="Q616" t="n">
        <v>0</v>
      </c>
      <c r="R616" s="2" t="inlineStr"/>
    </row>
    <row r="617" ht="15" customHeight="1">
      <c r="A617" t="inlineStr">
        <is>
          <t>A 24396-2023</t>
        </is>
      </c>
      <c r="B617" s="1" t="n">
        <v>45082</v>
      </c>
      <c r="C617" s="1" t="n">
        <v>45800</v>
      </c>
      <c r="D617" t="inlineStr">
        <is>
          <t>JÄMTLANDS LÄN</t>
        </is>
      </c>
      <c r="E617" t="inlineStr">
        <is>
          <t>ÖSTERSUND</t>
        </is>
      </c>
      <c r="F617" t="inlineStr">
        <is>
          <t>Kyrkan</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25727-2023</t>
        </is>
      </c>
      <c r="B618" s="1" t="n">
        <v>45084</v>
      </c>
      <c r="C618" s="1" t="n">
        <v>45800</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25866-2023</t>
        </is>
      </c>
      <c r="B619" s="1" t="n">
        <v>45084</v>
      </c>
      <c r="C619" s="1" t="n">
        <v>45800</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25496-2023</t>
        </is>
      </c>
      <c r="B620" s="1" t="n">
        <v>45089</v>
      </c>
      <c r="C620" s="1" t="n">
        <v>45800</v>
      </c>
      <c r="D620" t="inlineStr">
        <is>
          <t>JÄMTLANDS LÄN</t>
        </is>
      </c>
      <c r="E620" t="inlineStr">
        <is>
          <t>ÖSTERSUND</t>
        </is>
      </c>
      <c r="F620" t="inlineStr">
        <is>
          <t>Kyrkan</t>
        </is>
      </c>
      <c r="G620" t="n">
        <v>5.7</v>
      </c>
      <c r="H620" t="n">
        <v>0</v>
      </c>
      <c r="I620" t="n">
        <v>0</v>
      </c>
      <c r="J620" t="n">
        <v>0</v>
      </c>
      <c r="K620" t="n">
        <v>0</v>
      </c>
      <c r="L620" t="n">
        <v>0</v>
      </c>
      <c r="M620" t="n">
        <v>0</v>
      </c>
      <c r="N620" t="n">
        <v>0</v>
      </c>
      <c r="O620" t="n">
        <v>0</v>
      </c>
      <c r="P620" t="n">
        <v>0</v>
      </c>
      <c r="Q620" t="n">
        <v>0</v>
      </c>
      <c r="R620" s="2" t="inlineStr"/>
    </row>
    <row r="621" ht="15" customHeight="1">
      <c r="A621" t="inlineStr">
        <is>
          <t>A 25535-2023</t>
        </is>
      </c>
      <c r="B621" s="1" t="n">
        <v>45089</v>
      </c>
      <c r="C621" s="1" t="n">
        <v>45800</v>
      </c>
      <c r="D621" t="inlineStr">
        <is>
          <t>JÄMTLANDS LÄN</t>
        </is>
      </c>
      <c r="E621" t="inlineStr">
        <is>
          <t>ÖSTERSUND</t>
        </is>
      </c>
      <c r="G621" t="n">
        <v>1</v>
      </c>
      <c r="H621" t="n">
        <v>0</v>
      </c>
      <c r="I621" t="n">
        <v>0</v>
      </c>
      <c r="J621" t="n">
        <v>0</v>
      </c>
      <c r="K621" t="n">
        <v>0</v>
      </c>
      <c r="L621" t="n">
        <v>0</v>
      </c>
      <c r="M621" t="n">
        <v>0</v>
      </c>
      <c r="N621" t="n">
        <v>0</v>
      </c>
      <c r="O621" t="n">
        <v>0</v>
      </c>
      <c r="P621" t="n">
        <v>0</v>
      </c>
      <c r="Q621" t="n">
        <v>0</v>
      </c>
      <c r="R621" s="2" t="inlineStr"/>
    </row>
    <row r="622" ht="15" customHeight="1">
      <c r="A622" t="inlineStr">
        <is>
          <t>A 25514-2023</t>
        </is>
      </c>
      <c r="B622" s="1" t="n">
        <v>45089</v>
      </c>
      <c r="C622" s="1" t="n">
        <v>45800</v>
      </c>
      <c r="D622" t="inlineStr">
        <is>
          <t>JÄMTLANDS LÄN</t>
        </is>
      </c>
      <c r="E622" t="inlineStr">
        <is>
          <t>ÖSTERSUND</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26565-2023</t>
        </is>
      </c>
      <c r="B623" s="1" t="n">
        <v>45089</v>
      </c>
      <c r="C623" s="1" t="n">
        <v>45800</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26521-2023</t>
        </is>
      </c>
      <c r="B624" s="1" t="n">
        <v>45089</v>
      </c>
      <c r="C624" s="1" t="n">
        <v>45800</v>
      </c>
      <c r="D624" t="inlineStr">
        <is>
          <t>JÄMTLANDS LÄN</t>
        </is>
      </c>
      <c r="E624" t="inlineStr">
        <is>
          <t>ÖSTERSUND</t>
        </is>
      </c>
      <c r="G624" t="n">
        <v>11.7</v>
      </c>
      <c r="H624" t="n">
        <v>0</v>
      </c>
      <c r="I624" t="n">
        <v>0</v>
      </c>
      <c r="J624" t="n">
        <v>0</v>
      </c>
      <c r="K624" t="n">
        <v>0</v>
      </c>
      <c r="L624" t="n">
        <v>0</v>
      </c>
      <c r="M624" t="n">
        <v>0</v>
      </c>
      <c r="N624" t="n">
        <v>0</v>
      </c>
      <c r="O624" t="n">
        <v>0</v>
      </c>
      <c r="P624" t="n">
        <v>0</v>
      </c>
      <c r="Q624" t="n">
        <v>0</v>
      </c>
      <c r="R624" s="2" t="inlineStr"/>
    </row>
    <row r="625" ht="15" customHeight="1">
      <c r="A625" t="inlineStr">
        <is>
          <t>A 25789-2023</t>
        </is>
      </c>
      <c r="B625" s="1" t="n">
        <v>45090</v>
      </c>
      <c r="C625" s="1" t="n">
        <v>45800</v>
      </c>
      <c r="D625" t="inlineStr">
        <is>
          <t>JÄMTLANDS LÄN</t>
        </is>
      </c>
      <c r="E625" t="inlineStr">
        <is>
          <t>ÖSTERSUND</t>
        </is>
      </c>
      <c r="G625" t="n">
        <v>3.1</v>
      </c>
      <c r="H625" t="n">
        <v>0</v>
      </c>
      <c r="I625" t="n">
        <v>0</v>
      </c>
      <c r="J625" t="n">
        <v>0</v>
      </c>
      <c r="K625" t="n">
        <v>0</v>
      </c>
      <c r="L625" t="n">
        <v>0</v>
      </c>
      <c r="M625" t="n">
        <v>0</v>
      </c>
      <c r="N625" t="n">
        <v>0</v>
      </c>
      <c r="O625" t="n">
        <v>0</v>
      </c>
      <c r="P625" t="n">
        <v>0</v>
      </c>
      <c r="Q625" t="n">
        <v>0</v>
      </c>
      <c r="R625" s="2" t="inlineStr"/>
    </row>
    <row r="626" ht="15" customHeight="1">
      <c r="A626" t="inlineStr">
        <is>
          <t>A 26012-2023</t>
        </is>
      </c>
      <c r="B626" s="1" t="n">
        <v>45091</v>
      </c>
      <c r="C626" s="1" t="n">
        <v>45800</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27294-2023</t>
        </is>
      </c>
      <c r="B627" s="1" t="n">
        <v>45092</v>
      </c>
      <c r="C627" s="1" t="n">
        <v>45800</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27004-2023</t>
        </is>
      </c>
      <c r="B628" s="1" t="n">
        <v>45094</v>
      </c>
      <c r="C628" s="1" t="n">
        <v>45800</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27124-2023</t>
        </is>
      </c>
      <c r="B629" s="1" t="n">
        <v>45096</v>
      </c>
      <c r="C629" s="1" t="n">
        <v>45800</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27118-2023</t>
        </is>
      </c>
      <c r="B630" s="1" t="n">
        <v>45096</v>
      </c>
      <c r="C630" s="1" t="n">
        <v>45800</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27130-2023</t>
        </is>
      </c>
      <c r="B631" s="1" t="n">
        <v>45096</v>
      </c>
      <c r="C631" s="1" t="n">
        <v>45800</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29548-2023</t>
        </is>
      </c>
      <c r="B632" s="1" t="n">
        <v>45098</v>
      </c>
      <c r="C632" s="1" t="n">
        <v>45800</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30244-2023</t>
        </is>
      </c>
      <c r="B633" s="1" t="n">
        <v>45099</v>
      </c>
      <c r="C633" s="1" t="n">
        <v>45800</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30262-2023</t>
        </is>
      </c>
      <c r="B634" s="1" t="n">
        <v>45099</v>
      </c>
      <c r="C634" s="1" t="n">
        <v>45800</v>
      </c>
      <c r="D634" t="inlineStr">
        <is>
          <t>JÄMTLANDS LÄN</t>
        </is>
      </c>
      <c r="E634" t="inlineStr">
        <is>
          <t>ÖSTERSUND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30255-2023</t>
        </is>
      </c>
      <c r="B635" s="1" t="n">
        <v>45099</v>
      </c>
      <c r="C635" s="1" t="n">
        <v>45800</v>
      </c>
      <c r="D635" t="inlineStr">
        <is>
          <t>JÄMTLANDS LÄN</t>
        </is>
      </c>
      <c r="E635" t="inlineStr">
        <is>
          <t>ÖSTERSUND</t>
        </is>
      </c>
      <c r="G635" t="n">
        <v>20.2</v>
      </c>
      <c r="H635" t="n">
        <v>0</v>
      </c>
      <c r="I635" t="n">
        <v>0</v>
      </c>
      <c r="J635" t="n">
        <v>0</v>
      </c>
      <c r="K635" t="n">
        <v>0</v>
      </c>
      <c r="L635" t="n">
        <v>0</v>
      </c>
      <c r="M635" t="n">
        <v>0</v>
      </c>
      <c r="N635" t="n">
        <v>0</v>
      </c>
      <c r="O635" t="n">
        <v>0</v>
      </c>
      <c r="P635" t="n">
        <v>0</v>
      </c>
      <c r="Q635" t="n">
        <v>0</v>
      </c>
      <c r="R635" s="2" t="inlineStr"/>
    </row>
    <row r="636" ht="15" customHeight="1">
      <c r="A636" t="inlineStr">
        <is>
          <t>A 30264-2023</t>
        </is>
      </c>
      <c r="B636" s="1" t="n">
        <v>45099</v>
      </c>
      <c r="C636" s="1" t="n">
        <v>45800</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30206-2023</t>
        </is>
      </c>
      <c r="B637" s="1" t="n">
        <v>45099</v>
      </c>
      <c r="C637" s="1" t="n">
        <v>45800</v>
      </c>
      <c r="D637" t="inlineStr">
        <is>
          <t>JÄMTLANDS LÄN</t>
        </is>
      </c>
      <c r="E637" t="inlineStr">
        <is>
          <t>ÖSTERSUND</t>
        </is>
      </c>
      <c r="G637" t="n">
        <v>3.9</v>
      </c>
      <c r="H637" t="n">
        <v>0</v>
      </c>
      <c r="I637" t="n">
        <v>0</v>
      </c>
      <c r="J637" t="n">
        <v>0</v>
      </c>
      <c r="K637" t="n">
        <v>0</v>
      </c>
      <c r="L637" t="n">
        <v>0</v>
      </c>
      <c r="M637" t="n">
        <v>0</v>
      </c>
      <c r="N637" t="n">
        <v>0</v>
      </c>
      <c r="O637" t="n">
        <v>0</v>
      </c>
      <c r="P637" t="n">
        <v>0</v>
      </c>
      <c r="Q637" t="n">
        <v>0</v>
      </c>
      <c r="R637" s="2" t="inlineStr"/>
    </row>
    <row r="638" ht="15" customHeight="1">
      <c r="A638" t="inlineStr">
        <is>
          <t>A 30236-2023</t>
        </is>
      </c>
      <c r="B638" s="1" t="n">
        <v>45099</v>
      </c>
      <c r="C638" s="1" t="n">
        <v>45800</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28747-2023</t>
        </is>
      </c>
      <c r="B639" s="1" t="n">
        <v>45103</v>
      </c>
      <c r="C639" s="1" t="n">
        <v>45800</v>
      </c>
      <c r="D639" t="inlineStr">
        <is>
          <t>JÄMTLANDS LÄN</t>
        </is>
      </c>
      <c r="E639" t="inlineStr">
        <is>
          <t>ÖSTERSUND</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31870-2023</t>
        </is>
      </c>
      <c r="B640" s="1" t="n">
        <v>45106</v>
      </c>
      <c r="C640" s="1" t="n">
        <v>45800</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29703-2023</t>
        </is>
      </c>
      <c r="B641" s="1" t="n">
        <v>45107</v>
      </c>
      <c r="C641" s="1" t="n">
        <v>45800</v>
      </c>
      <c r="D641" t="inlineStr">
        <is>
          <t>JÄMTLANDS LÄN</t>
        </is>
      </c>
      <c r="E641" t="inlineStr">
        <is>
          <t>ÖSTERSUND</t>
        </is>
      </c>
      <c r="G641" t="n">
        <v>0.3</v>
      </c>
      <c r="H641" t="n">
        <v>0</v>
      </c>
      <c r="I641" t="n">
        <v>0</v>
      </c>
      <c r="J641" t="n">
        <v>0</v>
      </c>
      <c r="K641" t="n">
        <v>0</v>
      </c>
      <c r="L641" t="n">
        <v>0</v>
      </c>
      <c r="M641" t="n">
        <v>0</v>
      </c>
      <c r="N641" t="n">
        <v>0</v>
      </c>
      <c r="O641" t="n">
        <v>0</v>
      </c>
      <c r="P641" t="n">
        <v>0</v>
      </c>
      <c r="Q641" t="n">
        <v>0</v>
      </c>
      <c r="R641" s="2" t="inlineStr"/>
    </row>
    <row r="642" ht="15" customHeight="1">
      <c r="A642" t="inlineStr">
        <is>
          <t>A 29682-2023</t>
        </is>
      </c>
      <c r="B642" s="1" t="n">
        <v>45107</v>
      </c>
      <c r="C642" s="1" t="n">
        <v>45800</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30602-2023</t>
        </is>
      </c>
      <c r="B643" s="1" t="n">
        <v>45112</v>
      </c>
      <c r="C643" s="1" t="n">
        <v>45800</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31551-2023</t>
        </is>
      </c>
      <c r="B644" s="1" t="n">
        <v>45117</v>
      </c>
      <c r="C644" s="1" t="n">
        <v>45800</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31600-2023</t>
        </is>
      </c>
      <c r="B645" s="1" t="n">
        <v>45117</v>
      </c>
      <c r="C645" s="1" t="n">
        <v>45800</v>
      </c>
      <c r="D645" t="inlineStr">
        <is>
          <t>JÄMTLANDS LÄN</t>
        </is>
      </c>
      <c r="E645" t="inlineStr">
        <is>
          <t>ÖSTERSUND</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31549-2023</t>
        </is>
      </c>
      <c r="B646" s="1" t="n">
        <v>45117</v>
      </c>
      <c r="C646" s="1" t="n">
        <v>45800</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33501-2023</t>
        </is>
      </c>
      <c r="B647" s="1" t="n">
        <v>45118</v>
      </c>
      <c r="C647" s="1" t="n">
        <v>45800</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33502-2023</t>
        </is>
      </c>
      <c r="B648" s="1" t="n">
        <v>45118</v>
      </c>
      <c r="C648" s="1" t="n">
        <v>45800</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32568-2023</t>
        </is>
      </c>
      <c r="B649" s="1" t="n">
        <v>45121</v>
      </c>
      <c r="C649" s="1" t="n">
        <v>45800</v>
      </c>
      <c r="D649" t="inlineStr">
        <is>
          <t>JÄMTLANDS LÄN</t>
        </is>
      </c>
      <c r="E649" t="inlineStr">
        <is>
          <t>ÖSTERSUND</t>
        </is>
      </c>
      <c r="G649" t="n">
        <v>14.9</v>
      </c>
      <c r="H649" t="n">
        <v>0</v>
      </c>
      <c r="I649" t="n">
        <v>0</v>
      </c>
      <c r="J649" t="n">
        <v>0</v>
      </c>
      <c r="K649" t="n">
        <v>0</v>
      </c>
      <c r="L649" t="n">
        <v>0</v>
      </c>
      <c r="M649" t="n">
        <v>0</v>
      </c>
      <c r="N649" t="n">
        <v>0</v>
      </c>
      <c r="O649" t="n">
        <v>0</v>
      </c>
      <c r="P649" t="n">
        <v>0</v>
      </c>
      <c r="Q649" t="n">
        <v>0</v>
      </c>
      <c r="R649" s="2" t="inlineStr"/>
    </row>
    <row r="650" ht="15" customHeight="1">
      <c r="A650" t="inlineStr">
        <is>
          <t>A 34052-2023</t>
        </is>
      </c>
      <c r="B650" s="1" t="n">
        <v>45125</v>
      </c>
      <c r="C650" s="1" t="n">
        <v>45800</v>
      </c>
      <c r="D650" t="inlineStr">
        <is>
          <t>JÄMTLANDS LÄN</t>
        </is>
      </c>
      <c r="E650" t="inlineStr">
        <is>
          <t>ÖSTERSUND</t>
        </is>
      </c>
      <c r="G650" t="n">
        <v>4</v>
      </c>
      <c r="H650" t="n">
        <v>0</v>
      </c>
      <c r="I650" t="n">
        <v>0</v>
      </c>
      <c r="J650" t="n">
        <v>0</v>
      </c>
      <c r="K650" t="n">
        <v>0</v>
      </c>
      <c r="L650" t="n">
        <v>0</v>
      </c>
      <c r="M650" t="n">
        <v>0</v>
      </c>
      <c r="N650" t="n">
        <v>0</v>
      </c>
      <c r="O650" t="n">
        <v>0</v>
      </c>
      <c r="P650" t="n">
        <v>0</v>
      </c>
      <c r="Q650" t="n">
        <v>0</v>
      </c>
      <c r="R650" s="2" t="inlineStr"/>
    </row>
    <row r="651" ht="15" customHeight="1">
      <c r="A651" t="inlineStr">
        <is>
          <t>A 33875-2023</t>
        </is>
      </c>
      <c r="B651" s="1" t="n">
        <v>45134</v>
      </c>
      <c r="C651" s="1" t="n">
        <v>45800</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34482-2023</t>
        </is>
      </c>
      <c r="B652" s="1" t="n">
        <v>45140</v>
      </c>
      <c r="C652" s="1" t="n">
        <v>45800</v>
      </c>
      <c r="D652" t="inlineStr">
        <is>
          <t>JÄMTLANDS LÄN</t>
        </is>
      </c>
      <c r="E652" t="inlineStr">
        <is>
          <t>ÖSTERSUND</t>
        </is>
      </c>
      <c r="F652" t="inlineStr">
        <is>
          <t>SCA</t>
        </is>
      </c>
      <c r="G652" t="n">
        <v>50</v>
      </c>
      <c r="H652" t="n">
        <v>0</v>
      </c>
      <c r="I652" t="n">
        <v>0</v>
      </c>
      <c r="J652" t="n">
        <v>0</v>
      </c>
      <c r="K652" t="n">
        <v>0</v>
      </c>
      <c r="L652" t="n">
        <v>0</v>
      </c>
      <c r="M652" t="n">
        <v>0</v>
      </c>
      <c r="N652" t="n">
        <v>0</v>
      </c>
      <c r="O652" t="n">
        <v>0</v>
      </c>
      <c r="P652" t="n">
        <v>0</v>
      </c>
      <c r="Q652" t="n">
        <v>0</v>
      </c>
      <c r="R652" s="2" t="inlineStr"/>
    </row>
    <row r="653" ht="15" customHeight="1">
      <c r="A653" t="inlineStr">
        <is>
          <t>A 34688-2023</t>
        </is>
      </c>
      <c r="B653" s="1" t="n">
        <v>45141</v>
      </c>
      <c r="C653" s="1" t="n">
        <v>45800</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45800</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37140-2023</t>
        </is>
      </c>
      <c r="B655" s="1" t="n">
        <v>45154</v>
      </c>
      <c r="C655" s="1" t="n">
        <v>45800</v>
      </c>
      <c r="D655" t="inlineStr">
        <is>
          <t>JÄMTLANDS LÄN</t>
        </is>
      </c>
      <c r="E655" t="inlineStr">
        <is>
          <t>ÖSTERSUND</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v>
      </c>
      <c r="C656" s="1" t="n">
        <v>45800</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37645-2023</t>
        </is>
      </c>
      <c r="B657" s="1" t="n">
        <v>45159</v>
      </c>
      <c r="C657" s="1" t="n">
        <v>45800</v>
      </c>
      <c r="D657" t="inlineStr">
        <is>
          <t>JÄMTLANDS LÄN</t>
        </is>
      </c>
      <c r="E657" t="inlineStr">
        <is>
          <t>ÖSTERSUND</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38335-2023</t>
        </is>
      </c>
      <c r="B658" s="1" t="n">
        <v>45161</v>
      </c>
      <c r="C658" s="1" t="n">
        <v>45800</v>
      </c>
      <c r="D658" t="inlineStr">
        <is>
          <t>JÄMTLANDS LÄN</t>
        </is>
      </c>
      <c r="E658" t="inlineStr">
        <is>
          <t>ÖSTERSUND</t>
        </is>
      </c>
      <c r="G658" t="n">
        <v>15.1</v>
      </c>
      <c r="H658" t="n">
        <v>0</v>
      </c>
      <c r="I658" t="n">
        <v>0</v>
      </c>
      <c r="J658" t="n">
        <v>0</v>
      </c>
      <c r="K658" t="n">
        <v>0</v>
      </c>
      <c r="L658" t="n">
        <v>0</v>
      </c>
      <c r="M658" t="n">
        <v>0</v>
      </c>
      <c r="N658" t="n">
        <v>0</v>
      </c>
      <c r="O658" t="n">
        <v>0</v>
      </c>
      <c r="P658" t="n">
        <v>0</v>
      </c>
      <c r="Q658" t="n">
        <v>0</v>
      </c>
      <c r="R658" s="2" t="inlineStr"/>
    </row>
    <row r="659" ht="15" customHeight="1">
      <c r="A659" t="inlineStr">
        <is>
          <t>A 38713-2023</t>
        </is>
      </c>
      <c r="B659" s="1" t="n">
        <v>45163</v>
      </c>
      <c r="C659" s="1" t="n">
        <v>45800</v>
      </c>
      <c r="D659" t="inlineStr">
        <is>
          <t>JÄMTLANDS LÄN</t>
        </is>
      </c>
      <c r="E659" t="inlineStr">
        <is>
          <t>ÖSTERSUND</t>
        </is>
      </c>
      <c r="G659" t="n">
        <v>6</v>
      </c>
      <c r="H659" t="n">
        <v>0</v>
      </c>
      <c r="I659" t="n">
        <v>0</v>
      </c>
      <c r="J659" t="n">
        <v>0</v>
      </c>
      <c r="K659" t="n">
        <v>0</v>
      </c>
      <c r="L659" t="n">
        <v>0</v>
      </c>
      <c r="M659" t="n">
        <v>0</v>
      </c>
      <c r="N659" t="n">
        <v>0</v>
      </c>
      <c r="O659" t="n">
        <v>0</v>
      </c>
      <c r="P659" t="n">
        <v>0</v>
      </c>
      <c r="Q659" t="n">
        <v>0</v>
      </c>
      <c r="R659" s="2" t="inlineStr"/>
    </row>
    <row r="660" ht="15" customHeight="1">
      <c r="A660" t="inlineStr">
        <is>
          <t>A 39494-2023</t>
        </is>
      </c>
      <c r="B660" s="1" t="n">
        <v>45166</v>
      </c>
      <c r="C660" s="1" t="n">
        <v>45800</v>
      </c>
      <c r="D660" t="inlineStr">
        <is>
          <t>JÄMTLANDS LÄN</t>
        </is>
      </c>
      <c r="E660" t="inlineStr">
        <is>
          <t>ÖSTERSUND</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45167</v>
      </c>
      <c r="C661" s="1" t="n">
        <v>45800</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39647-2023</t>
        </is>
      </c>
      <c r="B662" s="1" t="n">
        <v>45167</v>
      </c>
      <c r="C662" s="1" t="n">
        <v>45800</v>
      </c>
      <c r="D662" t="inlineStr">
        <is>
          <t>JÄMTLANDS LÄN</t>
        </is>
      </c>
      <c r="E662" t="inlineStr">
        <is>
          <t>ÖSTERSUND</t>
        </is>
      </c>
      <c r="G662" t="n">
        <v>1</v>
      </c>
      <c r="H662" t="n">
        <v>0</v>
      </c>
      <c r="I662" t="n">
        <v>0</v>
      </c>
      <c r="J662" t="n">
        <v>0</v>
      </c>
      <c r="K662" t="n">
        <v>0</v>
      </c>
      <c r="L662" t="n">
        <v>0</v>
      </c>
      <c r="M662" t="n">
        <v>0</v>
      </c>
      <c r="N662" t="n">
        <v>0</v>
      </c>
      <c r="O662" t="n">
        <v>0</v>
      </c>
      <c r="P662" t="n">
        <v>0</v>
      </c>
      <c r="Q662" t="n">
        <v>0</v>
      </c>
      <c r="R662" s="2" t="inlineStr"/>
    </row>
    <row r="663" ht="15" customHeight="1">
      <c r="A663" t="inlineStr">
        <is>
          <t>A 39652-2023</t>
        </is>
      </c>
      <c r="B663" s="1" t="n">
        <v>45167</v>
      </c>
      <c r="C663" s="1" t="n">
        <v>45800</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39805-2023</t>
        </is>
      </c>
      <c r="B664" s="1" t="n">
        <v>45168</v>
      </c>
      <c r="C664" s="1" t="n">
        <v>45800</v>
      </c>
      <c r="D664" t="inlineStr">
        <is>
          <t>JÄMTLANDS LÄN</t>
        </is>
      </c>
      <c r="E664" t="inlineStr">
        <is>
          <t>ÖSTERSUND</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40423-2023</t>
        </is>
      </c>
      <c r="B665" s="1" t="n">
        <v>45169</v>
      </c>
      <c r="C665" s="1" t="n">
        <v>45800</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40422-2023</t>
        </is>
      </c>
      <c r="B666" s="1" t="n">
        <v>45170</v>
      </c>
      <c r="C666" s="1" t="n">
        <v>45800</v>
      </c>
      <c r="D666" t="inlineStr">
        <is>
          <t>JÄMTLANDS LÄN</t>
        </is>
      </c>
      <c r="E666" t="inlineStr">
        <is>
          <t>ÖSTERSUND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40792-2023</t>
        </is>
      </c>
      <c r="B667" s="1" t="n">
        <v>45170</v>
      </c>
      <c r="C667" s="1" t="n">
        <v>45800</v>
      </c>
      <c r="D667" t="inlineStr">
        <is>
          <t>JÄMTLANDS LÄN</t>
        </is>
      </c>
      <c r="E667" t="inlineStr">
        <is>
          <t>ÖSTERSUND</t>
        </is>
      </c>
      <c r="G667" t="n">
        <v>22.4</v>
      </c>
      <c r="H667" t="n">
        <v>0</v>
      </c>
      <c r="I667" t="n">
        <v>0</v>
      </c>
      <c r="J667" t="n">
        <v>0</v>
      </c>
      <c r="K667" t="n">
        <v>0</v>
      </c>
      <c r="L667" t="n">
        <v>0</v>
      </c>
      <c r="M667" t="n">
        <v>0</v>
      </c>
      <c r="N667" t="n">
        <v>0</v>
      </c>
      <c r="O667" t="n">
        <v>0</v>
      </c>
      <c r="P667" t="n">
        <v>0</v>
      </c>
      <c r="Q667" t="n">
        <v>0</v>
      </c>
      <c r="R667" s="2" t="inlineStr"/>
    </row>
    <row r="668" ht="15" customHeight="1">
      <c r="A668" t="inlineStr">
        <is>
          <t>A 40772-2023</t>
        </is>
      </c>
      <c r="B668" s="1" t="n">
        <v>45171</v>
      </c>
      <c r="C668" s="1" t="n">
        <v>45800</v>
      </c>
      <c r="D668" t="inlineStr">
        <is>
          <t>JÄMTLANDS LÄN</t>
        </is>
      </c>
      <c r="E668" t="inlineStr">
        <is>
          <t>ÖSTERSUND</t>
        </is>
      </c>
      <c r="F668" t="inlineStr">
        <is>
          <t>SCA</t>
        </is>
      </c>
      <c r="G668" t="n">
        <v>17.6</v>
      </c>
      <c r="H668" t="n">
        <v>0</v>
      </c>
      <c r="I668" t="n">
        <v>0</v>
      </c>
      <c r="J668" t="n">
        <v>0</v>
      </c>
      <c r="K668" t="n">
        <v>0</v>
      </c>
      <c r="L668" t="n">
        <v>0</v>
      </c>
      <c r="M668" t="n">
        <v>0</v>
      </c>
      <c r="N668" t="n">
        <v>0</v>
      </c>
      <c r="O668" t="n">
        <v>0</v>
      </c>
      <c r="P668" t="n">
        <v>0</v>
      </c>
      <c r="Q668" t="n">
        <v>0</v>
      </c>
      <c r="R668" s="2" t="inlineStr"/>
    </row>
    <row r="669" ht="15" customHeight="1">
      <c r="A669" t="inlineStr">
        <is>
          <t>A 41224-2023</t>
        </is>
      </c>
      <c r="B669" s="1" t="n">
        <v>45174</v>
      </c>
      <c r="C669" s="1" t="n">
        <v>45800</v>
      </c>
      <c r="D669" t="inlineStr">
        <is>
          <t>JÄMTLANDS LÄN</t>
        </is>
      </c>
      <c r="E669" t="inlineStr">
        <is>
          <t>ÖSTERSUND</t>
        </is>
      </c>
      <c r="G669" t="n">
        <v>13.3</v>
      </c>
      <c r="H669" t="n">
        <v>0</v>
      </c>
      <c r="I669" t="n">
        <v>0</v>
      </c>
      <c r="J669" t="n">
        <v>0</v>
      </c>
      <c r="K669" t="n">
        <v>0</v>
      </c>
      <c r="L669" t="n">
        <v>0</v>
      </c>
      <c r="M669" t="n">
        <v>0</v>
      </c>
      <c r="N669" t="n">
        <v>0</v>
      </c>
      <c r="O669" t="n">
        <v>0</v>
      </c>
      <c r="P669" t="n">
        <v>0</v>
      </c>
      <c r="Q669" t="n">
        <v>0</v>
      </c>
      <c r="R669" s="2" t="inlineStr"/>
    </row>
    <row r="670" ht="15" customHeight="1">
      <c r="A670" t="inlineStr">
        <is>
          <t>A 41649-2023</t>
        </is>
      </c>
      <c r="B670" s="1" t="n">
        <v>45176</v>
      </c>
      <c r="C670" s="1" t="n">
        <v>45800</v>
      </c>
      <c r="D670" t="inlineStr">
        <is>
          <t>JÄMTLANDS LÄN</t>
        </is>
      </c>
      <c r="E670" t="inlineStr">
        <is>
          <t>ÖSTERSUND</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41919-2023</t>
        </is>
      </c>
      <c r="B671" s="1" t="n">
        <v>45177</v>
      </c>
      <c r="C671" s="1" t="n">
        <v>45800</v>
      </c>
      <c r="D671" t="inlineStr">
        <is>
          <t>JÄMTLANDS LÄN</t>
        </is>
      </c>
      <c r="E671" t="inlineStr">
        <is>
          <t>ÖSTERSUND</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41918-2023</t>
        </is>
      </c>
      <c r="B672" s="1" t="n">
        <v>45177</v>
      </c>
      <c r="C672" s="1" t="n">
        <v>45800</v>
      </c>
      <c r="D672" t="inlineStr">
        <is>
          <t>JÄMTLANDS LÄN</t>
        </is>
      </c>
      <c r="E672" t="inlineStr">
        <is>
          <t>ÖSTERSUND</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41900-2023</t>
        </is>
      </c>
      <c r="B673" s="1" t="n">
        <v>45176</v>
      </c>
      <c r="C673" s="1" t="n">
        <v>45800</v>
      </c>
      <c r="D673" t="inlineStr">
        <is>
          <t>JÄMTLANDS LÄN</t>
        </is>
      </c>
      <c r="E673" t="inlineStr">
        <is>
          <t>ÖSTERSUND</t>
        </is>
      </c>
      <c r="G673" t="n">
        <v>24.4</v>
      </c>
      <c r="H673" t="n">
        <v>0</v>
      </c>
      <c r="I673" t="n">
        <v>0</v>
      </c>
      <c r="J673" t="n">
        <v>0</v>
      </c>
      <c r="K673" t="n">
        <v>0</v>
      </c>
      <c r="L673" t="n">
        <v>0</v>
      </c>
      <c r="M673" t="n">
        <v>0</v>
      </c>
      <c r="N673" t="n">
        <v>0</v>
      </c>
      <c r="O673" t="n">
        <v>0</v>
      </c>
      <c r="P673" t="n">
        <v>0</v>
      </c>
      <c r="Q673" t="n">
        <v>0</v>
      </c>
      <c r="R673" s="2" t="inlineStr"/>
    </row>
    <row r="674" ht="15" customHeight="1">
      <c r="A674" t="inlineStr">
        <is>
          <t>A 42151-2023</t>
        </is>
      </c>
      <c r="B674" s="1" t="n">
        <v>45178</v>
      </c>
      <c r="C674" s="1" t="n">
        <v>45800</v>
      </c>
      <c r="D674" t="inlineStr">
        <is>
          <t>JÄMTLANDS LÄN</t>
        </is>
      </c>
      <c r="E674" t="inlineStr">
        <is>
          <t>ÖSTERSUND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43557-2023</t>
        </is>
      </c>
      <c r="B675" s="1" t="n">
        <v>45181</v>
      </c>
      <c r="C675" s="1" t="n">
        <v>45800</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42664-2023</t>
        </is>
      </c>
      <c r="B676" s="1" t="n">
        <v>45181</v>
      </c>
      <c r="C676" s="1" t="n">
        <v>45800</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42679-2023</t>
        </is>
      </c>
      <c r="B677" s="1" t="n">
        <v>45181</v>
      </c>
      <c r="C677" s="1" t="n">
        <v>45800</v>
      </c>
      <c r="D677" t="inlineStr">
        <is>
          <t>JÄMTLANDS LÄN</t>
        </is>
      </c>
      <c r="E677" t="inlineStr">
        <is>
          <t>ÖSTERSUND</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43740-2023</t>
        </is>
      </c>
      <c r="B678" s="1" t="n">
        <v>45182</v>
      </c>
      <c r="C678" s="1" t="n">
        <v>45800</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43135-2023</t>
        </is>
      </c>
      <c r="B679" s="1" t="n">
        <v>45183</v>
      </c>
      <c r="C679" s="1" t="n">
        <v>45800</v>
      </c>
      <c r="D679" t="inlineStr">
        <is>
          <t>JÄMTLANDS LÄN</t>
        </is>
      </c>
      <c r="E679" t="inlineStr">
        <is>
          <t>ÖSTERSUND</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43252-2023</t>
        </is>
      </c>
      <c r="B680" s="1" t="n">
        <v>45183</v>
      </c>
      <c r="C680" s="1" t="n">
        <v>45800</v>
      </c>
      <c r="D680" t="inlineStr">
        <is>
          <t>JÄMTLANDS LÄN</t>
        </is>
      </c>
      <c r="E680" t="inlineStr">
        <is>
          <t>ÖSTERSUND</t>
        </is>
      </c>
      <c r="G680" t="n">
        <v>2.9</v>
      </c>
      <c r="H680" t="n">
        <v>0</v>
      </c>
      <c r="I680" t="n">
        <v>0</v>
      </c>
      <c r="J680" t="n">
        <v>0</v>
      </c>
      <c r="K680" t="n">
        <v>0</v>
      </c>
      <c r="L680" t="n">
        <v>0</v>
      </c>
      <c r="M680" t="n">
        <v>0</v>
      </c>
      <c r="N680" t="n">
        <v>0</v>
      </c>
      <c r="O680" t="n">
        <v>0</v>
      </c>
      <c r="P680" t="n">
        <v>0</v>
      </c>
      <c r="Q680" t="n">
        <v>0</v>
      </c>
      <c r="R680" s="2" t="inlineStr"/>
    </row>
    <row r="681" ht="15" customHeight="1">
      <c r="A681" t="inlineStr">
        <is>
          <t>A 44327-2023</t>
        </is>
      </c>
      <c r="B681" s="1" t="n">
        <v>45188</v>
      </c>
      <c r="C681" s="1" t="n">
        <v>45800</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44359-2023</t>
        </is>
      </c>
      <c r="B682" s="1" t="n">
        <v>45188</v>
      </c>
      <c r="C682" s="1" t="n">
        <v>45800</v>
      </c>
      <c r="D682" t="inlineStr">
        <is>
          <t>JÄMTLANDS LÄN</t>
        </is>
      </c>
      <c r="E682" t="inlineStr">
        <is>
          <t>ÖSTERSUND</t>
        </is>
      </c>
      <c r="G682" t="n">
        <v>8.1</v>
      </c>
      <c r="H682" t="n">
        <v>0</v>
      </c>
      <c r="I682" t="n">
        <v>0</v>
      </c>
      <c r="J682" t="n">
        <v>0</v>
      </c>
      <c r="K682" t="n">
        <v>0</v>
      </c>
      <c r="L682" t="n">
        <v>0</v>
      </c>
      <c r="M682" t="n">
        <v>0</v>
      </c>
      <c r="N682" t="n">
        <v>0</v>
      </c>
      <c r="O682" t="n">
        <v>0</v>
      </c>
      <c r="P682" t="n">
        <v>0</v>
      </c>
      <c r="Q682" t="n">
        <v>0</v>
      </c>
      <c r="R682" s="2" t="inlineStr"/>
    </row>
    <row r="683" ht="15" customHeight="1">
      <c r="A683" t="inlineStr">
        <is>
          <t>A 45980-2023</t>
        </is>
      </c>
      <c r="B683" s="1" t="n">
        <v>45189</v>
      </c>
      <c r="C683" s="1" t="n">
        <v>45800</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44719-2023</t>
        </is>
      </c>
      <c r="B684" s="1" t="n">
        <v>45190</v>
      </c>
      <c r="C684" s="1" t="n">
        <v>45800</v>
      </c>
      <c r="D684" t="inlineStr">
        <is>
          <t>JÄMTLANDS LÄN</t>
        </is>
      </c>
      <c r="E684" t="inlineStr">
        <is>
          <t>ÖSTERSUND</t>
        </is>
      </c>
      <c r="G684" t="n">
        <v>17.5</v>
      </c>
      <c r="H684" t="n">
        <v>0</v>
      </c>
      <c r="I684" t="n">
        <v>0</v>
      </c>
      <c r="J684" t="n">
        <v>0</v>
      </c>
      <c r="K684" t="n">
        <v>0</v>
      </c>
      <c r="L684" t="n">
        <v>0</v>
      </c>
      <c r="M684" t="n">
        <v>0</v>
      </c>
      <c r="N684" t="n">
        <v>0</v>
      </c>
      <c r="O684" t="n">
        <v>0</v>
      </c>
      <c r="P684" t="n">
        <v>0</v>
      </c>
      <c r="Q684" t="n">
        <v>0</v>
      </c>
      <c r="R684" s="2" t="inlineStr"/>
    </row>
    <row r="685" ht="15" customHeight="1">
      <c r="A685" t="inlineStr">
        <is>
          <t>A 44798-2023</t>
        </is>
      </c>
      <c r="B685" s="1" t="n">
        <v>45190</v>
      </c>
      <c r="C685" s="1" t="n">
        <v>45800</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46375-2023</t>
        </is>
      </c>
      <c r="B686" s="1" t="n">
        <v>45197</v>
      </c>
      <c r="C686" s="1" t="n">
        <v>45800</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46763-2023</t>
        </is>
      </c>
      <c r="B687" s="1" t="n">
        <v>45198</v>
      </c>
      <c r="C687" s="1" t="n">
        <v>45800</v>
      </c>
      <c r="D687" t="inlineStr">
        <is>
          <t>JÄMTLANDS LÄN</t>
        </is>
      </c>
      <c r="E687" t="inlineStr">
        <is>
          <t>ÖSTERSUND</t>
        </is>
      </c>
      <c r="F687" t="inlineStr">
        <is>
          <t>Sveaskog</t>
        </is>
      </c>
      <c r="G687" t="n">
        <v>13.3</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45800</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47086-2023</t>
        </is>
      </c>
      <c r="B689" s="1" t="n">
        <v>45201</v>
      </c>
      <c r="C689" s="1" t="n">
        <v>45800</v>
      </c>
      <c r="D689" t="inlineStr">
        <is>
          <t>JÄMTLANDS LÄN</t>
        </is>
      </c>
      <c r="E689" t="inlineStr">
        <is>
          <t>ÖSTERSUND</t>
        </is>
      </c>
      <c r="G689" t="n">
        <v>12</v>
      </c>
      <c r="H689" t="n">
        <v>0</v>
      </c>
      <c r="I689" t="n">
        <v>0</v>
      </c>
      <c r="J689" t="n">
        <v>0</v>
      </c>
      <c r="K689" t="n">
        <v>0</v>
      </c>
      <c r="L689" t="n">
        <v>0</v>
      </c>
      <c r="M689" t="n">
        <v>0</v>
      </c>
      <c r="N689" t="n">
        <v>0</v>
      </c>
      <c r="O689" t="n">
        <v>0</v>
      </c>
      <c r="P689" t="n">
        <v>0</v>
      </c>
      <c r="Q689" t="n">
        <v>0</v>
      </c>
      <c r="R689" s="2" t="inlineStr"/>
    </row>
    <row r="690" ht="15" customHeight="1">
      <c r="A690" t="inlineStr">
        <is>
          <t>A 47252-2023</t>
        </is>
      </c>
      <c r="B690" s="1" t="n">
        <v>45202</v>
      </c>
      <c r="C690" s="1" t="n">
        <v>45800</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45800</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48374-2023</t>
        </is>
      </c>
      <c r="B692" s="1" t="n">
        <v>45205</v>
      </c>
      <c r="C692" s="1" t="n">
        <v>45800</v>
      </c>
      <c r="D692" t="inlineStr">
        <is>
          <t>JÄMTLANDS LÄN</t>
        </is>
      </c>
      <c r="E692" t="inlineStr">
        <is>
          <t>ÖSTERSUND</t>
        </is>
      </c>
      <c r="G692" t="n">
        <v>5.6</v>
      </c>
      <c r="H692" t="n">
        <v>0</v>
      </c>
      <c r="I692" t="n">
        <v>0</v>
      </c>
      <c r="J692" t="n">
        <v>0</v>
      </c>
      <c r="K692" t="n">
        <v>0</v>
      </c>
      <c r="L692" t="n">
        <v>0</v>
      </c>
      <c r="M692" t="n">
        <v>0</v>
      </c>
      <c r="N692" t="n">
        <v>0</v>
      </c>
      <c r="O692" t="n">
        <v>0</v>
      </c>
      <c r="P692" t="n">
        <v>0</v>
      </c>
      <c r="Q692" t="n">
        <v>0</v>
      </c>
      <c r="R692" s="2" t="inlineStr"/>
    </row>
    <row r="693" ht="15" customHeight="1">
      <c r="A693" t="inlineStr">
        <is>
          <t>A 50753-2023</t>
        </is>
      </c>
      <c r="B693" s="1" t="n">
        <v>45210</v>
      </c>
      <c r="C693" s="1" t="n">
        <v>45800</v>
      </c>
      <c r="D693" t="inlineStr">
        <is>
          <t>JÄMTLANDS LÄN</t>
        </is>
      </c>
      <c r="E693" t="inlineStr">
        <is>
          <t>ÖSTERSUND</t>
        </is>
      </c>
      <c r="G693" t="n">
        <v>29.3</v>
      </c>
      <c r="H693" t="n">
        <v>0</v>
      </c>
      <c r="I693" t="n">
        <v>0</v>
      </c>
      <c r="J693" t="n">
        <v>0</v>
      </c>
      <c r="K693" t="n">
        <v>0</v>
      </c>
      <c r="L693" t="n">
        <v>0</v>
      </c>
      <c r="M693" t="n">
        <v>0</v>
      </c>
      <c r="N693" t="n">
        <v>0</v>
      </c>
      <c r="O693" t="n">
        <v>0</v>
      </c>
      <c r="P693" t="n">
        <v>0</v>
      </c>
      <c r="Q693" t="n">
        <v>0</v>
      </c>
      <c r="R693" s="2" t="inlineStr"/>
    </row>
    <row r="694" ht="15" customHeight="1">
      <c r="A694" t="inlineStr">
        <is>
          <t>A 50953-2023</t>
        </is>
      </c>
      <c r="B694" s="1" t="n">
        <v>45211</v>
      </c>
      <c r="C694" s="1" t="n">
        <v>45800</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51701-2023</t>
        </is>
      </c>
      <c r="B695" s="1" t="n">
        <v>45215</v>
      </c>
      <c r="C695" s="1" t="n">
        <v>45800</v>
      </c>
      <c r="D695" t="inlineStr">
        <is>
          <t>JÄMTLANDS LÄN</t>
        </is>
      </c>
      <c r="E695" t="inlineStr">
        <is>
          <t>ÖSTERSUND</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52209-2023</t>
        </is>
      </c>
      <c r="B696" s="1" t="n">
        <v>45217</v>
      </c>
      <c r="C696" s="1" t="n">
        <v>45800</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50965-2023</t>
        </is>
      </c>
      <c r="B697" s="1" t="n">
        <v>45218</v>
      </c>
      <c r="C697" s="1" t="n">
        <v>45800</v>
      </c>
      <c r="D697" t="inlineStr">
        <is>
          <t>JÄMTLANDS LÄN</t>
        </is>
      </c>
      <c r="E697" t="inlineStr">
        <is>
          <t>ÖSTERSUND</t>
        </is>
      </c>
      <c r="G697" t="n">
        <v>3.5</v>
      </c>
      <c r="H697" t="n">
        <v>0</v>
      </c>
      <c r="I697" t="n">
        <v>0</v>
      </c>
      <c r="J697" t="n">
        <v>0</v>
      </c>
      <c r="K697" t="n">
        <v>0</v>
      </c>
      <c r="L697" t="n">
        <v>0</v>
      </c>
      <c r="M697" t="n">
        <v>0</v>
      </c>
      <c r="N697" t="n">
        <v>0</v>
      </c>
      <c r="O697" t="n">
        <v>0</v>
      </c>
      <c r="P697" t="n">
        <v>0</v>
      </c>
      <c r="Q697" t="n">
        <v>0</v>
      </c>
      <c r="R697" s="2" t="inlineStr"/>
    </row>
    <row r="698" ht="15" customHeight="1">
      <c r="A698" t="inlineStr">
        <is>
          <t>A 51480-2023</t>
        </is>
      </c>
      <c r="B698" s="1" t="n">
        <v>45222</v>
      </c>
      <c r="C698" s="1" t="n">
        <v>45800</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51482-2023</t>
        </is>
      </c>
      <c r="B699" s="1" t="n">
        <v>45222</v>
      </c>
      <c r="C699" s="1" t="n">
        <v>45800</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51481-2023</t>
        </is>
      </c>
      <c r="B700" s="1" t="n">
        <v>45222</v>
      </c>
      <c r="C700" s="1" t="n">
        <v>45800</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51479-2023</t>
        </is>
      </c>
      <c r="B701" s="1" t="n">
        <v>45222</v>
      </c>
      <c r="C701" s="1" t="n">
        <v>45800</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53152-2023</t>
        </is>
      </c>
      <c r="B702" s="1" t="n">
        <v>45222</v>
      </c>
      <c r="C702" s="1" t="n">
        <v>45800</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51818-2023</t>
        </is>
      </c>
      <c r="B703" s="1" t="n">
        <v>45223</v>
      </c>
      <c r="C703" s="1" t="n">
        <v>45800</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51913-2023</t>
        </is>
      </c>
      <c r="B704" s="1" t="n">
        <v>45223</v>
      </c>
      <c r="C704" s="1" t="n">
        <v>45800</v>
      </c>
      <c r="D704" t="inlineStr">
        <is>
          <t>JÄMTLANDS LÄN</t>
        </is>
      </c>
      <c r="E704" t="inlineStr">
        <is>
          <t>ÖSTERSUND</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51942-2023</t>
        </is>
      </c>
      <c r="B705" s="1" t="n">
        <v>45223</v>
      </c>
      <c r="C705" s="1" t="n">
        <v>45800</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52128-2023</t>
        </is>
      </c>
      <c r="B706" s="1" t="n">
        <v>45223</v>
      </c>
      <c r="C706" s="1" t="n">
        <v>45800</v>
      </c>
      <c r="D706" t="inlineStr">
        <is>
          <t>JÄMTLANDS LÄN</t>
        </is>
      </c>
      <c r="E706" t="inlineStr">
        <is>
          <t>ÖSTERSUND</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v>
      </c>
      <c r="C707" s="1" t="n">
        <v>45800</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45800</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53378-2023</t>
        </is>
      </c>
      <c r="B709" s="1" t="n">
        <v>45223</v>
      </c>
      <c r="C709" s="1" t="n">
        <v>45800</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53380-2023</t>
        </is>
      </c>
      <c r="B710" s="1" t="n">
        <v>45223</v>
      </c>
      <c r="C710" s="1" t="n">
        <v>45800</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52553-2023</t>
        </is>
      </c>
      <c r="B711" s="1" t="n">
        <v>45225</v>
      </c>
      <c r="C711" s="1" t="n">
        <v>45800</v>
      </c>
      <c r="D711" t="inlineStr">
        <is>
          <t>JÄMTLANDS LÄN</t>
        </is>
      </c>
      <c r="E711" t="inlineStr">
        <is>
          <t>ÖSTERSUND</t>
        </is>
      </c>
      <c r="G711" t="n">
        <v>19.9</v>
      </c>
      <c r="H711" t="n">
        <v>0</v>
      </c>
      <c r="I711" t="n">
        <v>0</v>
      </c>
      <c r="J711" t="n">
        <v>0</v>
      </c>
      <c r="K711" t="n">
        <v>0</v>
      </c>
      <c r="L711" t="n">
        <v>0</v>
      </c>
      <c r="M711" t="n">
        <v>0</v>
      </c>
      <c r="N711" t="n">
        <v>0</v>
      </c>
      <c r="O711" t="n">
        <v>0</v>
      </c>
      <c r="P711" t="n">
        <v>0</v>
      </c>
      <c r="Q711" t="n">
        <v>0</v>
      </c>
      <c r="R711" s="2" t="inlineStr"/>
    </row>
    <row r="712" ht="15" customHeight="1">
      <c r="A712" t="inlineStr">
        <is>
          <t>A 55235-2023</t>
        </is>
      </c>
      <c r="B712" s="1" t="n">
        <v>45231</v>
      </c>
      <c r="C712" s="1" t="n">
        <v>45800</v>
      </c>
      <c r="D712" t="inlineStr">
        <is>
          <t>JÄMTLANDS LÄN</t>
        </is>
      </c>
      <c r="E712" t="inlineStr">
        <is>
          <t>ÖSTERSUND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55251-2023</t>
        </is>
      </c>
      <c r="B713" s="1" t="n">
        <v>45231</v>
      </c>
      <c r="C713" s="1" t="n">
        <v>45800</v>
      </c>
      <c r="D713" t="inlineStr">
        <is>
          <t>JÄMTLANDS LÄN</t>
        </is>
      </c>
      <c r="E713" t="inlineStr">
        <is>
          <t>ÖSTERSUND</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55400-2023</t>
        </is>
      </c>
      <c r="B714" s="1" t="n">
        <v>45231</v>
      </c>
      <c r="C714" s="1" t="n">
        <v>45800</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54131-2023</t>
        </is>
      </c>
      <c r="B715" s="1" t="n">
        <v>45232</v>
      </c>
      <c r="C715" s="1" t="n">
        <v>45800</v>
      </c>
      <c r="D715" t="inlineStr">
        <is>
          <t>JÄMTLANDS LÄN</t>
        </is>
      </c>
      <c r="E715" t="inlineStr">
        <is>
          <t>ÖSTERSUND</t>
        </is>
      </c>
      <c r="G715" t="n">
        <v>5.5</v>
      </c>
      <c r="H715" t="n">
        <v>0</v>
      </c>
      <c r="I715" t="n">
        <v>0</v>
      </c>
      <c r="J715" t="n">
        <v>0</v>
      </c>
      <c r="K715" t="n">
        <v>0</v>
      </c>
      <c r="L715" t="n">
        <v>0</v>
      </c>
      <c r="M715" t="n">
        <v>0</v>
      </c>
      <c r="N715" t="n">
        <v>0</v>
      </c>
      <c r="O715" t="n">
        <v>0</v>
      </c>
      <c r="P715" t="n">
        <v>0</v>
      </c>
      <c r="Q715" t="n">
        <v>0</v>
      </c>
      <c r="R715" s="2" t="inlineStr"/>
    </row>
    <row r="716" ht="15" customHeight="1">
      <c r="A716" t="inlineStr">
        <is>
          <t>A 54608-2023</t>
        </is>
      </c>
      <c r="B716" s="1" t="n">
        <v>45233</v>
      </c>
      <c r="C716" s="1" t="n">
        <v>45800</v>
      </c>
      <c r="D716" t="inlineStr">
        <is>
          <t>JÄMTLANDS LÄN</t>
        </is>
      </c>
      <c r="E716" t="inlineStr">
        <is>
          <t>ÖSTERSUND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55996-2023</t>
        </is>
      </c>
      <c r="B717" s="1" t="n">
        <v>45233</v>
      </c>
      <c r="C717" s="1" t="n">
        <v>45800</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56043-2023</t>
        </is>
      </c>
      <c r="B718" s="1" t="n">
        <v>45233</v>
      </c>
      <c r="C718" s="1" t="n">
        <v>45800</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54576-2023</t>
        </is>
      </c>
      <c r="B719" s="1" t="n">
        <v>45233</v>
      </c>
      <c r="C719" s="1" t="n">
        <v>45800</v>
      </c>
      <c r="D719" t="inlineStr">
        <is>
          <t>JÄMTLANDS LÄN</t>
        </is>
      </c>
      <c r="E719" t="inlineStr">
        <is>
          <t>ÖSTERSUND</t>
        </is>
      </c>
      <c r="F719" t="inlineStr">
        <is>
          <t>Övriga Aktiebolag</t>
        </is>
      </c>
      <c r="G719" t="n">
        <v>7.3</v>
      </c>
      <c r="H719" t="n">
        <v>0</v>
      </c>
      <c r="I719" t="n">
        <v>0</v>
      </c>
      <c r="J719" t="n">
        <v>0</v>
      </c>
      <c r="K719" t="n">
        <v>0</v>
      </c>
      <c r="L719" t="n">
        <v>0</v>
      </c>
      <c r="M719" t="n">
        <v>0</v>
      </c>
      <c r="N719" t="n">
        <v>0</v>
      </c>
      <c r="O719" t="n">
        <v>0</v>
      </c>
      <c r="P719" t="n">
        <v>0</v>
      </c>
      <c r="Q719" t="n">
        <v>0</v>
      </c>
      <c r="R719" s="2" t="inlineStr"/>
    </row>
    <row r="720" ht="15" customHeight="1">
      <c r="A720" t="inlineStr">
        <is>
          <t>A 54762-2023</t>
        </is>
      </c>
      <c r="B720" s="1" t="n">
        <v>45236</v>
      </c>
      <c r="C720" s="1" t="n">
        <v>45800</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54883-2023</t>
        </is>
      </c>
      <c r="B721" s="1" t="n">
        <v>45236</v>
      </c>
      <c r="C721" s="1" t="n">
        <v>45800</v>
      </c>
      <c r="D721" t="inlineStr">
        <is>
          <t>JÄMTLANDS LÄN</t>
        </is>
      </c>
      <c r="E721" t="inlineStr">
        <is>
          <t>ÖSTERSUND</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54973-2023</t>
        </is>
      </c>
      <c r="B722" s="1" t="n">
        <v>45236</v>
      </c>
      <c r="C722" s="1" t="n">
        <v>45800</v>
      </c>
      <c r="D722" t="inlineStr">
        <is>
          <t>JÄMTLANDS LÄN</t>
        </is>
      </c>
      <c r="E722" t="inlineStr">
        <is>
          <t>ÖSTERSUND</t>
        </is>
      </c>
      <c r="G722" t="n">
        <v>15.4</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v>
      </c>
      <c r="C723" s="1" t="n">
        <v>45800</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55237-2023</t>
        </is>
      </c>
      <c r="B724" s="1" t="n">
        <v>45237</v>
      </c>
      <c r="C724" s="1" t="n">
        <v>45800</v>
      </c>
      <c r="D724" t="inlineStr">
        <is>
          <t>JÄMTLANDS LÄN</t>
        </is>
      </c>
      <c r="E724" t="inlineStr">
        <is>
          <t>ÖSTERSUND</t>
        </is>
      </c>
      <c r="G724" t="n">
        <v>2.7</v>
      </c>
      <c r="H724" t="n">
        <v>0</v>
      </c>
      <c r="I724" t="n">
        <v>0</v>
      </c>
      <c r="J724" t="n">
        <v>0</v>
      </c>
      <c r="K724" t="n">
        <v>0</v>
      </c>
      <c r="L724" t="n">
        <v>0</v>
      </c>
      <c r="M724" t="n">
        <v>0</v>
      </c>
      <c r="N724" t="n">
        <v>0</v>
      </c>
      <c r="O724" t="n">
        <v>0</v>
      </c>
      <c r="P724" t="n">
        <v>0</v>
      </c>
      <c r="Q724" t="n">
        <v>0</v>
      </c>
      <c r="R724" s="2" t="inlineStr"/>
    </row>
    <row r="725" ht="15" customHeight="1">
      <c r="A725" t="inlineStr">
        <is>
          <t>A 55233-2023</t>
        </is>
      </c>
      <c r="B725" s="1" t="n">
        <v>45237</v>
      </c>
      <c r="C725" s="1" t="n">
        <v>45800</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56440-2023</t>
        </is>
      </c>
      <c r="B726" s="1" t="n">
        <v>45237</v>
      </c>
      <c r="C726" s="1" t="n">
        <v>45800</v>
      </c>
      <c r="D726" t="inlineStr">
        <is>
          <t>JÄMTLANDS LÄN</t>
        </is>
      </c>
      <c r="E726" t="inlineStr">
        <is>
          <t>ÖSTERSUND</t>
        </is>
      </c>
      <c r="G726" t="n">
        <v>10.2</v>
      </c>
      <c r="H726" t="n">
        <v>0</v>
      </c>
      <c r="I726" t="n">
        <v>0</v>
      </c>
      <c r="J726" t="n">
        <v>0</v>
      </c>
      <c r="K726" t="n">
        <v>0</v>
      </c>
      <c r="L726" t="n">
        <v>0</v>
      </c>
      <c r="M726" t="n">
        <v>0</v>
      </c>
      <c r="N726" t="n">
        <v>0</v>
      </c>
      <c r="O726" t="n">
        <v>0</v>
      </c>
      <c r="P726" t="n">
        <v>0</v>
      </c>
      <c r="Q726" t="n">
        <v>0</v>
      </c>
      <c r="R726" s="2" t="inlineStr"/>
    </row>
    <row r="727" ht="15" customHeight="1">
      <c r="A727" t="inlineStr">
        <is>
          <t>A 55666-2023</t>
        </is>
      </c>
      <c r="B727" s="1" t="n">
        <v>45239</v>
      </c>
      <c r="C727" s="1" t="n">
        <v>45800</v>
      </c>
      <c r="D727" t="inlineStr">
        <is>
          <t>JÄMTLANDS LÄN</t>
        </is>
      </c>
      <c r="E727" t="inlineStr">
        <is>
          <t>ÖSTERSUND</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56597-2023</t>
        </is>
      </c>
      <c r="B728" s="1" t="n">
        <v>45238</v>
      </c>
      <c r="C728" s="1" t="n">
        <v>45800</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55678-2023</t>
        </is>
      </c>
      <c r="B729" s="1" t="n">
        <v>45239</v>
      </c>
      <c r="C729" s="1" t="n">
        <v>45800</v>
      </c>
      <c r="D729" t="inlineStr">
        <is>
          <t>JÄMTLANDS LÄN</t>
        </is>
      </c>
      <c r="E729" t="inlineStr">
        <is>
          <t>ÖSTERSUND</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55785-2023</t>
        </is>
      </c>
      <c r="B730" s="1" t="n">
        <v>45239</v>
      </c>
      <c r="C730" s="1" t="n">
        <v>45800</v>
      </c>
      <c r="D730" t="inlineStr">
        <is>
          <t>JÄMTLANDS LÄN</t>
        </is>
      </c>
      <c r="E730" t="inlineStr">
        <is>
          <t>ÖSTERSUND</t>
        </is>
      </c>
      <c r="F730" t="inlineStr">
        <is>
          <t>Övriga Aktiebolag</t>
        </is>
      </c>
      <c r="G730" t="n">
        <v>16.4</v>
      </c>
      <c r="H730" t="n">
        <v>0</v>
      </c>
      <c r="I730" t="n">
        <v>0</v>
      </c>
      <c r="J730" t="n">
        <v>0</v>
      </c>
      <c r="K730" t="n">
        <v>0</v>
      </c>
      <c r="L730" t="n">
        <v>0</v>
      </c>
      <c r="M730" t="n">
        <v>0</v>
      </c>
      <c r="N730" t="n">
        <v>0</v>
      </c>
      <c r="O730" t="n">
        <v>0</v>
      </c>
      <c r="P730" t="n">
        <v>0</v>
      </c>
      <c r="Q730" t="n">
        <v>0</v>
      </c>
      <c r="R730" s="2" t="inlineStr"/>
    </row>
    <row r="731" ht="15" customHeight="1">
      <c r="A731" t="inlineStr">
        <is>
          <t>A 55827-2023</t>
        </is>
      </c>
      <c r="B731" s="1" t="n">
        <v>45239</v>
      </c>
      <c r="C731" s="1" t="n">
        <v>45800</v>
      </c>
      <c r="D731" t="inlineStr">
        <is>
          <t>JÄMTLANDS LÄN</t>
        </is>
      </c>
      <c r="E731" t="inlineStr">
        <is>
          <t>ÖSTERSUND</t>
        </is>
      </c>
      <c r="F731" t="inlineStr">
        <is>
          <t>Övriga Aktiebolag</t>
        </is>
      </c>
      <c r="G731" t="n">
        <v>9.1</v>
      </c>
      <c r="H731" t="n">
        <v>0</v>
      </c>
      <c r="I731" t="n">
        <v>0</v>
      </c>
      <c r="J731" t="n">
        <v>0</v>
      </c>
      <c r="K731" t="n">
        <v>0</v>
      </c>
      <c r="L731" t="n">
        <v>0</v>
      </c>
      <c r="M731" t="n">
        <v>0</v>
      </c>
      <c r="N731" t="n">
        <v>0</v>
      </c>
      <c r="O731" t="n">
        <v>0</v>
      </c>
      <c r="P731" t="n">
        <v>0</v>
      </c>
      <c r="Q731" t="n">
        <v>0</v>
      </c>
      <c r="R731" s="2" t="inlineStr"/>
    </row>
    <row r="732" ht="15" customHeight="1">
      <c r="A732" t="inlineStr">
        <is>
          <t>A 56465-2023</t>
        </is>
      </c>
      <c r="B732" s="1" t="n">
        <v>45243</v>
      </c>
      <c r="C732" s="1" t="n">
        <v>45800</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56478-2023</t>
        </is>
      </c>
      <c r="B733" s="1" t="n">
        <v>45243</v>
      </c>
      <c r="C733" s="1" t="n">
        <v>45800</v>
      </c>
      <c r="D733" t="inlineStr">
        <is>
          <t>JÄMTLANDS LÄN</t>
        </is>
      </c>
      <c r="E733" t="inlineStr">
        <is>
          <t>ÖSTERSUND</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57863-2023</t>
        </is>
      </c>
      <c r="B734" s="1" t="n">
        <v>45244</v>
      </c>
      <c r="C734" s="1" t="n">
        <v>45800</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57398-2023</t>
        </is>
      </c>
      <c r="B735" s="1" t="n">
        <v>45245</v>
      </c>
      <c r="C735" s="1" t="n">
        <v>45800</v>
      </c>
      <c r="D735" t="inlineStr">
        <is>
          <t>JÄMTLANDS LÄN</t>
        </is>
      </c>
      <c r="E735" t="inlineStr">
        <is>
          <t>ÖSTERSUND</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58809-2023</t>
        </is>
      </c>
      <c r="B736" s="1" t="n">
        <v>45247</v>
      </c>
      <c r="C736" s="1" t="n">
        <v>45800</v>
      </c>
      <c r="D736" t="inlineStr">
        <is>
          <t>JÄMTLANDS LÄN</t>
        </is>
      </c>
      <c r="E736" t="inlineStr">
        <is>
          <t>ÖSTERSUND</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58818-2023</t>
        </is>
      </c>
      <c r="B737" s="1" t="n">
        <v>45247</v>
      </c>
      <c r="C737" s="1" t="n">
        <v>45800</v>
      </c>
      <c r="D737" t="inlineStr">
        <is>
          <t>JÄMTLANDS LÄN</t>
        </is>
      </c>
      <c r="E737" t="inlineStr">
        <is>
          <t>ÖSTERSUND</t>
        </is>
      </c>
      <c r="G737" t="n">
        <v>6.7</v>
      </c>
      <c r="H737" t="n">
        <v>0</v>
      </c>
      <c r="I737" t="n">
        <v>0</v>
      </c>
      <c r="J737" t="n">
        <v>0</v>
      </c>
      <c r="K737" t="n">
        <v>0</v>
      </c>
      <c r="L737" t="n">
        <v>0</v>
      </c>
      <c r="M737" t="n">
        <v>0</v>
      </c>
      <c r="N737" t="n">
        <v>0</v>
      </c>
      <c r="O737" t="n">
        <v>0</v>
      </c>
      <c r="P737" t="n">
        <v>0</v>
      </c>
      <c r="Q737" t="n">
        <v>0</v>
      </c>
      <c r="R737" s="2" t="inlineStr"/>
    </row>
    <row r="738" ht="15" customHeight="1">
      <c r="A738" t="inlineStr">
        <is>
          <t>A 57839-2023</t>
        </is>
      </c>
      <c r="B738" s="1" t="n">
        <v>45247</v>
      </c>
      <c r="C738" s="1" t="n">
        <v>45800</v>
      </c>
      <c r="D738" t="inlineStr">
        <is>
          <t>JÄMTLANDS LÄN</t>
        </is>
      </c>
      <c r="E738" t="inlineStr">
        <is>
          <t>ÖSTERSUND</t>
        </is>
      </c>
      <c r="G738" t="n">
        <v>6.1</v>
      </c>
      <c r="H738" t="n">
        <v>0</v>
      </c>
      <c r="I738" t="n">
        <v>0</v>
      </c>
      <c r="J738" t="n">
        <v>0</v>
      </c>
      <c r="K738" t="n">
        <v>0</v>
      </c>
      <c r="L738" t="n">
        <v>0</v>
      </c>
      <c r="M738" t="n">
        <v>0</v>
      </c>
      <c r="N738" t="n">
        <v>0</v>
      </c>
      <c r="O738" t="n">
        <v>0</v>
      </c>
      <c r="P738" t="n">
        <v>0</v>
      </c>
      <c r="Q738" t="n">
        <v>0</v>
      </c>
      <c r="R738" s="2" t="inlineStr"/>
    </row>
    <row r="739" ht="15" customHeight="1">
      <c r="A739" t="inlineStr">
        <is>
          <t>A 59021-2023</t>
        </is>
      </c>
      <c r="B739" s="1" t="n">
        <v>45250</v>
      </c>
      <c r="C739" s="1" t="n">
        <v>45800</v>
      </c>
      <c r="D739" t="inlineStr">
        <is>
          <t>JÄMTLANDS LÄN</t>
        </is>
      </c>
      <c r="E739" t="inlineStr">
        <is>
          <t>ÖSTERSUND</t>
        </is>
      </c>
      <c r="G739" t="n">
        <v>7</v>
      </c>
      <c r="H739" t="n">
        <v>0</v>
      </c>
      <c r="I739" t="n">
        <v>0</v>
      </c>
      <c r="J739" t="n">
        <v>0</v>
      </c>
      <c r="K739" t="n">
        <v>0</v>
      </c>
      <c r="L739" t="n">
        <v>0</v>
      </c>
      <c r="M739" t="n">
        <v>0</v>
      </c>
      <c r="N739" t="n">
        <v>0</v>
      </c>
      <c r="O739" t="n">
        <v>0</v>
      </c>
      <c r="P739" t="n">
        <v>0</v>
      </c>
      <c r="Q739" t="n">
        <v>0</v>
      </c>
      <c r="R739" s="2" t="inlineStr"/>
    </row>
    <row r="740" ht="15" customHeight="1">
      <c r="A740" t="inlineStr">
        <is>
          <t>A 59094-2023</t>
        </is>
      </c>
      <c r="B740" s="1" t="n">
        <v>45253</v>
      </c>
      <c r="C740" s="1" t="n">
        <v>45800</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59095-2023</t>
        </is>
      </c>
      <c r="B741" s="1" t="n">
        <v>45253</v>
      </c>
      <c r="C741" s="1" t="n">
        <v>45800</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59611-2023</t>
        </is>
      </c>
      <c r="B742" s="1" t="n">
        <v>45254</v>
      </c>
      <c r="C742" s="1" t="n">
        <v>45800</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59953-2023</t>
        </is>
      </c>
      <c r="B743" s="1" t="n">
        <v>45254</v>
      </c>
      <c r="C743" s="1" t="n">
        <v>45800</v>
      </c>
      <c r="D743" t="inlineStr">
        <is>
          <t>JÄMTLANDS LÄN</t>
        </is>
      </c>
      <c r="E743" t="inlineStr">
        <is>
          <t>ÖSTERSUND</t>
        </is>
      </c>
      <c r="G743" t="n">
        <v>4.6</v>
      </c>
      <c r="H743" t="n">
        <v>0</v>
      </c>
      <c r="I743" t="n">
        <v>0</v>
      </c>
      <c r="J743" t="n">
        <v>0</v>
      </c>
      <c r="K743" t="n">
        <v>0</v>
      </c>
      <c r="L743" t="n">
        <v>0</v>
      </c>
      <c r="M743" t="n">
        <v>0</v>
      </c>
      <c r="N743" t="n">
        <v>0</v>
      </c>
      <c r="O743" t="n">
        <v>0</v>
      </c>
      <c r="P743" t="n">
        <v>0</v>
      </c>
      <c r="Q743" t="n">
        <v>0</v>
      </c>
      <c r="R743" s="2" t="inlineStr"/>
    </row>
    <row r="744" ht="15" customHeight="1">
      <c r="A744" t="inlineStr">
        <is>
          <t>A 59694-2023</t>
        </is>
      </c>
      <c r="B744" s="1" t="n">
        <v>45256</v>
      </c>
      <c r="C744" s="1" t="n">
        <v>45800</v>
      </c>
      <c r="D744" t="inlineStr">
        <is>
          <t>JÄMTLANDS LÄN</t>
        </is>
      </c>
      <c r="E744" t="inlineStr">
        <is>
          <t>ÖSTERSUND</t>
        </is>
      </c>
      <c r="G744" t="n">
        <v>4.1</v>
      </c>
      <c r="H744" t="n">
        <v>0</v>
      </c>
      <c r="I744" t="n">
        <v>0</v>
      </c>
      <c r="J744" t="n">
        <v>0</v>
      </c>
      <c r="K744" t="n">
        <v>0</v>
      </c>
      <c r="L744" t="n">
        <v>0</v>
      </c>
      <c r="M744" t="n">
        <v>0</v>
      </c>
      <c r="N744" t="n">
        <v>0</v>
      </c>
      <c r="O744" t="n">
        <v>0</v>
      </c>
      <c r="P744" t="n">
        <v>0</v>
      </c>
      <c r="Q744" t="n">
        <v>0</v>
      </c>
      <c r="R744" s="2" t="inlineStr"/>
    </row>
    <row r="745" ht="15" customHeight="1">
      <c r="A745" t="inlineStr">
        <is>
          <t>A 59813-2023</t>
        </is>
      </c>
      <c r="B745" s="1" t="n">
        <v>45257</v>
      </c>
      <c r="C745" s="1" t="n">
        <v>45800</v>
      </c>
      <c r="D745" t="inlineStr">
        <is>
          <t>JÄMTLANDS LÄN</t>
        </is>
      </c>
      <c r="E745" t="inlineStr">
        <is>
          <t>ÖSTERSUND</t>
        </is>
      </c>
      <c r="G745" t="n">
        <v>3.8</v>
      </c>
      <c r="H745" t="n">
        <v>0</v>
      </c>
      <c r="I745" t="n">
        <v>0</v>
      </c>
      <c r="J745" t="n">
        <v>0</v>
      </c>
      <c r="K745" t="n">
        <v>0</v>
      </c>
      <c r="L745" t="n">
        <v>0</v>
      </c>
      <c r="M745" t="n">
        <v>0</v>
      </c>
      <c r="N745" t="n">
        <v>0</v>
      </c>
      <c r="O745" t="n">
        <v>0</v>
      </c>
      <c r="P745" t="n">
        <v>0</v>
      </c>
      <c r="Q745" t="n">
        <v>0</v>
      </c>
      <c r="R745" s="2" t="inlineStr"/>
    </row>
    <row r="746" ht="15" customHeight="1">
      <c r="A746" t="inlineStr">
        <is>
          <t>A 60029-2023</t>
        </is>
      </c>
      <c r="B746" s="1" t="n">
        <v>45258</v>
      </c>
      <c r="C746" s="1" t="n">
        <v>45800</v>
      </c>
      <c r="D746" t="inlineStr">
        <is>
          <t>JÄMTLANDS LÄN</t>
        </is>
      </c>
      <c r="E746" t="inlineStr">
        <is>
          <t>ÖSTERSUND</t>
        </is>
      </c>
      <c r="G746" t="n">
        <v>1.8</v>
      </c>
      <c r="H746" t="n">
        <v>0</v>
      </c>
      <c r="I746" t="n">
        <v>0</v>
      </c>
      <c r="J746" t="n">
        <v>0</v>
      </c>
      <c r="K746" t="n">
        <v>0</v>
      </c>
      <c r="L746" t="n">
        <v>0</v>
      </c>
      <c r="M746" t="n">
        <v>0</v>
      </c>
      <c r="N746" t="n">
        <v>0</v>
      </c>
      <c r="O746" t="n">
        <v>0</v>
      </c>
      <c r="P746" t="n">
        <v>0</v>
      </c>
      <c r="Q746" t="n">
        <v>0</v>
      </c>
      <c r="R746" s="2" t="inlineStr"/>
    </row>
    <row r="747" ht="15" customHeight="1">
      <c r="A747" t="inlineStr">
        <is>
          <t>A 60477-2023</t>
        </is>
      </c>
      <c r="B747" s="1" t="n">
        <v>45258</v>
      </c>
      <c r="C747" s="1" t="n">
        <v>45800</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60794-2023</t>
        </is>
      </c>
      <c r="B748" s="1" t="n">
        <v>45260</v>
      </c>
      <c r="C748" s="1" t="n">
        <v>45800</v>
      </c>
      <c r="D748" t="inlineStr">
        <is>
          <t>JÄMTLANDS LÄN</t>
        </is>
      </c>
      <c r="E748" t="inlineStr">
        <is>
          <t>ÖSTERSUND</t>
        </is>
      </c>
      <c r="G748" t="n">
        <v>3.6</v>
      </c>
      <c r="H748" t="n">
        <v>0</v>
      </c>
      <c r="I748" t="n">
        <v>0</v>
      </c>
      <c r="J748" t="n">
        <v>0</v>
      </c>
      <c r="K748" t="n">
        <v>0</v>
      </c>
      <c r="L748" t="n">
        <v>0</v>
      </c>
      <c r="M748" t="n">
        <v>0</v>
      </c>
      <c r="N748" t="n">
        <v>0</v>
      </c>
      <c r="O748" t="n">
        <v>0</v>
      </c>
      <c r="P748" t="n">
        <v>0</v>
      </c>
      <c r="Q748" t="n">
        <v>0</v>
      </c>
      <c r="R748" s="2" t="inlineStr"/>
    </row>
    <row r="749" ht="15" customHeight="1">
      <c r="A749" t="inlineStr">
        <is>
          <t>A 60780-2023</t>
        </is>
      </c>
      <c r="B749" s="1" t="n">
        <v>45260</v>
      </c>
      <c r="C749" s="1" t="n">
        <v>45800</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61135-2023</t>
        </is>
      </c>
      <c r="B750" s="1" t="n">
        <v>45261</v>
      </c>
      <c r="C750" s="1" t="n">
        <v>45800</v>
      </c>
      <c r="D750" t="inlineStr">
        <is>
          <t>JÄMTLANDS LÄN</t>
        </is>
      </c>
      <c r="E750" t="inlineStr">
        <is>
          <t>ÖSTERSUND</t>
        </is>
      </c>
      <c r="G750" t="n">
        <v>7.3</v>
      </c>
      <c r="H750" t="n">
        <v>0</v>
      </c>
      <c r="I750" t="n">
        <v>0</v>
      </c>
      <c r="J750" t="n">
        <v>0</v>
      </c>
      <c r="K750" t="n">
        <v>0</v>
      </c>
      <c r="L750" t="n">
        <v>0</v>
      </c>
      <c r="M750" t="n">
        <v>0</v>
      </c>
      <c r="N750" t="n">
        <v>0</v>
      </c>
      <c r="O750" t="n">
        <v>0</v>
      </c>
      <c r="P750" t="n">
        <v>0</v>
      </c>
      <c r="Q750" t="n">
        <v>0</v>
      </c>
      <c r="R750" s="2" t="inlineStr"/>
    </row>
    <row r="751" ht="15" customHeight="1">
      <c r="A751" t="inlineStr">
        <is>
          <t>A 61535-2023</t>
        </is>
      </c>
      <c r="B751" s="1" t="n">
        <v>45261</v>
      </c>
      <c r="C751" s="1" t="n">
        <v>45800</v>
      </c>
      <c r="D751" t="inlineStr">
        <is>
          <t>JÄMTLANDS LÄN</t>
        </is>
      </c>
      <c r="E751" t="inlineStr">
        <is>
          <t>ÖSTERSUND</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61530-2023</t>
        </is>
      </c>
      <c r="B752" s="1" t="n">
        <v>45261</v>
      </c>
      <c r="C752" s="1" t="n">
        <v>45800</v>
      </c>
      <c r="D752" t="inlineStr">
        <is>
          <t>JÄMTLANDS LÄN</t>
        </is>
      </c>
      <c r="E752" t="inlineStr">
        <is>
          <t>ÖSTERSUND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61635-2023</t>
        </is>
      </c>
      <c r="B753" s="1" t="n">
        <v>45261</v>
      </c>
      <c r="C753" s="1" t="n">
        <v>45800</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61506-2023</t>
        </is>
      </c>
      <c r="B754" s="1" t="n">
        <v>45264</v>
      </c>
      <c r="C754" s="1" t="n">
        <v>45800</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61499-2023</t>
        </is>
      </c>
      <c r="B755" s="1" t="n">
        <v>45264</v>
      </c>
      <c r="C755" s="1" t="n">
        <v>45800</v>
      </c>
      <c r="D755" t="inlineStr">
        <is>
          <t>JÄMTLANDS LÄN</t>
        </is>
      </c>
      <c r="E755" t="inlineStr">
        <is>
          <t>ÖSTERSUND</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62052-2023</t>
        </is>
      </c>
      <c r="B756" s="1" t="n">
        <v>45265</v>
      </c>
      <c r="C756" s="1" t="n">
        <v>45800</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61791-2023</t>
        </is>
      </c>
      <c r="B757" s="1" t="n">
        <v>45265</v>
      </c>
      <c r="C757" s="1" t="n">
        <v>45800</v>
      </c>
      <c r="D757" t="inlineStr">
        <is>
          <t>JÄMTLANDS LÄN</t>
        </is>
      </c>
      <c r="E757" t="inlineStr">
        <is>
          <t>ÖSTERSUND</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62835-2023</t>
        </is>
      </c>
      <c r="B758" s="1" t="n">
        <v>45271</v>
      </c>
      <c r="C758" s="1" t="n">
        <v>45800</v>
      </c>
      <c r="D758" t="inlineStr">
        <is>
          <t>JÄMTLANDS LÄN</t>
        </is>
      </c>
      <c r="E758" t="inlineStr">
        <is>
          <t>ÖSTERSUND</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62834-2023</t>
        </is>
      </c>
      <c r="B759" s="1" t="n">
        <v>45271</v>
      </c>
      <c r="C759" s="1" t="n">
        <v>45800</v>
      </c>
      <c r="D759" t="inlineStr">
        <is>
          <t>JÄMTLANDS LÄN</t>
        </is>
      </c>
      <c r="E759" t="inlineStr">
        <is>
          <t>ÖSTERSUND</t>
        </is>
      </c>
      <c r="F759" t="inlineStr">
        <is>
          <t>SCA</t>
        </is>
      </c>
      <c r="G759" t="n">
        <v>12.2</v>
      </c>
      <c r="H759" t="n">
        <v>0</v>
      </c>
      <c r="I759" t="n">
        <v>0</v>
      </c>
      <c r="J759" t="n">
        <v>0</v>
      </c>
      <c r="K759" t="n">
        <v>0</v>
      </c>
      <c r="L759" t="n">
        <v>0</v>
      </c>
      <c r="M759" t="n">
        <v>0</v>
      </c>
      <c r="N759" t="n">
        <v>0</v>
      </c>
      <c r="O759" t="n">
        <v>0</v>
      </c>
      <c r="P759" t="n">
        <v>0</v>
      </c>
      <c r="Q759" t="n">
        <v>0</v>
      </c>
      <c r="R759" s="2" t="inlineStr"/>
    </row>
    <row r="760" ht="15" customHeight="1">
      <c r="A760" t="inlineStr">
        <is>
          <t>A 63086-2023</t>
        </is>
      </c>
      <c r="B760" s="1" t="n">
        <v>45272</v>
      </c>
      <c r="C760" s="1" t="n">
        <v>45800</v>
      </c>
      <c r="D760" t="inlineStr">
        <is>
          <t>JÄMTLANDS LÄN</t>
        </is>
      </c>
      <c r="E760" t="inlineStr">
        <is>
          <t>ÖSTERSUND</t>
        </is>
      </c>
      <c r="F760" t="inlineStr">
        <is>
          <t>Övriga statliga verk och myndigheter</t>
        </is>
      </c>
      <c r="G760" t="n">
        <v>2.9</v>
      </c>
      <c r="H760" t="n">
        <v>0</v>
      </c>
      <c r="I760" t="n">
        <v>0</v>
      </c>
      <c r="J760" t="n">
        <v>0</v>
      </c>
      <c r="K760" t="n">
        <v>0</v>
      </c>
      <c r="L760" t="n">
        <v>0</v>
      </c>
      <c r="M760" t="n">
        <v>0</v>
      </c>
      <c r="N760" t="n">
        <v>0</v>
      </c>
      <c r="O760" t="n">
        <v>0</v>
      </c>
      <c r="P760" t="n">
        <v>0</v>
      </c>
      <c r="Q760" t="n">
        <v>0</v>
      </c>
      <c r="R760" s="2" t="inlineStr"/>
    </row>
    <row r="761" ht="15" customHeight="1">
      <c r="A761" t="inlineStr">
        <is>
          <t>A 63101-2023</t>
        </is>
      </c>
      <c r="B761" s="1" t="n">
        <v>45273</v>
      </c>
      <c r="C761" s="1" t="n">
        <v>45800</v>
      </c>
      <c r="D761" t="inlineStr">
        <is>
          <t>JÄMTLANDS LÄN</t>
        </is>
      </c>
      <c r="E761" t="inlineStr">
        <is>
          <t>ÖSTERSUND</t>
        </is>
      </c>
      <c r="G761" t="n">
        <v>2.1</v>
      </c>
      <c r="H761" t="n">
        <v>0</v>
      </c>
      <c r="I761" t="n">
        <v>0</v>
      </c>
      <c r="J761" t="n">
        <v>0</v>
      </c>
      <c r="K761" t="n">
        <v>0</v>
      </c>
      <c r="L761" t="n">
        <v>0</v>
      </c>
      <c r="M761" t="n">
        <v>0</v>
      </c>
      <c r="N761" t="n">
        <v>0</v>
      </c>
      <c r="O761" t="n">
        <v>0</v>
      </c>
      <c r="P761" t="n">
        <v>0</v>
      </c>
      <c r="Q761" t="n">
        <v>0</v>
      </c>
      <c r="R761" s="2" t="inlineStr"/>
    </row>
    <row r="762" ht="15" customHeight="1">
      <c r="A762" t="inlineStr">
        <is>
          <t>A 63099-2023</t>
        </is>
      </c>
      <c r="B762" s="1" t="n">
        <v>45273</v>
      </c>
      <c r="C762" s="1" t="n">
        <v>45800</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63320-2023</t>
        </is>
      </c>
      <c r="B763" s="1" t="n">
        <v>45273</v>
      </c>
      <c r="C763" s="1" t="n">
        <v>45800</v>
      </c>
      <c r="D763" t="inlineStr">
        <is>
          <t>JÄMTLANDS LÄN</t>
        </is>
      </c>
      <c r="E763" t="inlineStr">
        <is>
          <t>ÖSTERSUND</t>
        </is>
      </c>
      <c r="G763" t="n">
        <v>11.3</v>
      </c>
      <c r="H763" t="n">
        <v>0</v>
      </c>
      <c r="I763" t="n">
        <v>0</v>
      </c>
      <c r="J763" t="n">
        <v>0</v>
      </c>
      <c r="K763" t="n">
        <v>0</v>
      </c>
      <c r="L763" t="n">
        <v>0</v>
      </c>
      <c r="M763" t="n">
        <v>0</v>
      </c>
      <c r="N763" t="n">
        <v>0</v>
      </c>
      <c r="O763" t="n">
        <v>0</v>
      </c>
      <c r="P763" t="n">
        <v>0</v>
      </c>
      <c r="Q763" t="n">
        <v>0</v>
      </c>
      <c r="R763" s="2" t="inlineStr"/>
    </row>
    <row r="764" ht="15" customHeight="1">
      <c r="A764" t="inlineStr">
        <is>
          <t>A 63739-2023</t>
        </is>
      </c>
      <c r="B764" s="1" t="n">
        <v>45277</v>
      </c>
      <c r="C764" s="1" t="n">
        <v>45800</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63740-2023</t>
        </is>
      </c>
      <c r="B765" s="1" t="n">
        <v>45277</v>
      </c>
      <c r="C765" s="1" t="n">
        <v>45800</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64233-2023</t>
        </is>
      </c>
      <c r="B766" s="1" t="n">
        <v>45279</v>
      </c>
      <c r="C766" s="1" t="n">
        <v>45800</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64267-2023</t>
        </is>
      </c>
      <c r="B767" s="1" t="n">
        <v>45279</v>
      </c>
      <c r="C767" s="1" t="n">
        <v>45800</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64314-2023</t>
        </is>
      </c>
      <c r="B768" s="1" t="n">
        <v>45280</v>
      </c>
      <c r="C768" s="1" t="n">
        <v>45800</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64309-2023</t>
        </is>
      </c>
      <c r="B769" s="1" t="n">
        <v>45280</v>
      </c>
      <c r="C769" s="1" t="n">
        <v>45800</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64811-2023</t>
        </is>
      </c>
      <c r="B770" s="1" t="n">
        <v>45281</v>
      </c>
      <c r="C770" s="1" t="n">
        <v>45800</v>
      </c>
      <c r="D770" t="inlineStr">
        <is>
          <t>JÄMTLANDS LÄN</t>
        </is>
      </c>
      <c r="E770" t="inlineStr">
        <is>
          <t>ÖSTERSUND</t>
        </is>
      </c>
      <c r="G770" t="n">
        <v>7.6</v>
      </c>
      <c r="H770" t="n">
        <v>0</v>
      </c>
      <c r="I770" t="n">
        <v>0</v>
      </c>
      <c r="J770" t="n">
        <v>0</v>
      </c>
      <c r="K770" t="n">
        <v>0</v>
      </c>
      <c r="L770" t="n">
        <v>0</v>
      </c>
      <c r="M770" t="n">
        <v>0</v>
      </c>
      <c r="N770" t="n">
        <v>0</v>
      </c>
      <c r="O770" t="n">
        <v>0</v>
      </c>
      <c r="P770" t="n">
        <v>0</v>
      </c>
      <c r="Q770" t="n">
        <v>0</v>
      </c>
      <c r="R770" s="2" t="inlineStr"/>
    </row>
    <row r="771" ht="15" customHeight="1">
      <c r="A771" t="inlineStr">
        <is>
          <t>A 64954-2023</t>
        </is>
      </c>
      <c r="B771" s="1" t="n">
        <v>45282</v>
      </c>
      <c r="C771" s="1" t="n">
        <v>45800</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64953-2023</t>
        </is>
      </c>
      <c r="B772" s="1" t="n">
        <v>45282</v>
      </c>
      <c r="C772" s="1" t="n">
        <v>45800</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440-2024</t>
        </is>
      </c>
      <c r="B773" s="1" t="n">
        <v>45296</v>
      </c>
      <c r="C773" s="1" t="n">
        <v>45800</v>
      </c>
      <c r="D773" t="inlineStr">
        <is>
          <t>JÄMTLANDS LÄN</t>
        </is>
      </c>
      <c r="E773" t="inlineStr">
        <is>
          <t>ÖSTERSUND</t>
        </is>
      </c>
      <c r="F773" t="inlineStr">
        <is>
          <t>Kommuner</t>
        </is>
      </c>
      <c r="G773" t="n">
        <v>10.1</v>
      </c>
      <c r="H773" t="n">
        <v>0</v>
      </c>
      <c r="I773" t="n">
        <v>0</v>
      </c>
      <c r="J773" t="n">
        <v>0</v>
      </c>
      <c r="K773" t="n">
        <v>0</v>
      </c>
      <c r="L773" t="n">
        <v>0</v>
      </c>
      <c r="M773" t="n">
        <v>0</v>
      </c>
      <c r="N773" t="n">
        <v>0</v>
      </c>
      <c r="O773" t="n">
        <v>0</v>
      </c>
      <c r="P773" t="n">
        <v>0</v>
      </c>
      <c r="Q773" t="n">
        <v>0</v>
      </c>
      <c r="R773" s="2" t="inlineStr"/>
    </row>
    <row r="774" ht="15" customHeight="1">
      <c r="A774" t="inlineStr">
        <is>
          <t>A 484-2024</t>
        </is>
      </c>
      <c r="B774" s="1" t="n">
        <v>45298</v>
      </c>
      <c r="C774" s="1" t="n">
        <v>45800</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485-2024</t>
        </is>
      </c>
      <c r="B775" s="1" t="n">
        <v>45298</v>
      </c>
      <c r="C775" s="1" t="n">
        <v>45800</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846-2024</t>
        </is>
      </c>
      <c r="B776" s="1" t="n">
        <v>45300</v>
      </c>
      <c r="C776" s="1" t="n">
        <v>45800</v>
      </c>
      <c r="D776" t="inlineStr">
        <is>
          <t>JÄMTLANDS LÄN</t>
        </is>
      </c>
      <c r="E776" t="inlineStr">
        <is>
          <t>ÖSTERSUND</t>
        </is>
      </c>
      <c r="G776" t="n">
        <v>2.8</v>
      </c>
      <c r="H776" t="n">
        <v>0</v>
      </c>
      <c r="I776" t="n">
        <v>0</v>
      </c>
      <c r="J776" t="n">
        <v>0</v>
      </c>
      <c r="K776" t="n">
        <v>0</v>
      </c>
      <c r="L776" t="n">
        <v>0</v>
      </c>
      <c r="M776" t="n">
        <v>0</v>
      </c>
      <c r="N776" t="n">
        <v>0</v>
      </c>
      <c r="O776" t="n">
        <v>0</v>
      </c>
      <c r="P776" t="n">
        <v>0</v>
      </c>
      <c r="Q776" t="n">
        <v>0</v>
      </c>
      <c r="R776" s="2" t="inlineStr"/>
    </row>
    <row r="777" ht="15" customHeight="1">
      <c r="A777" t="inlineStr">
        <is>
          <t>A 748-2024</t>
        </is>
      </c>
      <c r="B777" s="1" t="n">
        <v>45300</v>
      </c>
      <c r="C777" s="1" t="n">
        <v>45800</v>
      </c>
      <c r="D777" t="inlineStr">
        <is>
          <t>JÄMTLANDS LÄN</t>
        </is>
      </c>
      <c r="E777" t="inlineStr">
        <is>
          <t>ÖSTERSUND</t>
        </is>
      </c>
      <c r="G777" t="n">
        <v>3.3</v>
      </c>
      <c r="H777" t="n">
        <v>0</v>
      </c>
      <c r="I777" t="n">
        <v>0</v>
      </c>
      <c r="J777" t="n">
        <v>0</v>
      </c>
      <c r="K777" t="n">
        <v>0</v>
      </c>
      <c r="L777" t="n">
        <v>0</v>
      </c>
      <c r="M777" t="n">
        <v>0</v>
      </c>
      <c r="N777" t="n">
        <v>0</v>
      </c>
      <c r="O777" t="n">
        <v>0</v>
      </c>
      <c r="P777" t="n">
        <v>0</v>
      </c>
      <c r="Q777" t="n">
        <v>0</v>
      </c>
      <c r="R777" s="2" t="inlineStr"/>
    </row>
    <row r="778" ht="15" customHeight="1">
      <c r="A778" t="inlineStr">
        <is>
          <t>A 1159-2024</t>
        </is>
      </c>
      <c r="B778" s="1" t="n">
        <v>45302</v>
      </c>
      <c r="C778" s="1" t="n">
        <v>45800</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1669-2024</t>
        </is>
      </c>
      <c r="B779" s="1" t="n">
        <v>45306</v>
      </c>
      <c r="C779" s="1" t="n">
        <v>45800</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1670-2024</t>
        </is>
      </c>
      <c r="B780" s="1" t="n">
        <v>45306</v>
      </c>
      <c r="C780" s="1" t="n">
        <v>45800</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1873-2024</t>
        </is>
      </c>
      <c r="B781" s="1" t="n">
        <v>45307</v>
      </c>
      <c r="C781" s="1" t="n">
        <v>45800</v>
      </c>
      <c r="D781" t="inlineStr">
        <is>
          <t>JÄMTLANDS LÄN</t>
        </is>
      </c>
      <c r="E781" t="inlineStr">
        <is>
          <t>ÖSTERSUND</t>
        </is>
      </c>
      <c r="G781" t="n">
        <v>4.3</v>
      </c>
      <c r="H781" t="n">
        <v>0</v>
      </c>
      <c r="I781" t="n">
        <v>0</v>
      </c>
      <c r="J781" t="n">
        <v>0</v>
      </c>
      <c r="K781" t="n">
        <v>0</v>
      </c>
      <c r="L781" t="n">
        <v>0</v>
      </c>
      <c r="M781" t="n">
        <v>0</v>
      </c>
      <c r="N781" t="n">
        <v>0</v>
      </c>
      <c r="O781" t="n">
        <v>0</v>
      </c>
      <c r="P781" t="n">
        <v>0</v>
      </c>
      <c r="Q781" t="n">
        <v>0</v>
      </c>
      <c r="R781" s="2" t="inlineStr"/>
    </row>
    <row r="782" ht="15" customHeight="1">
      <c r="A782" t="inlineStr">
        <is>
          <t>A 2228-2024</t>
        </is>
      </c>
      <c r="B782" s="1" t="n">
        <v>45309</v>
      </c>
      <c r="C782" s="1" t="n">
        <v>45800</v>
      </c>
      <c r="D782" t="inlineStr">
        <is>
          <t>JÄMTLANDS LÄN</t>
        </is>
      </c>
      <c r="E782" t="inlineStr">
        <is>
          <t>ÖSTERSUND</t>
        </is>
      </c>
      <c r="G782" t="n">
        <v>2.5</v>
      </c>
      <c r="H782" t="n">
        <v>0</v>
      </c>
      <c r="I782" t="n">
        <v>0</v>
      </c>
      <c r="J782" t="n">
        <v>0</v>
      </c>
      <c r="K782" t="n">
        <v>0</v>
      </c>
      <c r="L782" t="n">
        <v>0</v>
      </c>
      <c r="M782" t="n">
        <v>0</v>
      </c>
      <c r="N782" t="n">
        <v>0</v>
      </c>
      <c r="O782" t="n">
        <v>0</v>
      </c>
      <c r="P782" t="n">
        <v>0</v>
      </c>
      <c r="Q782" t="n">
        <v>0</v>
      </c>
      <c r="R782" s="2" t="inlineStr"/>
    </row>
    <row r="783" ht="15" customHeight="1">
      <c r="A783" t="inlineStr">
        <is>
          <t>A 2615-2024</t>
        </is>
      </c>
      <c r="B783" s="1" t="n">
        <v>45313</v>
      </c>
      <c r="C783" s="1" t="n">
        <v>45800</v>
      </c>
      <c r="D783" t="inlineStr">
        <is>
          <t>JÄMTLANDS LÄN</t>
        </is>
      </c>
      <c r="E783" t="inlineStr">
        <is>
          <t>ÖSTERSUND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2627-2024</t>
        </is>
      </c>
      <c r="B784" s="1" t="n">
        <v>45313</v>
      </c>
      <c r="C784" s="1" t="n">
        <v>45800</v>
      </c>
      <c r="D784" t="inlineStr">
        <is>
          <t>JÄMTLANDS LÄN</t>
        </is>
      </c>
      <c r="E784" t="inlineStr">
        <is>
          <t>ÖSTERSUND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2756-2024</t>
        </is>
      </c>
      <c r="B785" s="1" t="n">
        <v>45314</v>
      </c>
      <c r="C785" s="1" t="n">
        <v>45800</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2984-2024</t>
        </is>
      </c>
      <c r="B786" s="1" t="n">
        <v>45315</v>
      </c>
      <c r="C786" s="1" t="n">
        <v>45800</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2978-2024</t>
        </is>
      </c>
      <c r="B787" s="1" t="n">
        <v>45315</v>
      </c>
      <c r="C787" s="1" t="n">
        <v>45800</v>
      </c>
      <c r="D787" t="inlineStr">
        <is>
          <t>JÄMTLANDS LÄN</t>
        </is>
      </c>
      <c r="E787" t="inlineStr">
        <is>
          <t>ÖSTERSUND</t>
        </is>
      </c>
      <c r="G787" t="n">
        <v>1.7</v>
      </c>
      <c r="H787" t="n">
        <v>0</v>
      </c>
      <c r="I787" t="n">
        <v>0</v>
      </c>
      <c r="J787" t="n">
        <v>0</v>
      </c>
      <c r="K787" t="n">
        <v>0</v>
      </c>
      <c r="L787" t="n">
        <v>0</v>
      </c>
      <c r="M787" t="n">
        <v>0</v>
      </c>
      <c r="N787" t="n">
        <v>0</v>
      </c>
      <c r="O787" t="n">
        <v>0</v>
      </c>
      <c r="P787" t="n">
        <v>0</v>
      </c>
      <c r="Q787" t="n">
        <v>0</v>
      </c>
      <c r="R787" s="2" t="inlineStr"/>
    </row>
    <row r="788" ht="15" customHeight="1">
      <c r="A788" t="inlineStr">
        <is>
          <t>A 3186-2024</t>
        </is>
      </c>
      <c r="B788" s="1" t="n">
        <v>45316</v>
      </c>
      <c r="C788" s="1" t="n">
        <v>45800</v>
      </c>
      <c r="D788" t="inlineStr">
        <is>
          <t>JÄMTLANDS LÄN</t>
        </is>
      </c>
      <c r="E788" t="inlineStr">
        <is>
          <t>ÖSTERSUND</t>
        </is>
      </c>
      <c r="G788" t="n">
        <v>5.1</v>
      </c>
      <c r="H788" t="n">
        <v>0</v>
      </c>
      <c r="I788" t="n">
        <v>0</v>
      </c>
      <c r="J788" t="n">
        <v>0</v>
      </c>
      <c r="K788" t="n">
        <v>0</v>
      </c>
      <c r="L788" t="n">
        <v>0</v>
      </c>
      <c r="M788" t="n">
        <v>0</v>
      </c>
      <c r="N788" t="n">
        <v>0</v>
      </c>
      <c r="O788" t="n">
        <v>0</v>
      </c>
      <c r="P788" t="n">
        <v>0</v>
      </c>
      <c r="Q788" t="n">
        <v>0</v>
      </c>
      <c r="R788" s="2" t="inlineStr"/>
    </row>
    <row r="789" ht="15" customHeight="1">
      <c r="A789" t="inlineStr">
        <is>
          <t>A 3230-2024</t>
        </is>
      </c>
      <c r="B789" s="1" t="n">
        <v>45316</v>
      </c>
      <c r="C789" s="1" t="n">
        <v>45800</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3270-2024</t>
        </is>
      </c>
      <c r="B790" s="1" t="n">
        <v>45316</v>
      </c>
      <c r="C790" s="1" t="n">
        <v>45800</v>
      </c>
      <c r="D790" t="inlineStr">
        <is>
          <t>JÄMTLANDS LÄN</t>
        </is>
      </c>
      <c r="E790" t="inlineStr">
        <is>
          <t>ÖSTERSUND</t>
        </is>
      </c>
      <c r="G790" t="n">
        <v>7.5</v>
      </c>
      <c r="H790" t="n">
        <v>0</v>
      </c>
      <c r="I790" t="n">
        <v>0</v>
      </c>
      <c r="J790" t="n">
        <v>0</v>
      </c>
      <c r="K790" t="n">
        <v>0</v>
      </c>
      <c r="L790" t="n">
        <v>0</v>
      </c>
      <c r="M790" t="n">
        <v>0</v>
      </c>
      <c r="N790" t="n">
        <v>0</v>
      </c>
      <c r="O790" t="n">
        <v>0</v>
      </c>
      <c r="P790" t="n">
        <v>0</v>
      </c>
      <c r="Q790" t="n">
        <v>0</v>
      </c>
      <c r="R790" s="2" t="inlineStr"/>
    </row>
    <row r="791" ht="15" customHeight="1">
      <c r="A791" t="inlineStr">
        <is>
          <t>A 3610-2024</t>
        </is>
      </c>
      <c r="B791" s="1" t="n">
        <v>45320</v>
      </c>
      <c r="C791" s="1" t="n">
        <v>45800</v>
      </c>
      <c r="D791" t="inlineStr">
        <is>
          <t>JÄMTLANDS LÄN</t>
        </is>
      </c>
      <c r="E791" t="inlineStr">
        <is>
          <t>ÖSTERSUND</t>
        </is>
      </c>
      <c r="G791" t="n">
        <v>6.2</v>
      </c>
      <c r="H791" t="n">
        <v>0</v>
      </c>
      <c r="I791" t="n">
        <v>0</v>
      </c>
      <c r="J791" t="n">
        <v>0</v>
      </c>
      <c r="K791" t="n">
        <v>0</v>
      </c>
      <c r="L791" t="n">
        <v>0</v>
      </c>
      <c r="M791" t="n">
        <v>0</v>
      </c>
      <c r="N791" t="n">
        <v>0</v>
      </c>
      <c r="O791" t="n">
        <v>0</v>
      </c>
      <c r="P791" t="n">
        <v>0</v>
      </c>
      <c r="Q791" t="n">
        <v>0</v>
      </c>
      <c r="R791" s="2" t="inlineStr"/>
    </row>
    <row r="792" ht="15" customHeight="1">
      <c r="A792" t="inlineStr">
        <is>
          <t>A 3844-2024</t>
        </is>
      </c>
      <c r="B792" s="1" t="n">
        <v>45321</v>
      </c>
      <c r="C792" s="1" t="n">
        <v>45800</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4176-2024</t>
        </is>
      </c>
      <c r="B793" s="1" t="n">
        <v>45323</v>
      </c>
      <c r="C793" s="1" t="n">
        <v>45800</v>
      </c>
      <c r="D793" t="inlineStr">
        <is>
          <t>JÄMTLANDS LÄN</t>
        </is>
      </c>
      <c r="E793" t="inlineStr">
        <is>
          <t>ÖSTERSUND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4350-2024</t>
        </is>
      </c>
      <c r="B794" s="1" t="n">
        <v>45324</v>
      </c>
      <c r="C794" s="1" t="n">
        <v>45800</v>
      </c>
      <c r="D794" t="inlineStr">
        <is>
          <t>JÄMTLANDS LÄN</t>
        </is>
      </c>
      <c r="E794" t="inlineStr">
        <is>
          <t>ÖSTERSUND</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4707-2024</t>
        </is>
      </c>
      <c r="B795" s="1" t="n">
        <v>45328</v>
      </c>
      <c r="C795" s="1" t="n">
        <v>45800</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5455-2024</t>
        </is>
      </c>
      <c r="B796" s="1" t="n">
        <v>45331</v>
      </c>
      <c r="C796" s="1" t="n">
        <v>45800</v>
      </c>
      <c r="D796" t="inlineStr">
        <is>
          <t>JÄMTLANDS LÄN</t>
        </is>
      </c>
      <c r="E796" t="inlineStr">
        <is>
          <t>ÖSTERSUND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5920-2024</t>
        </is>
      </c>
      <c r="B797" s="1" t="n">
        <v>45335</v>
      </c>
      <c r="C797" s="1" t="n">
        <v>45800</v>
      </c>
      <c r="D797" t="inlineStr">
        <is>
          <t>JÄMTLANDS LÄN</t>
        </is>
      </c>
      <c r="E797" t="inlineStr">
        <is>
          <t>ÖSTERSUND</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6048-2024</t>
        </is>
      </c>
      <c r="B798" s="1" t="n">
        <v>45336</v>
      </c>
      <c r="C798" s="1" t="n">
        <v>45800</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6056-2024</t>
        </is>
      </c>
      <c r="B799" s="1" t="n">
        <v>45336</v>
      </c>
      <c r="C799" s="1" t="n">
        <v>45800</v>
      </c>
      <c r="D799" t="inlineStr">
        <is>
          <t>JÄMTLANDS LÄN</t>
        </is>
      </c>
      <c r="E799" t="inlineStr">
        <is>
          <t>ÖSTERSUND</t>
        </is>
      </c>
      <c r="G799" t="n">
        <v>3.9</v>
      </c>
      <c r="H799" t="n">
        <v>0</v>
      </c>
      <c r="I799" t="n">
        <v>0</v>
      </c>
      <c r="J799" t="n">
        <v>0</v>
      </c>
      <c r="K799" t="n">
        <v>0</v>
      </c>
      <c r="L799" t="n">
        <v>0</v>
      </c>
      <c r="M799" t="n">
        <v>0</v>
      </c>
      <c r="N799" t="n">
        <v>0</v>
      </c>
      <c r="O799" t="n">
        <v>0</v>
      </c>
      <c r="P799" t="n">
        <v>0</v>
      </c>
      <c r="Q799" t="n">
        <v>0</v>
      </c>
      <c r="R799" s="2" t="inlineStr"/>
    </row>
    <row r="800" ht="15" customHeight="1">
      <c r="A800" t="inlineStr">
        <is>
          <t>A 6053-2024</t>
        </is>
      </c>
      <c r="B800" s="1" t="n">
        <v>45336</v>
      </c>
      <c r="C800" s="1" t="n">
        <v>45800</v>
      </c>
      <c r="D800" t="inlineStr">
        <is>
          <t>JÄMTLANDS LÄN</t>
        </is>
      </c>
      <c r="E800" t="inlineStr">
        <is>
          <t>ÖSTERSUND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6351-2024</t>
        </is>
      </c>
      <c r="B801" s="1" t="n">
        <v>45338</v>
      </c>
      <c r="C801" s="1" t="n">
        <v>45800</v>
      </c>
      <c r="D801" t="inlineStr">
        <is>
          <t>JÄMTLANDS LÄN</t>
        </is>
      </c>
      <c r="E801" t="inlineStr">
        <is>
          <t>ÖSTERSUND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6353-2024</t>
        </is>
      </c>
      <c r="B802" s="1" t="n">
        <v>45338</v>
      </c>
      <c r="C802" s="1" t="n">
        <v>45800</v>
      </c>
      <c r="D802" t="inlineStr">
        <is>
          <t>JÄMTLANDS LÄN</t>
        </is>
      </c>
      <c r="E802" t="inlineStr">
        <is>
          <t>ÖSTERSUND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6376-2024</t>
        </is>
      </c>
      <c r="B803" s="1" t="n">
        <v>45338</v>
      </c>
      <c r="C803" s="1" t="n">
        <v>45800</v>
      </c>
      <c r="D803" t="inlineStr">
        <is>
          <t>JÄMTLANDS LÄN</t>
        </is>
      </c>
      <c r="E803" t="inlineStr">
        <is>
          <t>ÖSTERSUND</t>
        </is>
      </c>
      <c r="G803" t="n">
        <v>4.6</v>
      </c>
      <c r="H803" t="n">
        <v>0</v>
      </c>
      <c r="I803" t="n">
        <v>0</v>
      </c>
      <c r="J803" t="n">
        <v>0</v>
      </c>
      <c r="K803" t="n">
        <v>0</v>
      </c>
      <c r="L803" t="n">
        <v>0</v>
      </c>
      <c r="M803" t="n">
        <v>0</v>
      </c>
      <c r="N803" t="n">
        <v>0</v>
      </c>
      <c r="O803" t="n">
        <v>0</v>
      </c>
      <c r="P803" t="n">
        <v>0</v>
      </c>
      <c r="Q803" t="n">
        <v>0</v>
      </c>
      <c r="R803" s="2" t="inlineStr"/>
    </row>
    <row r="804" ht="15" customHeight="1">
      <c r="A804" t="inlineStr">
        <is>
          <t>A 6402-2024</t>
        </is>
      </c>
      <c r="B804" s="1" t="n">
        <v>45338</v>
      </c>
      <c r="C804" s="1" t="n">
        <v>45800</v>
      </c>
      <c r="D804" t="inlineStr">
        <is>
          <t>JÄMTLANDS LÄN</t>
        </is>
      </c>
      <c r="E804" t="inlineStr">
        <is>
          <t>ÖSTERSUND</t>
        </is>
      </c>
      <c r="G804" t="n">
        <v>4.4</v>
      </c>
      <c r="H804" t="n">
        <v>0</v>
      </c>
      <c r="I804" t="n">
        <v>0</v>
      </c>
      <c r="J804" t="n">
        <v>0</v>
      </c>
      <c r="K804" t="n">
        <v>0</v>
      </c>
      <c r="L804" t="n">
        <v>0</v>
      </c>
      <c r="M804" t="n">
        <v>0</v>
      </c>
      <c r="N804" t="n">
        <v>0</v>
      </c>
      <c r="O804" t="n">
        <v>0</v>
      </c>
      <c r="P804" t="n">
        <v>0</v>
      </c>
      <c r="Q804" t="n">
        <v>0</v>
      </c>
      <c r="R804" s="2" t="inlineStr"/>
    </row>
    <row r="805" ht="15" customHeight="1">
      <c r="A805" t="inlineStr">
        <is>
          <t>A 6481-2024</t>
        </is>
      </c>
      <c r="B805" s="1" t="n">
        <v>45338</v>
      </c>
      <c r="C805" s="1" t="n">
        <v>45800</v>
      </c>
      <c r="D805" t="inlineStr">
        <is>
          <t>JÄMTLANDS LÄN</t>
        </is>
      </c>
      <c r="E805" t="inlineStr">
        <is>
          <t>ÖSTERSUND</t>
        </is>
      </c>
      <c r="F805" t="inlineStr">
        <is>
          <t>SCA</t>
        </is>
      </c>
      <c r="G805" t="n">
        <v>21.3</v>
      </c>
      <c r="H805" t="n">
        <v>0</v>
      </c>
      <c r="I805" t="n">
        <v>0</v>
      </c>
      <c r="J805" t="n">
        <v>0</v>
      </c>
      <c r="K805" t="n">
        <v>0</v>
      </c>
      <c r="L805" t="n">
        <v>0</v>
      </c>
      <c r="M805" t="n">
        <v>0</v>
      </c>
      <c r="N805" t="n">
        <v>0</v>
      </c>
      <c r="O805" t="n">
        <v>0</v>
      </c>
      <c r="P805" t="n">
        <v>0</v>
      </c>
      <c r="Q805" t="n">
        <v>0</v>
      </c>
      <c r="R805" s="2" t="inlineStr"/>
    </row>
    <row r="806" ht="15" customHeight="1">
      <c r="A806" t="inlineStr">
        <is>
          <t>A 6877-2024</t>
        </is>
      </c>
      <c r="B806" s="1" t="n">
        <v>45342</v>
      </c>
      <c r="C806" s="1" t="n">
        <v>45800</v>
      </c>
      <c r="D806" t="inlineStr">
        <is>
          <t>JÄMTLANDS LÄN</t>
        </is>
      </c>
      <c r="E806" t="inlineStr">
        <is>
          <t>ÖSTERSUND</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7233-2024</t>
        </is>
      </c>
      <c r="B807" s="1" t="n">
        <v>45344</v>
      </c>
      <c r="C807" s="1" t="n">
        <v>45800</v>
      </c>
      <c r="D807" t="inlineStr">
        <is>
          <t>JÄMTLANDS LÄN</t>
        </is>
      </c>
      <c r="E807" t="inlineStr">
        <is>
          <t>ÖSTERSUND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7224-2024</t>
        </is>
      </c>
      <c r="B808" s="1" t="n">
        <v>45344</v>
      </c>
      <c r="C808" s="1" t="n">
        <v>45800</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7228-2024</t>
        </is>
      </c>
      <c r="B809" s="1" t="n">
        <v>45344</v>
      </c>
      <c r="C809" s="1" t="n">
        <v>45800</v>
      </c>
      <c r="D809" t="inlineStr">
        <is>
          <t>JÄMTLANDS LÄN</t>
        </is>
      </c>
      <c r="E809" t="inlineStr">
        <is>
          <t>ÖSTERSUND</t>
        </is>
      </c>
      <c r="G809" t="n">
        <v>3</v>
      </c>
      <c r="H809" t="n">
        <v>0</v>
      </c>
      <c r="I809" t="n">
        <v>0</v>
      </c>
      <c r="J809" t="n">
        <v>0</v>
      </c>
      <c r="K809" t="n">
        <v>0</v>
      </c>
      <c r="L809" t="n">
        <v>0</v>
      </c>
      <c r="M809" t="n">
        <v>0</v>
      </c>
      <c r="N809" t="n">
        <v>0</v>
      </c>
      <c r="O809" t="n">
        <v>0</v>
      </c>
      <c r="P809" t="n">
        <v>0</v>
      </c>
      <c r="Q809" t="n">
        <v>0</v>
      </c>
      <c r="R809" s="2" t="inlineStr"/>
    </row>
    <row r="810" ht="15" customHeight="1">
      <c r="A810" t="inlineStr">
        <is>
          <t>A 7484-2024</t>
        </is>
      </c>
      <c r="B810" s="1" t="n">
        <v>45346</v>
      </c>
      <c r="C810" s="1" t="n">
        <v>45800</v>
      </c>
      <c r="D810" t="inlineStr">
        <is>
          <t>JÄMTLANDS LÄN</t>
        </is>
      </c>
      <c r="E810" t="inlineStr">
        <is>
          <t>ÖSTERSUND</t>
        </is>
      </c>
      <c r="G810" t="n">
        <v>5.4</v>
      </c>
      <c r="H810" t="n">
        <v>0</v>
      </c>
      <c r="I810" t="n">
        <v>0</v>
      </c>
      <c r="J810" t="n">
        <v>0</v>
      </c>
      <c r="K810" t="n">
        <v>0</v>
      </c>
      <c r="L810" t="n">
        <v>0</v>
      </c>
      <c r="M810" t="n">
        <v>0</v>
      </c>
      <c r="N810" t="n">
        <v>0</v>
      </c>
      <c r="O810" t="n">
        <v>0</v>
      </c>
      <c r="P810" t="n">
        <v>0</v>
      </c>
      <c r="Q810" t="n">
        <v>0</v>
      </c>
      <c r="R810" s="2" t="inlineStr"/>
    </row>
    <row r="811" ht="15" customHeight="1">
      <c r="A811" t="inlineStr">
        <is>
          <t>A 8166-2024</t>
        </is>
      </c>
      <c r="B811" s="1" t="n">
        <v>45349</v>
      </c>
      <c r="C811" s="1" t="n">
        <v>45800</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9109-2024</t>
        </is>
      </c>
      <c r="B812" s="1" t="n">
        <v>45358</v>
      </c>
      <c r="C812" s="1" t="n">
        <v>45800</v>
      </c>
      <c r="D812" t="inlineStr">
        <is>
          <t>JÄMTLANDS LÄN</t>
        </is>
      </c>
      <c r="E812" t="inlineStr">
        <is>
          <t>ÖSTERSUND</t>
        </is>
      </c>
      <c r="G812" t="n">
        <v>17.1</v>
      </c>
      <c r="H812" t="n">
        <v>0</v>
      </c>
      <c r="I812" t="n">
        <v>0</v>
      </c>
      <c r="J812" t="n">
        <v>0</v>
      </c>
      <c r="K812" t="n">
        <v>0</v>
      </c>
      <c r="L812" t="n">
        <v>0</v>
      </c>
      <c r="M812" t="n">
        <v>0</v>
      </c>
      <c r="N812" t="n">
        <v>0</v>
      </c>
      <c r="O812" t="n">
        <v>0</v>
      </c>
      <c r="P812" t="n">
        <v>0</v>
      </c>
      <c r="Q812" t="n">
        <v>0</v>
      </c>
      <c r="R812" s="2" t="inlineStr"/>
    </row>
    <row r="813" ht="15" customHeight="1">
      <c r="A813" t="inlineStr">
        <is>
          <t>A 9151-2024</t>
        </is>
      </c>
      <c r="B813" s="1" t="n">
        <v>45358</v>
      </c>
      <c r="C813" s="1" t="n">
        <v>45800</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9859-2024</t>
        </is>
      </c>
      <c r="B814" s="1" t="n">
        <v>45363</v>
      </c>
      <c r="C814" s="1" t="n">
        <v>45800</v>
      </c>
      <c r="D814" t="inlineStr">
        <is>
          <t>JÄMTLANDS LÄN</t>
        </is>
      </c>
      <c r="E814" t="inlineStr">
        <is>
          <t>ÖSTERSUND</t>
        </is>
      </c>
      <c r="G814" t="n">
        <v>5.5</v>
      </c>
      <c r="H814" t="n">
        <v>0</v>
      </c>
      <c r="I814" t="n">
        <v>0</v>
      </c>
      <c r="J814" t="n">
        <v>0</v>
      </c>
      <c r="K814" t="n">
        <v>0</v>
      </c>
      <c r="L814" t="n">
        <v>0</v>
      </c>
      <c r="M814" t="n">
        <v>0</v>
      </c>
      <c r="N814" t="n">
        <v>0</v>
      </c>
      <c r="O814" t="n">
        <v>0</v>
      </c>
      <c r="P814" t="n">
        <v>0</v>
      </c>
      <c r="Q814" t="n">
        <v>0</v>
      </c>
      <c r="R814" s="2" t="inlineStr"/>
    </row>
    <row r="815" ht="15" customHeight="1">
      <c r="A815" t="inlineStr">
        <is>
          <t>A 10064-2024</t>
        </is>
      </c>
      <c r="B815" s="1" t="n">
        <v>45364</v>
      </c>
      <c r="C815" s="1" t="n">
        <v>45800</v>
      </c>
      <c r="D815" t="inlineStr">
        <is>
          <t>JÄMTLANDS LÄN</t>
        </is>
      </c>
      <c r="E815" t="inlineStr">
        <is>
          <t>ÖSTERSUND</t>
        </is>
      </c>
      <c r="G815" t="n">
        <v>13.9</v>
      </c>
      <c r="H815" t="n">
        <v>0</v>
      </c>
      <c r="I815" t="n">
        <v>0</v>
      </c>
      <c r="J815" t="n">
        <v>0</v>
      </c>
      <c r="K815" t="n">
        <v>0</v>
      </c>
      <c r="L815" t="n">
        <v>0</v>
      </c>
      <c r="M815" t="n">
        <v>0</v>
      </c>
      <c r="N815" t="n">
        <v>0</v>
      </c>
      <c r="O815" t="n">
        <v>0</v>
      </c>
      <c r="P815" t="n">
        <v>0</v>
      </c>
      <c r="Q815" t="n">
        <v>0</v>
      </c>
      <c r="R815" s="2" t="inlineStr"/>
    </row>
    <row r="816" ht="15" customHeight="1">
      <c r="A816" t="inlineStr">
        <is>
          <t>A 10619-2024</t>
        </is>
      </c>
      <c r="B816" s="1" t="n">
        <v>45367</v>
      </c>
      <c r="C816" s="1" t="n">
        <v>45800</v>
      </c>
      <c r="D816" t="inlineStr">
        <is>
          <t>JÄMTLANDS LÄN</t>
        </is>
      </c>
      <c r="E816" t="inlineStr">
        <is>
          <t>ÖSTERSUND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11052-2024</t>
        </is>
      </c>
      <c r="B817" s="1" t="n">
        <v>45370</v>
      </c>
      <c r="C817" s="1" t="n">
        <v>45800</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11768-2024</t>
        </is>
      </c>
      <c r="B818" s="1" t="n">
        <v>45373</v>
      </c>
      <c r="C818" s="1" t="n">
        <v>45800</v>
      </c>
      <c r="D818" t="inlineStr">
        <is>
          <t>JÄMTLANDS LÄN</t>
        </is>
      </c>
      <c r="E818" t="inlineStr">
        <is>
          <t>ÖSTERSUND</t>
        </is>
      </c>
      <c r="F818" t="inlineStr">
        <is>
          <t>SCA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11877-2024</t>
        </is>
      </c>
      <c r="B819" s="1" t="n">
        <v>45376</v>
      </c>
      <c r="C819" s="1" t="n">
        <v>45800</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11931-2024</t>
        </is>
      </c>
      <c r="B820" s="1" t="n">
        <v>45376</v>
      </c>
      <c r="C820" s="1" t="n">
        <v>45800</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14142-2024</t>
        </is>
      </c>
      <c r="B821" s="1" t="n">
        <v>45392</v>
      </c>
      <c r="C821" s="1" t="n">
        <v>45800</v>
      </c>
      <c r="D821" t="inlineStr">
        <is>
          <t>JÄMTLANDS LÄN</t>
        </is>
      </c>
      <c r="E821" t="inlineStr">
        <is>
          <t>ÖSTERSUND</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16068-2024</t>
        </is>
      </c>
      <c r="B822" s="1" t="n">
        <v>45406</v>
      </c>
      <c r="C822" s="1" t="n">
        <v>45800</v>
      </c>
      <c r="D822" t="inlineStr">
        <is>
          <t>JÄMTLANDS LÄN</t>
        </is>
      </c>
      <c r="E822" t="inlineStr">
        <is>
          <t>ÖSTERSUND</t>
        </is>
      </c>
      <c r="F822" t="inlineStr">
        <is>
          <t>SCA</t>
        </is>
      </c>
      <c r="G822" t="n">
        <v>35.6</v>
      </c>
      <c r="H822" t="n">
        <v>0</v>
      </c>
      <c r="I822" t="n">
        <v>0</v>
      </c>
      <c r="J822" t="n">
        <v>0</v>
      </c>
      <c r="K822" t="n">
        <v>0</v>
      </c>
      <c r="L822" t="n">
        <v>0</v>
      </c>
      <c r="M822" t="n">
        <v>0</v>
      </c>
      <c r="N822" t="n">
        <v>0</v>
      </c>
      <c r="O822" t="n">
        <v>0</v>
      </c>
      <c r="P822" t="n">
        <v>0</v>
      </c>
      <c r="Q822" t="n">
        <v>0</v>
      </c>
      <c r="R822" s="2" t="inlineStr"/>
    </row>
    <row r="823" ht="15" customHeight="1">
      <c r="A823" t="inlineStr">
        <is>
          <t>A 16065-2024</t>
        </is>
      </c>
      <c r="B823" s="1" t="n">
        <v>45406</v>
      </c>
      <c r="C823" s="1" t="n">
        <v>45800</v>
      </c>
      <c r="D823" t="inlineStr">
        <is>
          <t>JÄMTLANDS LÄN</t>
        </is>
      </c>
      <c r="E823" t="inlineStr">
        <is>
          <t>ÖSTERSUND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16459-2024</t>
        </is>
      </c>
      <c r="B824" s="1" t="n">
        <v>45407</v>
      </c>
      <c r="C824" s="1" t="n">
        <v>45800</v>
      </c>
      <c r="D824" t="inlineStr">
        <is>
          <t>JÄMTLANDS LÄN</t>
        </is>
      </c>
      <c r="E824" t="inlineStr">
        <is>
          <t>ÖSTERSUND</t>
        </is>
      </c>
      <c r="G824" t="n">
        <v>24</v>
      </c>
      <c r="H824" t="n">
        <v>0</v>
      </c>
      <c r="I824" t="n">
        <v>0</v>
      </c>
      <c r="J824" t="n">
        <v>0</v>
      </c>
      <c r="K824" t="n">
        <v>0</v>
      </c>
      <c r="L824" t="n">
        <v>0</v>
      </c>
      <c r="M824" t="n">
        <v>0</v>
      </c>
      <c r="N824" t="n">
        <v>0</v>
      </c>
      <c r="O824" t="n">
        <v>0</v>
      </c>
      <c r="P824" t="n">
        <v>0</v>
      </c>
      <c r="Q824" t="n">
        <v>0</v>
      </c>
      <c r="R824" s="2" t="inlineStr"/>
    </row>
    <row r="825" ht="15" customHeight="1">
      <c r="A825" t="inlineStr">
        <is>
          <t>A 16689-2024</t>
        </is>
      </c>
      <c r="B825" s="1" t="n">
        <v>45408</v>
      </c>
      <c r="C825" s="1" t="n">
        <v>45800</v>
      </c>
      <c r="D825" t="inlineStr">
        <is>
          <t>JÄMTLANDS LÄN</t>
        </is>
      </c>
      <c r="E825" t="inlineStr">
        <is>
          <t>ÖSTERSUND</t>
        </is>
      </c>
      <c r="G825" t="n">
        <v>0.6</v>
      </c>
      <c r="H825" t="n">
        <v>0</v>
      </c>
      <c r="I825" t="n">
        <v>0</v>
      </c>
      <c r="J825" t="n">
        <v>0</v>
      </c>
      <c r="K825" t="n">
        <v>0</v>
      </c>
      <c r="L825" t="n">
        <v>0</v>
      </c>
      <c r="M825" t="n">
        <v>0</v>
      </c>
      <c r="N825" t="n">
        <v>0</v>
      </c>
      <c r="O825" t="n">
        <v>0</v>
      </c>
      <c r="P825" t="n">
        <v>0</v>
      </c>
      <c r="Q825" t="n">
        <v>0</v>
      </c>
      <c r="R825" s="2" t="inlineStr"/>
    </row>
    <row r="826" ht="15" customHeight="1">
      <c r="A826" t="inlineStr">
        <is>
          <t>A 17188-2024</t>
        </is>
      </c>
      <c r="B826" s="1" t="n">
        <v>45413</v>
      </c>
      <c r="C826" s="1" t="n">
        <v>45800</v>
      </c>
      <c r="D826" t="inlineStr">
        <is>
          <t>JÄMTLANDS LÄN</t>
        </is>
      </c>
      <c r="E826" t="inlineStr">
        <is>
          <t>ÖSTERSUND</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17062-2024</t>
        </is>
      </c>
      <c r="B827" s="1" t="n">
        <v>45412</v>
      </c>
      <c r="C827" s="1" t="n">
        <v>45800</v>
      </c>
      <c r="D827" t="inlineStr">
        <is>
          <t>JÄMTLANDS LÄN</t>
        </is>
      </c>
      <c r="E827" t="inlineStr">
        <is>
          <t>ÖSTERSUND</t>
        </is>
      </c>
      <c r="G827" t="n">
        <v>8</v>
      </c>
      <c r="H827" t="n">
        <v>0</v>
      </c>
      <c r="I827" t="n">
        <v>0</v>
      </c>
      <c r="J827" t="n">
        <v>0</v>
      </c>
      <c r="K827" t="n">
        <v>0</v>
      </c>
      <c r="L827" t="n">
        <v>0</v>
      </c>
      <c r="M827" t="n">
        <v>0</v>
      </c>
      <c r="N827" t="n">
        <v>0</v>
      </c>
      <c r="O827" t="n">
        <v>0</v>
      </c>
      <c r="P827" t="n">
        <v>0</v>
      </c>
      <c r="Q827" t="n">
        <v>0</v>
      </c>
      <c r="R827" s="2" t="inlineStr"/>
    </row>
    <row r="828" ht="15" customHeight="1">
      <c r="A828" t="inlineStr">
        <is>
          <t>A 17066-2024</t>
        </is>
      </c>
      <c r="B828" s="1" t="n">
        <v>45412</v>
      </c>
      <c r="C828" s="1" t="n">
        <v>45800</v>
      </c>
      <c r="D828" t="inlineStr">
        <is>
          <t>JÄMTLANDS LÄN</t>
        </is>
      </c>
      <c r="E828" t="inlineStr">
        <is>
          <t>ÖSTERSUND</t>
        </is>
      </c>
      <c r="G828" t="n">
        <v>4.2</v>
      </c>
      <c r="H828" t="n">
        <v>0</v>
      </c>
      <c r="I828" t="n">
        <v>0</v>
      </c>
      <c r="J828" t="n">
        <v>0</v>
      </c>
      <c r="K828" t="n">
        <v>0</v>
      </c>
      <c r="L828" t="n">
        <v>0</v>
      </c>
      <c r="M828" t="n">
        <v>0</v>
      </c>
      <c r="N828" t="n">
        <v>0</v>
      </c>
      <c r="O828" t="n">
        <v>0</v>
      </c>
      <c r="P828" t="n">
        <v>0</v>
      </c>
      <c r="Q828" t="n">
        <v>0</v>
      </c>
      <c r="R828" s="2" t="inlineStr"/>
    </row>
    <row r="829" ht="15" customHeight="1">
      <c r="A829" t="inlineStr">
        <is>
          <t>A 17547-2024</t>
        </is>
      </c>
      <c r="B829" s="1" t="n">
        <v>45415</v>
      </c>
      <c r="C829" s="1" t="n">
        <v>45800</v>
      </c>
      <c r="D829" t="inlineStr">
        <is>
          <t>JÄMTLANDS LÄN</t>
        </is>
      </c>
      <c r="E829" t="inlineStr">
        <is>
          <t>ÖSTERSUND</t>
        </is>
      </c>
      <c r="G829" t="n">
        <v>2.1</v>
      </c>
      <c r="H829" t="n">
        <v>0</v>
      </c>
      <c r="I829" t="n">
        <v>0</v>
      </c>
      <c r="J829" t="n">
        <v>0</v>
      </c>
      <c r="K829" t="n">
        <v>0</v>
      </c>
      <c r="L829" t="n">
        <v>0</v>
      </c>
      <c r="M829" t="n">
        <v>0</v>
      </c>
      <c r="N829" t="n">
        <v>0</v>
      </c>
      <c r="O829" t="n">
        <v>0</v>
      </c>
      <c r="P829" t="n">
        <v>0</v>
      </c>
      <c r="Q829" t="n">
        <v>0</v>
      </c>
      <c r="R829" s="2" t="inlineStr"/>
    </row>
    <row r="830" ht="15" customHeight="1">
      <c r="A830" t="inlineStr">
        <is>
          <t>A 17760-2024</t>
        </is>
      </c>
      <c r="B830" s="1" t="n">
        <v>45418</v>
      </c>
      <c r="C830" s="1" t="n">
        <v>45800</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17709-2024</t>
        </is>
      </c>
      <c r="B831" s="1" t="n">
        <v>45418</v>
      </c>
      <c r="C831" s="1" t="n">
        <v>45800</v>
      </c>
      <c r="D831" t="inlineStr">
        <is>
          <t>JÄMTLANDS LÄN</t>
        </is>
      </c>
      <c r="E831" t="inlineStr">
        <is>
          <t>ÖSTERSUND</t>
        </is>
      </c>
      <c r="G831" t="n">
        <v>2.9</v>
      </c>
      <c r="H831" t="n">
        <v>0</v>
      </c>
      <c r="I831" t="n">
        <v>0</v>
      </c>
      <c r="J831" t="n">
        <v>0</v>
      </c>
      <c r="K831" t="n">
        <v>0</v>
      </c>
      <c r="L831" t="n">
        <v>0</v>
      </c>
      <c r="M831" t="n">
        <v>0</v>
      </c>
      <c r="N831" t="n">
        <v>0</v>
      </c>
      <c r="O831" t="n">
        <v>0</v>
      </c>
      <c r="P831" t="n">
        <v>0</v>
      </c>
      <c r="Q831" t="n">
        <v>0</v>
      </c>
      <c r="R831" s="2" t="inlineStr"/>
    </row>
    <row r="832" ht="15" customHeight="1">
      <c r="A832" t="inlineStr">
        <is>
          <t>A 18627-2024</t>
        </is>
      </c>
      <c r="B832" s="1" t="n">
        <v>45426</v>
      </c>
      <c r="C832" s="1" t="n">
        <v>45800</v>
      </c>
      <c r="D832" t="inlineStr">
        <is>
          <t>JÄMTLANDS LÄN</t>
        </is>
      </c>
      <c r="E832" t="inlineStr">
        <is>
          <t>ÖSTERSUND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18643-2024</t>
        </is>
      </c>
      <c r="B833" s="1" t="n">
        <v>45426</v>
      </c>
      <c r="C833" s="1" t="n">
        <v>45800</v>
      </c>
      <c r="D833" t="inlineStr">
        <is>
          <t>JÄMTLANDS LÄN</t>
        </is>
      </c>
      <c r="E833" t="inlineStr">
        <is>
          <t>ÖSTERSUND</t>
        </is>
      </c>
      <c r="F833" t="inlineStr">
        <is>
          <t>SCA</t>
        </is>
      </c>
      <c r="G833" t="n">
        <v>10.3</v>
      </c>
      <c r="H833" t="n">
        <v>0</v>
      </c>
      <c r="I833" t="n">
        <v>0</v>
      </c>
      <c r="J833" t="n">
        <v>0</v>
      </c>
      <c r="K833" t="n">
        <v>0</v>
      </c>
      <c r="L833" t="n">
        <v>0</v>
      </c>
      <c r="M833" t="n">
        <v>0</v>
      </c>
      <c r="N833" t="n">
        <v>0</v>
      </c>
      <c r="O833" t="n">
        <v>0</v>
      </c>
      <c r="P833" t="n">
        <v>0</v>
      </c>
      <c r="Q833" t="n">
        <v>0</v>
      </c>
      <c r="R833" s="2" t="inlineStr"/>
    </row>
    <row r="834" ht="15" customHeight="1">
      <c r="A834" t="inlineStr">
        <is>
          <t>A 18624-2024</t>
        </is>
      </c>
      <c r="B834" s="1" t="n">
        <v>45426</v>
      </c>
      <c r="C834" s="1" t="n">
        <v>45800</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19112-2024</t>
        </is>
      </c>
      <c r="B835" s="1" t="n">
        <v>45427</v>
      </c>
      <c r="C835" s="1" t="n">
        <v>45800</v>
      </c>
      <c r="D835" t="inlineStr">
        <is>
          <t>JÄMTLANDS LÄN</t>
        </is>
      </c>
      <c r="E835" t="inlineStr">
        <is>
          <t>ÖSTERSUND</t>
        </is>
      </c>
      <c r="G835" t="n">
        <v>3.6</v>
      </c>
      <c r="H835" t="n">
        <v>0</v>
      </c>
      <c r="I835" t="n">
        <v>0</v>
      </c>
      <c r="J835" t="n">
        <v>0</v>
      </c>
      <c r="K835" t="n">
        <v>0</v>
      </c>
      <c r="L835" t="n">
        <v>0</v>
      </c>
      <c r="M835" t="n">
        <v>0</v>
      </c>
      <c r="N835" t="n">
        <v>0</v>
      </c>
      <c r="O835" t="n">
        <v>0</v>
      </c>
      <c r="P835" t="n">
        <v>0</v>
      </c>
      <c r="Q835" t="n">
        <v>0</v>
      </c>
      <c r="R835" s="2" t="inlineStr"/>
    </row>
    <row r="836" ht="15" customHeight="1">
      <c r="A836" t="inlineStr">
        <is>
          <t>A 19037-2024</t>
        </is>
      </c>
      <c r="B836" s="1" t="n">
        <v>45427</v>
      </c>
      <c r="C836" s="1" t="n">
        <v>45800</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19138-2024</t>
        </is>
      </c>
      <c r="B837" s="1" t="n">
        <v>45428</v>
      </c>
      <c r="C837" s="1" t="n">
        <v>45800</v>
      </c>
      <c r="D837" t="inlineStr">
        <is>
          <t>JÄMTLANDS LÄN</t>
        </is>
      </c>
      <c r="E837" t="inlineStr">
        <is>
          <t>ÖSTERSUND</t>
        </is>
      </c>
      <c r="G837" t="n">
        <v>13.6</v>
      </c>
      <c r="H837" t="n">
        <v>0</v>
      </c>
      <c r="I837" t="n">
        <v>0</v>
      </c>
      <c r="J837" t="n">
        <v>0</v>
      </c>
      <c r="K837" t="n">
        <v>0</v>
      </c>
      <c r="L837" t="n">
        <v>0</v>
      </c>
      <c r="M837" t="n">
        <v>0</v>
      </c>
      <c r="N837" t="n">
        <v>0</v>
      </c>
      <c r="O837" t="n">
        <v>0</v>
      </c>
      <c r="P837" t="n">
        <v>0</v>
      </c>
      <c r="Q837" t="n">
        <v>0</v>
      </c>
      <c r="R837" s="2" t="inlineStr"/>
    </row>
    <row r="838" ht="15" customHeight="1">
      <c r="A838" t="inlineStr">
        <is>
          <t>A 19233-2024</t>
        </is>
      </c>
      <c r="B838" s="1" t="n">
        <v>45428</v>
      </c>
      <c r="C838" s="1" t="n">
        <v>45800</v>
      </c>
      <c r="D838" t="inlineStr">
        <is>
          <t>JÄMTLANDS LÄN</t>
        </is>
      </c>
      <c r="E838" t="inlineStr">
        <is>
          <t>ÖSTERSUND</t>
        </is>
      </c>
      <c r="G838" t="n">
        <v>2.2</v>
      </c>
      <c r="H838" t="n">
        <v>0</v>
      </c>
      <c r="I838" t="n">
        <v>0</v>
      </c>
      <c r="J838" t="n">
        <v>0</v>
      </c>
      <c r="K838" t="n">
        <v>0</v>
      </c>
      <c r="L838" t="n">
        <v>0</v>
      </c>
      <c r="M838" t="n">
        <v>0</v>
      </c>
      <c r="N838" t="n">
        <v>0</v>
      </c>
      <c r="O838" t="n">
        <v>0</v>
      </c>
      <c r="P838" t="n">
        <v>0</v>
      </c>
      <c r="Q838" t="n">
        <v>0</v>
      </c>
      <c r="R838" s="2" t="inlineStr"/>
    </row>
    <row r="839" ht="15" customHeight="1">
      <c r="A839" t="inlineStr">
        <is>
          <t>A 19408-2024</t>
        </is>
      </c>
      <c r="B839" s="1" t="n">
        <v>45428</v>
      </c>
      <c r="C839" s="1" t="n">
        <v>45800</v>
      </c>
      <c r="D839" t="inlineStr">
        <is>
          <t>JÄMTLANDS LÄN</t>
        </is>
      </c>
      <c r="E839" t="inlineStr">
        <is>
          <t>ÖSTERSUND</t>
        </is>
      </c>
      <c r="G839" t="n">
        <v>11.1</v>
      </c>
      <c r="H839" t="n">
        <v>0</v>
      </c>
      <c r="I839" t="n">
        <v>0</v>
      </c>
      <c r="J839" t="n">
        <v>0</v>
      </c>
      <c r="K839" t="n">
        <v>0</v>
      </c>
      <c r="L839" t="n">
        <v>0</v>
      </c>
      <c r="M839" t="n">
        <v>0</v>
      </c>
      <c r="N839" t="n">
        <v>0</v>
      </c>
      <c r="O839" t="n">
        <v>0</v>
      </c>
      <c r="P839" t="n">
        <v>0</v>
      </c>
      <c r="Q839" t="n">
        <v>0</v>
      </c>
      <c r="R839" s="2" t="inlineStr"/>
    </row>
    <row r="840" ht="15" customHeight="1">
      <c r="A840" t="inlineStr">
        <is>
          <t>A 19323-2024</t>
        </is>
      </c>
      <c r="B840" s="1" t="n">
        <v>45429</v>
      </c>
      <c r="C840" s="1" t="n">
        <v>45800</v>
      </c>
      <c r="D840" t="inlineStr">
        <is>
          <t>JÄMTLANDS LÄN</t>
        </is>
      </c>
      <c r="E840" t="inlineStr">
        <is>
          <t>ÖSTERSUND</t>
        </is>
      </c>
      <c r="F840" t="inlineStr">
        <is>
          <t>Kommuner</t>
        </is>
      </c>
      <c r="G840" t="n">
        <v>0.2</v>
      </c>
      <c r="H840" t="n">
        <v>0</v>
      </c>
      <c r="I840" t="n">
        <v>0</v>
      </c>
      <c r="J840" t="n">
        <v>0</v>
      </c>
      <c r="K840" t="n">
        <v>0</v>
      </c>
      <c r="L840" t="n">
        <v>0</v>
      </c>
      <c r="M840" t="n">
        <v>0</v>
      </c>
      <c r="N840" t="n">
        <v>0</v>
      </c>
      <c r="O840" t="n">
        <v>0</v>
      </c>
      <c r="P840" t="n">
        <v>0</v>
      </c>
      <c r="Q840" t="n">
        <v>0</v>
      </c>
      <c r="R840" s="2" t="inlineStr"/>
    </row>
    <row r="841" ht="15" customHeight="1">
      <c r="A841" t="inlineStr">
        <is>
          <t>A 19566-2024</t>
        </is>
      </c>
      <c r="B841" s="1" t="n">
        <v>45430</v>
      </c>
      <c r="C841" s="1" t="n">
        <v>45800</v>
      </c>
      <c r="D841" t="inlineStr">
        <is>
          <t>JÄMTLANDS LÄN</t>
        </is>
      </c>
      <c r="E841" t="inlineStr">
        <is>
          <t>ÖSTERSUND</t>
        </is>
      </c>
      <c r="G841" t="n">
        <v>0</v>
      </c>
      <c r="H841" t="n">
        <v>0</v>
      </c>
      <c r="I841" t="n">
        <v>0</v>
      </c>
      <c r="J841" t="n">
        <v>0</v>
      </c>
      <c r="K841" t="n">
        <v>0</v>
      </c>
      <c r="L841" t="n">
        <v>0</v>
      </c>
      <c r="M841" t="n">
        <v>0</v>
      </c>
      <c r="N841" t="n">
        <v>0</v>
      </c>
      <c r="O841" t="n">
        <v>0</v>
      </c>
      <c r="P841" t="n">
        <v>0</v>
      </c>
      <c r="Q841" t="n">
        <v>0</v>
      </c>
      <c r="R841" s="2" t="inlineStr"/>
    </row>
    <row r="842" ht="15" customHeight="1">
      <c r="A842" t="inlineStr">
        <is>
          <t>A 19570-2024</t>
        </is>
      </c>
      <c r="B842" s="1" t="n">
        <v>45430</v>
      </c>
      <c r="C842" s="1" t="n">
        <v>45800</v>
      </c>
      <c r="D842" t="inlineStr">
        <is>
          <t>JÄMTLANDS LÄN</t>
        </is>
      </c>
      <c r="E842" t="inlineStr">
        <is>
          <t>ÖSTERSUND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19725-2024</t>
        </is>
      </c>
      <c r="B843" s="1" t="n">
        <v>45432</v>
      </c>
      <c r="C843" s="1" t="n">
        <v>45800</v>
      </c>
      <c r="D843" t="inlineStr">
        <is>
          <t>JÄMTLANDS LÄN</t>
        </is>
      </c>
      <c r="E843" t="inlineStr">
        <is>
          <t>ÖSTERSUND</t>
        </is>
      </c>
      <c r="G843" t="n">
        <v>7.2</v>
      </c>
      <c r="H843" t="n">
        <v>0</v>
      </c>
      <c r="I843" t="n">
        <v>0</v>
      </c>
      <c r="J843" t="n">
        <v>0</v>
      </c>
      <c r="K843" t="n">
        <v>0</v>
      </c>
      <c r="L843" t="n">
        <v>0</v>
      </c>
      <c r="M843" t="n">
        <v>0</v>
      </c>
      <c r="N843" t="n">
        <v>0</v>
      </c>
      <c r="O843" t="n">
        <v>0</v>
      </c>
      <c r="P843" t="n">
        <v>0</v>
      </c>
      <c r="Q843" t="n">
        <v>0</v>
      </c>
      <c r="R843" s="2" t="inlineStr"/>
    </row>
    <row r="844" ht="15" customHeight="1">
      <c r="A844" t="inlineStr">
        <is>
          <t>A 20068-2024</t>
        </is>
      </c>
      <c r="B844" s="1" t="n">
        <v>45434</v>
      </c>
      <c r="C844" s="1" t="n">
        <v>45800</v>
      </c>
      <c r="D844" t="inlineStr">
        <is>
          <t>JÄMTLANDS LÄN</t>
        </is>
      </c>
      <c r="E844" t="inlineStr">
        <is>
          <t>ÖSTERSUND</t>
        </is>
      </c>
      <c r="G844" t="n">
        <v>10.2</v>
      </c>
      <c r="H844" t="n">
        <v>0</v>
      </c>
      <c r="I844" t="n">
        <v>0</v>
      </c>
      <c r="J844" t="n">
        <v>0</v>
      </c>
      <c r="K844" t="n">
        <v>0</v>
      </c>
      <c r="L844" t="n">
        <v>0</v>
      </c>
      <c r="M844" t="n">
        <v>0</v>
      </c>
      <c r="N844" t="n">
        <v>0</v>
      </c>
      <c r="O844" t="n">
        <v>0</v>
      </c>
      <c r="P844" t="n">
        <v>0</v>
      </c>
      <c r="Q844" t="n">
        <v>0</v>
      </c>
      <c r="R844" s="2" t="inlineStr"/>
    </row>
    <row r="845" ht="15" customHeight="1">
      <c r="A845" t="inlineStr">
        <is>
          <t>A 20400-2024</t>
        </is>
      </c>
      <c r="B845" s="1" t="n">
        <v>45435</v>
      </c>
      <c r="C845" s="1" t="n">
        <v>45800</v>
      </c>
      <c r="D845" t="inlineStr">
        <is>
          <t>JÄMTLANDS LÄN</t>
        </is>
      </c>
      <c r="E845" t="inlineStr">
        <is>
          <t>ÖSTERSUND</t>
        </is>
      </c>
      <c r="G845" t="n">
        <v>0.9</v>
      </c>
      <c r="H845" t="n">
        <v>0</v>
      </c>
      <c r="I845" t="n">
        <v>0</v>
      </c>
      <c r="J845" t="n">
        <v>0</v>
      </c>
      <c r="K845" t="n">
        <v>0</v>
      </c>
      <c r="L845" t="n">
        <v>0</v>
      </c>
      <c r="M845" t="n">
        <v>0</v>
      </c>
      <c r="N845" t="n">
        <v>0</v>
      </c>
      <c r="O845" t="n">
        <v>0</v>
      </c>
      <c r="P845" t="n">
        <v>0</v>
      </c>
      <c r="Q845" t="n">
        <v>0</v>
      </c>
      <c r="R845" s="2" t="inlineStr"/>
    </row>
    <row r="846" ht="15" customHeight="1">
      <c r="A846" t="inlineStr">
        <is>
          <t>A 20632-2024</t>
        </is>
      </c>
      <c r="B846" s="1" t="n">
        <v>45436</v>
      </c>
      <c r="C846" s="1" t="n">
        <v>45800</v>
      </c>
      <c r="D846" t="inlineStr">
        <is>
          <t>JÄMTLANDS LÄN</t>
        </is>
      </c>
      <c r="E846" t="inlineStr">
        <is>
          <t>ÖSTERSUND</t>
        </is>
      </c>
      <c r="G846" t="n">
        <v>5.6</v>
      </c>
      <c r="H846" t="n">
        <v>0</v>
      </c>
      <c r="I846" t="n">
        <v>0</v>
      </c>
      <c r="J846" t="n">
        <v>0</v>
      </c>
      <c r="K846" t="n">
        <v>0</v>
      </c>
      <c r="L846" t="n">
        <v>0</v>
      </c>
      <c r="M846" t="n">
        <v>0</v>
      </c>
      <c r="N846" t="n">
        <v>0</v>
      </c>
      <c r="O846" t="n">
        <v>0</v>
      </c>
      <c r="P846" t="n">
        <v>0</v>
      </c>
      <c r="Q846" t="n">
        <v>0</v>
      </c>
      <c r="R846" s="2" t="inlineStr"/>
    </row>
    <row r="847" ht="15" customHeight="1">
      <c r="A847" t="inlineStr">
        <is>
          <t>A 20629-2024</t>
        </is>
      </c>
      <c r="B847" s="1" t="n">
        <v>45436</v>
      </c>
      <c r="C847" s="1" t="n">
        <v>45800</v>
      </c>
      <c r="D847" t="inlineStr">
        <is>
          <t>JÄMTLANDS LÄN</t>
        </is>
      </c>
      <c r="E847" t="inlineStr">
        <is>
          <t>ÖSTERSUND</t>
        </is>
      </c>
      <c r="G847" t="n">
        <v>2.3</v>
      </c>
      <c r="H847" t="n">
        <v>0</v>
      </c>
      <c r="I847" t="n">
        <v>0</v>
      </c>
      <c r="J847" t="n">
        <v>0</v>
      </c>
      <c r="K847" t="n">
        <v>0</v>
      </c>
      <c r="L847" t="n">
        <v>0</v>
      </c>
      <c r="M847" t="n">
        <v>0</v>
      </c>
      <c r="N847" t="n">
        <v>0</v>
      </c>
      <c r="O847" t="n">
        <v>0</v>
      </c>
      <c r="P847" t="n">
        <v>0</v>
      </c>
      <c r="Q847" t="n">
        <v>0</v>
      </c>
      <c r="R847" s="2" t="inlineStr"/>
    </row>
    <row r="848" ht="15" customHeight="1">
      <c r="A848" t="inlineStr">
        <is>
          <t>A 20736-2024</t>
        </is>
      </c>
      <c r="B848" s="1" t="n">
        <v>45436</v>
      </c>
      <c r="C848" s="1" t="n">
        <v>45800</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21094-2024</t>
        </is>
      </c>
      <c r="B849" s="1" t="n">
        <v>45440</v>
      </c>
      <c r="C849" s="1" t="n">
        <v>45800</v>
      </c>
      <c r="D849" t="inlineStr">
        <is>
          <t>JÄMTLANDS LÄN</t>
        </is>
      </c>
      <c r="E849" t="inlineStr">
        <is>
          <t>ÖSTERSUND</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21093-2024</t>
        </is>
      </c>
      <c r="B850" s="1" t="n">
        <v>45440</v>
      </c>
      <c r="C850" s="1" t="n">
        <v>45800</v>
      </c>
      <c r="D850" t="inlineStr">
        <is>
          <t>JÄMTLANDS LÄN</t>
        </is>
      </c>
      <c r="E850" t="inlineStr">
        <is>
          <t>ÖSTERSUND</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21373-2024</t>
        </is>
      </c>
      <c r="B851" s="1" t="n">
        <v>45441</v>
      </c>
      <c r="C851" s="1" t="n">
        <v>45800</v>
      </c>
      <c r="D851" t="inlineStr">
        <is>
          <t>JÄMTLANDS LÄN</t>
        </is>
      </c>
      <c r="E851" t="inlineStr">
        <is>
          <t>ÖSTERSUND</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21822-2024</t>
        </is>
      </c>
      <c r="B852" s="1" t="n">
        <v>45442</v>
      </c>
      <c r="C852" s="1" t="n">
        <v>45800</v>
      </c>
      <c r="D852" t="inlineStr">
        <is>
          <t>JÄMTLANDS LÄN</t>
        </is>
      </c>
      <c r="E852" t="inlineStr">
        <is>
          <t>ÖSTERSUND</t>
        </is>
      </c>
      <c r="G852" t="n">
        <v>5.1</v>
      </c>
      <c r="H852" t="n">
        <v>0</v>
      </c>
      <c r="I852" t="n">
        <v>0</v>
      </c>
      <c r="J852" t="n">
        <v>0</v>
      </c>
      <c r="K852" t="n">
        <v>0</v>
      </c>
      <c r="L852" t="n">
        <v>0</v>
      </c>
      <c r="M852" t="n">
        <v>0</v>
      </c>
      <c r="N852" t="n">
        <v>0</v>
      </c>
      <c r="O852" t="n">
        <v>0</v>
      </c>
      <c r="P852" t="n">
        <v>0</v>
      </c>
      <c r="Q852" t="n">
        <v>0</v>
      </c>
      <c r="R852" s="2" t="inlineStr"/>
    </row>
    <row r="853" ht="15" customHeight="1">
      <c r="A853" t="inlineStr">
        <is>
          <t>A 21667-2024</t>
        </is>
      </c>
      <c r="B853" s="1" t="n">
        <v>45442</v>
      </c>
      <c r="C853" s="1" t="n">
        <v>45800</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22123-2024</t>
        </is>
      </c>
      <c r="B854" s="1" t="n">
        <v>45444</v>
      </c>
      <c r="C854" s="1" t="n">
        <v>45800</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22478-2024</t>
        </is>
      </c>
      <c r="B855" s="1" t="n">
        <v>45447</v>
      </c>
      <c r="C855" s="1" t="n">
        <v>45800</v>
      </c>
      <c r="D855" t="inlineStr">
        <is>
          <t>JÄMTLANDS LÄN</t>
        </is>
      </c>
      <c r="E855" t="inlineStr">
        <is>
          <t>ÖSTERSUND</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23124-2024</t>
        </is>
      </c>
      <c r="B856" s="1" t="n">
        <v>45450</v>
      </c>
      <c r="C856" s="1" t="n">
        <v>45800</v>
      </c>
      <c r="D856" t="inlineStr">
        <is>
          <t>JÄMTLANDS LÄN</t>
        </is>
      </c>
      <c r="E856" t="inlineStr">
        <is>
          <t>ÖSTERSUND</t>
        </is>
      </c>
      <c r="G856" t="n">
        <v>5.8</v>
      </c>
      <c r="H856" t="n">
        <v>0</v>
      </c>
      <c r="I856" t="n">
        <v>0</v>
      </c>
      <c r="J856" t="n">
        <v>0</v>
      </c>
      <c r="K856" t="n">
        <v>0</v>
      </c>
      <c r="L856" t="n">
        <v>0</v>
      </c>
      <c r="M856" t="n">
        <v>0</v>
      </c>
      <c r="N856" t="n">
        <v>0</v>
      </c>
      <c r="O856" t="n">
        <v>0</v>
      </c>
      <c r="P856" t="n">
        <v>0</v>
      </c>
      <c r="Q856" t="n">
        <v>0</v>
      </c>
      <c r="R856" s="2" t="inlineStr"/>
    </row>
    <row r="857" ht="15" customHeight="1">
      <c r="A857" t="inlineStr">
        <is>
          <t>A 23191-2024</t>
        </is>
      </c>
      <c r="B857" s="1" t="n">
        <v>45450</v>
      </c>
      <c r="C857" s="1" t="n">
        <v>45800</v>
      </c>
      <c r="D857" t="inlineStr">
        <is>
          <t>JÄMTLANDS LÄN</t>
        </is>
      </c>
      <c r="E857" t="inlineStr">
        <is>
          <t>ÖSTERSUND</t>
        </is>
      </c>
      <c r="G857" t="n">
        <v>7</v>
      </c>
      <c r="H857" t="n">
        <v>0</v>
      </c>
      <c r="I857" t="n">
        <v>0</v>
      </c>
      <c r="J857" t="n">
        <v>0</v>
      </c>
      <c r="K857" t="n">
        <v>0</v>
      </c>
      <c r="L857" t="n">
        <v>0</v>
      </c>
      <c r="M857" t="n">
        <v>0</v>
      </c>
      <c r="N857" t="n">
        <v>0</v>
      </c>
      <c r="O857" t="n">
        <v>0</v>
      </c>
      <c r="P857" t="n">
        <v>0</v>
      </c>
      <c r="Q857" t="n">
        <v>0</v>
      </c>
      <c r="R857" s="2" t="inlineStr"/>
    </row>
    <row r="858" ht="15" customHeight="1">
      <c r="A858" t="inlineStr">
        <is>
          <t>A 23492-2024</t>
        </is>
      </c>
      <c r="B858" s="1" t="n">
        <v>45453</v>
      </c>
      <c r="C858" s="1" t="n">
        <v>45800</v>
      </c>
      <c r="D858" t="inlineStr">
        <is>
          <t>JÄMTLANDS LÄN</t>
        </is>
      </c>
      <c r="E858" t="inlineStr">
        <is>
          <t>ÖSTERSUND</t>
        </is>
      </c>
      <c r="G858" t="n">
        <v>9.1</v>
      </c>
      <c r="H858" t="n">
        <v>0</v>
      </c>
      <c r="I858" t="n">
        <v>0</v>
      </c>
      <c r="J858" t="n">
        <v>0</v>
      </c>
      <c r="K858" t="n">
        <v>0</v>
      </c>
      <c r="L858" t="n">
        <v>0</v>
      </c>
      <c r="M858" t="n">
        <v>0</v>
      </c>
      <c r="N858" t="n">
        <v>0</v>
      </c>
      <c r="O858" t="n">
        <v>0</v>
      </c>
      <c r="P858" t="n">
        <v>0</v>
      </c>
      <c r="Q858" t="n">
        <v>0</v>
      </c>
      <c r="R858" s="2" t="inlineStr"/>
    </row>
    <row r="859" ht="15" customHeight="1">
      <c r="A859" t="inlineStr">
        <is>
          <t>A 24246-2024</t>
        </is>
      </c>
      <c r="B859" s="1" t="n">
        <v>45457</v>
      </c>
      <c r="C859" s="1" t="n">
        <v>45800</v>
      </c>
      <c r="D859" t="inlineStr">
        <is>
          <t>JÄMTLANDS LÄN</t>
        </is>
      </c>
      <c r="E859" t="inlineStr">
        <is>
          <t>ÖSTERSUND</t>
        </is>
      </c>
      <c r="G859" t="n">
        <v>5.3</v>
      </c>
      <c r="H859" t="n">
        <v>0</v>
      </c>
      <c r="I859" t="n">
        <v>0</v>
      </c>
      <c r="J859" t="n">
        <v>0</v>
      </c>
      <c r="K859" t="n">
        <v>0</v>
      </c>
      <c r="L859" t="n">
        <v>0</v>
      </c>
      <c r="M859" t="n">
        <v>0</v>
      </c>
      <c r="N859" t="n">
        <v>0</v>
      </c>
      <c r="O859" t="n">
        <v>0</v>
      </c>
      <c r="P859" t="n">
        <v>0</v>
      </c>
      <c r="Q859" t="n">
        <v>0</v>
      </c>
      <c r="R859" s="2" t="inlineStr"/>
    </row>
    <row r="860" ht="15" customHeight="1">
      <c r="A860" t="inlineStr">
        <is>
          <t>A 24781-2024</t>
        </is>
      </c>
      <c r="B860" s="1" t="n">
        <v>45460</v>
      </c>
      <c r="C860" s="1" t="n">
        <v>45800</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24786-2024</t>
        </is>
      </c>
      <c r="B861" s="1" t="n">
        <v>45460</v>
      </c>
      <c r="C861" s="1" t="n">
        <v>45800</v>
      </c>
      <c r="D861" t="inlineStr">
        <is>
          <t>JÄMTLANDS LÄN</t>
        </is>
      </c>
      <c r="E861" t="inlineStr">
        <is>
          <t>ÖSTERSUND</t>
        </is>
      </c>
      <c r="G861" t="n">
        <v>0.1</v>
      </c>
      <c r="H861" t="n">
        <v>0</v>
      </c>
      <c r="I861" t="n">
        <v>0</v>
      </c>
      <c r="J861" t="n">
        <v>0</v>
      </c>
      <c r="K861" t="n">
        <v>0</v>
      </c>
      <c r="L861" t="n">
        <v>0</v>
      </c>
      <c r="M861" t="n">
        <v>0</v>
      </c>
      <c r="N861" t="n">
        <v>0</v>
      </c>
      <c r="O861" t="n">
        <v>0</v>
      </c>
      <c r="P861" t="n">
        <v>0</v>
      </c>
      <c r="Q861" t="n">
        <v>0</v>
      </c>
      <c r="R861" s="2" t="inlineStr"/>
    </row>
    <row r="862" ht="15" customHeight="1">
      <c r="A862" t="inlineStr">
        <is>
          <t>A 24605-2024</t>
        </is>
      </c>
      <c r="B862" s="1" t="n">
        <v>45460</v>
      </c>
      <c r="C862" s="1" t="n">
        <v>45800</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25388-2024</t>
        </is>
      </c>
      <c r="B863" s="1" t="n">
        <v>45463</v>
      </c>
      <c r="C863" s="1" t="n">
        <v>45800</v>
      </c>
      <c r="D863" t="inlineStr">
        <is>
          <t>JÄMTLANDS LÄN</t>
        </is>
      </c>
      <c r="E863" t="inlineStr">
        <is>
          <t>ÖSTERSUND</t>
        </is>
      </c>
      <c r="G863" t="n">
        <v>2.7</v>
      </c>
      <c r="H863" t="n">
        <v>0</v>
      </c>
      <c r="I863" t="n">
        <v>0</v>
      </c>
      <c r="J863" t="n">
        <v>0</v>
      </c>
      <c r="K863" t="n">
        <v>0</v>
      </c>
      <c r="L863" t="n">
        <v>0</v>
      </c>
      <c r="M863" t="n">
        <v>0</v>
      </c>
      <c r="N863" t="n">
        <v>0</v>
      </c>
      <c r="O863" t="n">
        <v>0</v>
      </c>
      <c r="P863" t="n">
        <v>0</v>
      </c>
      <c r="Q863" t="n">
        <v>0</v>
      </c>
      <c r="R863" s="2" t="inlineStr"/>
    </row>
    <row r="864" ht="15" customHeight="1">
      <c r="A864" t="inlineStr">
        <is>
          <t>A 25385-2024</t>
        </is>
      </c>
      <c r="B864" s="1" t="n">
        <v>45463</v>
      </c>
      <c r="C864" s="1" t="n">
        <v>45800</v>
      </c>
      <c r="D864" t="inlineStr">
        <is>
          <t>JÄMTLANDS LÄN</t>
        </is>
      </c>
      <c r="E864" t="inlineStr">
        <is>
          <t>ÖSTERSUND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25187-2024</t>
        </is>
      </c>
      <c r="B865" s="1" t="n">
        <v>45462</v>
      </c>
      <c r="C865" s="1" t="n">
        <v>45800</v>
      </c>
      <c r="D865" t="inlineStr">
        <is>
          <t>JÄMTLANDS LÄN</t>
        </is>
      </c>
      <c r="E865" t="inlineStr">
        <is>
          <t>ÖSTERSUND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26202-2024</t>
        </is>
      </c>
      <c r="B866" s="1" t="n">
        <v>45468</v>
      </c>
      <c r="C866" s="1" t="n">
        <v>45800</v>
      </c>
      <c r="D866" t="inlineStr">
        <is>
          <t>JÄMTLANDS LÄN</t>
        </is>
      </c>
      <c r="E866" t="inlineStr">
        <is>
          <t>ÖSTERSUND</t>
        </is>
      </c>
      <c r="G866" t="n">
        <v>6.7</v>
      </c>
      <c r="H866" t="n">
        <v>0</v>
      </c>
      <c r="I866" t="n">
        <v>0</v>
      </c>
      <c r="J866" t="n">
        <v>0</v>
      </c>
      <c r="K866" t="n">
        <v>0</v>
      </c>
      <c r="L866" t="n">
        <v>0</v>
      </c>
      <c r="M866" t="n">
        <v>0</v>
      </c>
      <c r="N866" t="n">
        <v>0</v>
      </c>
      <c r="O866" t="n">
        <v>0</v>
      </c>
      <c r="P866" t="n">
        <v>0</v>
      </c>
      <c r="Q866" t="n">
        <v>0</v>
      </c>
      <c r="R866" s="2" t="inlineStr"/>
    </row>
    <row r="867" ht="15" customHeight="1">
      <c r="A867" t="inlineStr">
        <is>
          <t>A 27906-2024</t>
        </is>
      </c>
      <c r="B867" s="1" t="n">
        <v>45476</v>
      </c>
      <c r="C867" s="1" t="n">
        <v>45800</v>
      </c>
      <c r="D867" t="inlineStr">
        <is>
          <t>JÄMTLANDS LÄN</t>
        </is>
      </c>
      <c r="E867" t="inlineStr">
        <is>
          <t>ÖSTERSUND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27689-2024</t>
        </is>
      </c>
      <c r="B868" s="1" t="n">
        <v>45475</v>
      </c>
      <c r="C868" s="1" t="n">
        <v>45800</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27764-2024</t>
        </is>
      </c>
      <c r="B869" s="1" t="n">
        <v>45475</v>
      </c>
      <c r="C869" s="1" t="n">
        <v>45800</v>
      </c>
      <c r="D869" t="inlineStr">
        <is>
          <t>JÄMTLANDS LÄN</t>
        </is>
      </c>
      <c r="E869" t="inlineStr">
        <is>
          <t>ÖSTERSUND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27779-2024</t>
        </is>
      </c>
      <c r="B870" s="1" t="n">
        <v>45475</v>
      </c>
      <c r="C870" s="1" t="n">
        <v>45800</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28277-2024</t>
        </is>
      </c>
      <c r="B871" s="1" t="n">
        <v>45477</v>
      </c>
      <c r="C871" s="1" t="n">
        <v>45800</v>
      </c>
      <c r="D871" t="inlineStr">
        <is>
          <t>JÄMTLANDS LÄN</t>
        </is>
      </c>
      <c r="E871" t="inlineStr">
        <is>
          <t>ÖSTERSUND</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28179-2024</t>
        </is>
      </c>
      <c r="B872" s="1" t="n">
        <v>45477</v>
      </c>
      <c r="C872" s="1" t="n">
        <v>45800</v>
      </c>
      <c r="D872" t="inlineStr">
        <is>
          <t>JÄMTLANDS LÄN</t>
        </is>
      </c>
      <c r="E872" t="inlineStr">
        <is>
          <t>ÖSTERSUND</t>
        </is>
      </c>
      <c r="G872" t="n">
        <v>2.2</v>
      </c>
      <c r="H872" t="n">
        <v>0</v>
      </c>
      <c r="I872" t="n">
        <v>0</v>
      </c>
      <c r="J872" t="n">
        <v>0</v>
      </c>
      <c r="K872" t="n">
        <v>0</v>
      </c>
      <c r="L872" t="n">
        <v>0</v>
      </c>
      <c r="M872" t="n">
        <v>0</v>
      </c>
      <c r="N872" t="n">
        <v>0</v>
      </c>
      <c r="O872" t="n">
        <v>0</v>
      </c>
      <c r="P872" t="n">
        <v>0</v>
      </c>
      <c r="Q872" t="n">
        <v>0</v>
      </c>
      <c r="R872" s="2" t="inlineStr"/>
    </row>
    <row r="873" ht="15" customHeight="1">
      <c r="A873" t="inlineStr">
        <is>
          <t>A 28180-2024</t>
        </is>
      </c>
      <c r="B873" s="1" t="n">
        <v>45477</v>
      </c>
      <c r="C873" s="1" t="n">
        <v>45800</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28181-2024</t>
        </is>
      </c>
      <c r="B874" s="1" t="n">
        <v>45477</v>
      </c>
      <c r="C874" s="1" t="n">
        <v>45800</v>
      </c>
      <c r="D874" t="inlineStr">
        <is>
          <t>JÄMTLANDS LÄN</t>
        </is>
      </c>
      <c r="E874" t="inlineStr">
        <is>
          <t>ÖSTERSUND</t>
        </is>
      </c>
      <c r="G874" t="n">
        <v>0.7</v>
      </c>
      <c r="H874" t="n">
        <v>0</v>
      </c>
      <c r="I874" t="n">
        <v>0</v>
      </c>
      <c r="J874" t="n">
        <v>0</v>
      </c>
      <c r="K874" t="n">
        <v>0</v>
      </c>
      <c r="L874" t="n">
        <v>0</v>
      </c>
      <c r="M874" t="n">
        <v>0</v>
      </c>
      <c r="N874" t="n">
        <v>0</v>
      </c>
      <c r="O874" t="n">
        <v>0</v>
      </c>
      <c r="P874" t="n">
        <v>0</v>
      </c>
      <c r="Q874" t="n">
        <v>0</v>
      </c>
      <c r="R874" s="2" t="inlineStr"/>
    </row>
    <row r="875" ht="15" customHeight="1">
      <c r="A875" t="inlineStr">
        <is>
          <t>A 28543-2024</t>
        </is>
      </c>
      <c r="B875" s="1" t="n">
        <v>45478</v>
      </c>
      <c r="C875" s="1" t="n">
        <v>45800</v>
      </c>
      <c r="D875" t="inlineStr">
        <is>
          <t>JÄMTLANDS LÄN</t>
        </is>
      </c>
      <c r="E875" t="inlineStr">
        <is>
          <t>ÖSTERSUND</t>
        </is>
      </c>
      <c r="G875" t="n">
        <v>5.6</v>
      </c>
      <c r="H875" t="n">
        <v>0</v>
      </c>
      <c r="I875" t="n">
        <v>0</v>
      </c>
      <c r="J875" t="n">
        <v>0</v>
      </c>
      <c r="K875" t="n">
        <v>0</v>
      </c>
      <c r="L875" t="n">
        <v>0</v>
      </c>
      <c r="M875" t="n">
        <v>0</v>
      </c>
      <c r="N875" t="n">
        <v>0</v>
      </c>
      <c r="O875" t="n">
        <v>0</v>
      </c>
      <c r="P875" t="n">
        <v>0</v>
      </c>
      <c r="Q875" t="n">
        <v>0</v>
      </c>
      <c r="R875" s="2" t="inlineStr"/>
    </row>
    <row r="876" ht="15" customHeight="1">
      <c r="A876" t="inlineStr">
        <is>
          <t>A 29496-2024</t>
        </is>
      </c>
      <c r="B876" s="1" t="n">
        <v>45484</v>
      </c>
      <c r="C876" s="1" t="n">
        <v>45800</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30539-2024</t>
        </is>
      </c>
      <c r="B877" s="1" t="n">
        <v>45492</v>
      </c>
      <c r="C877" s="1" t="n">
        <v>45800</v>
      </c>
      <c r="D877" t="inlineStr">
        <is>
          <t>JÄMTLANDS LÄN</t>
        </is>
      </c>
      <c r="E877" t="inlineStr">
        <is>
          <t>ÖSTERSUND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30821-2024</t>
        </is>
      </c>
      <c r="B878" s="1" t="n">
        <v>45497</v>
      </c>
      <c r="C878" s="1" t="n">
        <v>45800</v>
      </c>
      <c r="D878" t="inlineStr">
        <is>
          <t>JÄMTLANDS LÄN</t>
        </is>
      </c>
      <c r="E878" t="inlineStr">
        <is>
          <t>ÖSTERSUND</t>
        </is>
      </c>
      <c r="G878" t="n">
        <v>3.4</v>
      </c>
      <c r="H878" t="n">
        <v>0</v>
      </c>
      <c r="I878" t="n">
        <v>0</v>
      </c>
      <c r="J878" t="n">
        <v>0</v>
      </c>
      <c r="K878" t="n">
        <v>0</v>
      </c>
      <c r="L878" t="n">
        <v>0</v>
      </c>
      <c r="M878" t="n">
        <v>0</v>
      </c>
      <c r="N878" t="n">
        <v>0</v>
      </c>
      <c r="O878" t="n">
        <v>0</v>
      </c>
      <c r="P878" t="n">
        <v>0</v>
      </c>
      <c r="Q878" t="n">
        <v>0</v>
      </c>
      <c r="R878" s="2" t="inlineStr"/>
    </row>
    <row r="879" ht="15" customHeight="1">
      <c r="A879" t="inlineStr">
        <is>
          <t>A 31464-2024</t>
        </is>
      </c>
      <c r="B879" s="1" t="n">
        <v>45506</v>
      </c>
      <c r="C879" s="1" t="n">
        <v>45800</v>
      </c>
      <c r="D879" t="inlineStr">
        <is>
          <t>JÄMTLANDS LÄN</t>
        </is>
      </c>
      <c r="E879" t="inlineStr">
        <is>
          <t>ÖSTERSUND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31446-2024</t>
        </is>
      </c>
      <c r="B880" s="1" t="n">
        <v>45506</v>
      </c>
      <c r="C880" s="1" t="n">
        <v>45800</v>
      </c>
      <c r="D880" t="inlineStr">
        <is>
          <t>JÄMTLANDS LÄN</t>
        </is>
      </c>
      <c r="E880" t="inlineStr">
        <is>
          <t>ÖSTERSUND</t>
        </is>
      </c>
      <c r="G880" t="n">
        <v>5.5</v>
      </c>
      <c r="H880" t="n">
        <v>0</v>
      </c>
      <c r="I880" t="n">
        <v>0</v>
      </c>
      <c r="J880" t="n">
        <v>0</v>
      </c>
      <c r="K880" t="n">
        <v>0</v>
      </c>
      <c r="L880" t="n">
        <v>0</v>
      </c>
      <c r="M880" t="n">
        <v>0</v>
      </c>
      <c r="N880" t="n">
        <v>0</v>
      </c>
      <c r="O880" t="n">
        <v>0</v>
      </c>
      <c r="P880" t="n">
        <v>0</v>
      </c>
      <c r="Q880" t="n">
        <v>0</v>
      </c>
      <c r="R880" s="2" t="inlineStr"/>
    </row>
    <row r="881" ht="15" customHeight="1">
      <c r="A881" t="inlineStr">
        <is>
          <t>A 31445-2024</t>
        </is>
      </c>
      <c r="B881" s="1" t="n">
        <v>45506</v>
      </c>
      <c r="C881" s="1" t="n">
        <v>45800</v>
      </c>
      <c r="D881" t="inlineStr">
        <is>
          <t>JÄMTLANDS LÄN</t>
        </is>
      </c>
      <c r="E881" t="inlineStr">
        <is>
          <t>ÖSTERSUND</t>
        </is>
      </c>
      <c r="G881" t="n">
        <v>0.8</v>
      </c>
      <c r="H881" t="n">
        <v>0</v>
      </c>
      <c r="I881" t="n">
        <v>0</v>
      </c>
      <c r="J881" t="n">
        <v>0</v>
      </c>
      <c r="K881" t="n">
        <v>0</v>
      </c>
      <c r="L881" t="n">
        <v>0</v>
      </c>
      <c r="M881" t="n">
        <v>0</v>
      </c>
      <c r="N881" t="n">
        <v>0</v>
      </c>
      <c r="O881" t="n">
        <v>0</v>
      </c>
      <c r="P881" t="n">
        <v>0</v>
      </c>
      <c r="Q881" t="n">
        <v>0</v>
      </c>
      <c r="R881" s="2" t="inlineStr"/>
    </row>
    <row r="882" ht="15" customHeight="1">
      <c r="A882" t="inlineStr">
        <is>
          <t>A 32224-2024</t>
        </is>
      </c>
      <c r="B882" s="1" t="n">
        <v>45512</v>
      </c>
      <c r="C882" s="1" t="n">
        <v>45800</v>
      </c>
      <c r="D882" t="inlineStr">
        <is>
          <t>JÄMTLANDS LÄN</t>
        </is>
      </c>
      <c r="E882" t="inlineStr">
        <is>
          <t>ÖSTERSUND</t>
        </is>
      </c>
      <c r="G882" t="n">
        <v>1</v>
      </c>
      <c r="H882" t="n">
        <v>0</v>
      </c>
      <c r="I882" t="n">
        <v>0</v>
      </c>
      <c r="J882" t="n">
        <v>0</v>
      </c>
      <c r="K882" t="n">
        <v>0</v>
      </c>
      <c r="L882" t="n">
        <v>0</v>
      </c>
      <c r="M882" t="n">
        <v>0</v>
      </c>
      <c r="N882" t="n">
        <v>0</v>
      </c>
      <c r="O882" t="n">
        <v>0</v>
      </c>
      <c r="P882" t="n">
        <v>0</v>
      </c>
      <c r="Q882" t="n">
        <v>0</v>
      </c>
      <c r="R882" s="2" t="inlineStr"/>
    </row>
    <row r="883" ht="15" customHeight="1">
      <c r="A883" t="inlineStr">
        <is>
          <t>A 32225-2024</t>
        </is>
      </c>
      <c r="B883" s="1" t="n">
        <v>45512</v>
      </c>
      <c r="C883" s="1" t="n">
        <v>45800</v>
      </c>
      <c r="D883" t="inlineStr">
        <is>
          <t>JÄMTLANDS LÄN</t>
        </is>
      </c>
      <c r="E883" t="inlineStr">
        <is>
          <t>ÖSTERSUND</t>
        </is>
      </c>
      <c r="G883" t="n">
        <v>2</v>
      </c>
      <c r="H883" t="n">
        <v>0</v>
      </c>
      <c r="I883" t="n">
        <v>0</v>
      </c>
      <c r="J883" t="n">
        <v>0</v>
      </c>
      <c r="K883" t="n">
        <v>0</v>
      </c>
      <c r="L883" t="n">
        <v>0</v>
      </c>
      <c r="M883" t="n">
        <v>0</v>
      </c>
      <c r="N883" t="n">
        <v>0</v>
      </c>
      <c r="O883" t="n">
        <v>0</v>
      </c>
      <c r="P883" t="n">
        <v>0</v>
      </c>
      <c r="Q883" t="n">
        <v>0</v>
      </c>
      <c r="R883" s="2" t="inlineStr"/>
    </row>
    <row r="884" ht="15" customHeight="1">
      <c r="A884" t="inlineStr">
        <is>
          <t>A 33091-2024</t>
        </is>
      </c>
      <c r="B884" s="1" t="n">
        <v>45517</v>
      </c>
      <c r="C884" s="1" t="n">
        <v>45800</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33015-2024</t>
        </is>
      </c>
      <c r="B885" s="1" t="n">
        <v>45517</v>
      </c>
      <c r="C885" s="1" t="n">
        <v>45800</v>
      </c>
      <c r="D885" t="inlineStr">
        <is>
          <t>JÄMTLANDS LÄN</t>
        </is>
      </c>
      <c r="E885" t="inlineStr">
        <is>
          <t>ÖSTERSUND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33621-2024</t>
        </is>
      </c>
      <c r="B886" s="1" t="n">
        <v>45520</v>
      </c>
      <c r="C886" s="1" t="n">
        <v>45800</v>
      </c>
      <c r="D886" t="inlineStr">
        <is>
          <t>JÄMTLANDS LÄN</t>
        </is>
      </c>
      <c r="E886" t="inlineStr">
        <is>
          <t>ÖSTERSUND</t>
        </is>
      </c>
      <c r="G886" t="n">
        <v>2.1</v>
      </c>
      <c r="H886" t="n">
        <v>0</v>
      </c>
      <c r="I886" t="n">
        <v>0</v>
      </c>
      <c r="J886" t="n">
        <v>0</v>
      </c>
      <c r="K886" t="n">
        <v>0</v>
      </c>
      <c r="L886" t="n">
        <v>0</v>
      </c>
      <c r="M886" t="n">
        <v>0</v>
      </c>
      <c r="N886" t="n">
        <v>0</v>
      </c>
      <c r="O886" t="n">
        <v>0</v>
      </c>
      <c r="P886" t="n">
        <v>0</v>
      </c>
      <c r="Q886" t="n">
        <v>0</v>
      </c>
      <c r="R886" s="2" t="inlineStr"/>
    </row>
    <row r="887" ht="15" customHeight="1">
      <c r="A887" t="inlineStr">
        <is>
          <t>A 33779-2024</t>
        </is>
      </c>
      <c r="B887" s="1" t="n">
        <v>45520</v>
      </c>
      <c r="C887" s="1" t="n">
        <v>45800</v>
      </c>
      <c r="D887" t="inlineStr">
        <is>
          <t>JÄMTLANDS LÄN</t>
        </is>
      </c>
      <c r="E887" t="inlineStr">
        <is>
          <t>ÖSTERSUND</t>
        </is>
      </c>
      <c r="G887" t="n">
        <v>1.5</v>
      </c>
      <c r="H887" t="n">
        <v>0</v>
      </c>
      <c r="I887" t="n">
        <v>0</v>
      </c>
      <c r="J887" t="n">
        <v>0</v>
      </c>
      <c r="K887" t="n">
        <v>0</v>
      </c>
      <c r="L887" t="n">
        <v>0</v>
      </c>
      <c r="M887" t="n">
        <v>0</v>
      </c>
      <c r="N887" t="n">
        <v>0</v>
      </c>
      <c r="O887" t="n">
        <v>0</v>
      </c>
      <c r="P887" t="n">
        <v>0</v>
      </c>
      <c r="Q887" t="n">
        <v>0</v>
      </c>
      <c r="R887" s="2" t="inlineStr"/>
    </row>
    <row r="888" ht="15" customHeight="1">
      <c r="A888" t="inlineStr">
        <is>
          <t>A 34112-2024</t>
        </is>
      </c>
      <c r="B888" s="1" t="n">
        <v>45524</v>
      </c>
      <c r="C888" s="1" t="n">
        <v>45800</v>
      </c>
      <c r="D888" t="inlineStr">
        <is>
          <t>JÄMTLANDS LÄN</t>
        </is>
      </c>
      <c r="E888" t="inlineStr">
        <is>
          <t>ÖSTERSUND</t>
        </is>
      </c>
      <c r="G888" t="n">
        <v>1.2</v>
      </c>
      <c r="H888" t="n">
        <v>0</v>
      </c>
      <c r="I888" t="n">
        <v>0</v>
      </c>
      <c r="J888" t="n">
        <v>0</v>
      </c>
      <c r="K888" t="n">
        <v>0</v>
      </c>
      <c r="L888" t="n">
        <v>0</v>
      </c>
      <c r="M888" t="n">
        <v>0</v>
      </c>
      <c r="N888" t="n">
        <v>0</v>
      </c>
      <c r="O888" t="n">
        <v>0</v>
      </c>
      <c r="P888" t="n">
        <v>0</v>
      </c>
      <c r="Q888" t="n">
        <v>0</v>
      </c>
      <c r="R888" s="2" t="inlineStr"/>
    </row>
    <row r="889" ht="15" customHeight="1">
      <c r="A889" t="inlineStr">
        <is>
          <t>A 34118-2024</t>
        </is>
      </c>
      <c r="B889" s="1" t="n">
        <v>45524</v>
      </c>
      <c r="C889" s="1" t="n">
        <v>45800</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34470-2024</t>
        </is>
      </c>
      <c r="B890" s="1" t="n">
        <v>45525</v>
      </c>
      <c r="C890" s="1" t="n">
        <v>45800</v>
      </c>
      <c r="D890" t="inlineStr">
        <is>
          <t>JÄMTLANDS LÄN</t>
        </is>
      </c>
      <c r="E890" t="inlineStr">
        <is>
          <t>ÖSTERSUND</t>
        </is>
      </c>
      <c r="G890" t="n">
        <v>7.6</v>
      </c>
      <c r="H890" t="n">
        <v>0</v>
      </c>
      <c r="I890" t="n">
        <v>0</v>
      </c>
      <c r="J890" t="n">
        <v>0</v>
      </c>
      <c r="K890" t="n">
        <v>0</v>
      </c>
      <c r="L890" t="n">
        <v>0</v>
      </c>
      <c r="M890" t="n">
        <v>0</v>
      </c>
      <c r="N890" t="n">
        <v>0</v>
      </c>
      <c r="O890" t="n">
        <v>0</v>
      </c>
      <c r="P890" t="n">
        <v>0</v>
      </c>
      <c r="Q890" t="n">
        <v>0</v>
      </c>
      <c r="R890" s="2" t="inlineStr"/>
    </row>
    <row r="891" ht="15" customHeight="1">
      <c r="A891" t="inlineStr">
        <is>
          <t>A 34507-2024</t>
        </is>
      </c>
      <c r="B891" s="1" t="n">
        <v>45525</v>
      </c>
      <c r="C891" s="1" t="n">
        <v>45800</v>
      </c>
      <c r="D891" t="inlineStr">
        <is>
          <t>JÄMTLANDS LÄN</t>
        </is>
      </c>
      <c r="E891" t="inlineStr">
        <is>
          <t>ÖSTERSUND</t>
        </is>
      </c>
      <c r="G891" t="n">
        <v>0.6</v>
      </c>
      <c r="H891" t="n">
        <v>0</v>
      </c>
      <c r="I891" t="n">
        <v>0</v>
      </c>
      <c r="J891" t="n">
        <v>0</v>
      </c>
      <c r="K891" t="n">
        <v>0</v>
      </c>
      <c r="L891" t="n">
        <v>0</v>
      </c>
      <c r="M891" t="n">
        <v>0</v>
      </c>
      <c r="N891" t="n">
        <v>0</v>
      </c>
      <c r="O891" t="n">
        <v>0</v>
      </c>
      <c r="P891" t="n">
        <v>0</v>
      </c>
      <c r="Q891" t="n">
        <v>0</v>
      </c>
      <c r="R891" s="2" t="inlineStr"/>
    </row>
    <row r="892" ht="15" customHeight="1">
      <c r="A892" t="inlineStr">
        <is>
          <t>A 35984-2024</t>
        </is>
      </c>
      <c r="B892" s="1" t="n">
        <v>45533</v>
      </c>
      <c r="C892" s="1" t="n">
        <v>45800</v>
      </c>
      <c r="D892" t="inlineStr">
        <is>
          <t>JÄMTLANDS LÄN</t>
        </is>
      </c>
      <c r="E892" t="inlineStr">
        <is>
          <t>ÖSTERSUND</t>
        </is>
      </c>
      <c r="G892" t="n">
        <v>2.9</v>
      </c>
      <c r="H892" t="n">
        <v>0</v>
      </c>
      <c r="I892" t="n">
        <v>0</v>
      </c>
      <c r="J892" t="n">
        <v>0</v>
      </c>
      <c r="K892" t="n">
        <v>0</v>
      </c>
      <c r="L892" t="n">
        <v>0</v>
      </c>
      <c r="M892" t="n">
        <v>0</v>
      </c>
      <c r="N892" t="n">
        <v>0</v>
      </c>
      <c r="O892" t="n">
        <v>0</v>
      </c>
      <c r="P892" t="n">
        <v>0</v>
      </c>
      <c r="Q892" t="n">
        <v>0</v>
      </c>
      <c r="R892" s="2" t="inlineStr"/>
    </row>
    <row r="893" ht="15" customHeight="1">
      <c r="A893" t="inlineStr">
        <is>
          <t>A 36465-2024</t>
        </is>
      </c>
      <c r="B893" s="1" t="n">
        <v>45537</v>
      </c>
      <c r="C893" s="1" t="n">
        <v>45800</v>
      </c>
      <c r="D893" t="inlineStr">
        <is>
          <t>JÄMTLANDS LÄN</t>
        </is>
      </c>
      <c r="E893" t="inlineStr">
        <is>
          <t>ÖSTERSUND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36469-2024</t>
        </is>
      </c>
      <c r="B894" s="1" t="n">
        <v>45537</v>
      </c>
      <c r="C894" s="1" t="n">
        <v>45800</v>
      </c>
      <c r="D894" t="inlineStr">
        <is>
          <t>JÄMTLANDS LÄN</t>
        </is>
      </c>
      <c r="E894" t="inlineStr">
        <is>
          <t>ÖSTERSUND</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37270-2024</t>
        </is>
      </c>
      <c r="B895" s="1" t="n">
        <v>45540</v>
      </c>
      <c r="C895" s="1" t="n">
        <v>45800</v>
      </c>
      <c r="D895" t="inlineStr">
        <is>
          <t>JÄMTLANDS LÄN</t>
        </is>
      </c>
      <c r="E895" t="inlineStr">
        <is>
          <t>ÖSTERSUND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37685-2024</t>
        </is>
      </c>
      <c r="B896" s="1" t="n">
        <v>45541</v>
      </c>
      <c r="C896" s="1" t="n">
        <v>45800</v>
      </c>
      <c r="D896" t="inlineStr">
        <is>
          <t>JÄMTLANDS LÄN</t>
        </is>
      </c>
      <c r="E896" t="inlineStr">
        <is>
          <t>ÖSTERSUND</t>
        </is>
      </c>
      <c r="F896" t="inlineStr">
        <is>
          <t>SCA</t>
        </is>
      </c>
      <c r="G896" t="n">
        <v>11.2</v>
      </c>
      <c r="H896" t="n">
        <v>0</v>
      </c>
      <c r="I896" t="n">
        <v>0</v>
      </c>
      <c r="J896" t="n">
        <v>0</v>
      </c>
      <c r="K896" t="n">
        <v>0</v>
      </c>
      <c r="L896" t="n">
        <v>0</v>
      </c>
      <c r="M896" t="n">
        <v>0</v>
      </c>
      <c r="N896" t="n">
        <v>0</v>
      </c>
      <c r="O896" t="n">
        <v>0</v>
      </c>
      <c r="P896" t="n">
        <v>0</v>
      </c>
      <c r="Q896" t="n">
        <v>0</v>
      </c>
      <c r="R896" s="2" t="inlineStr"/>
    </row>
    <row r="897" ht="15" customHeight="1">
      <c r="A897" t="inlineStr">
        <is>
          <t>A 38926-2024</t>
        </is>
      </c>
      <c r="B897" s="1" t="n">
        <v>45547</v>
      </c>
      <c r="C897" s="1" t="n">
        <v>45800</v>
      </c>
      <c r="D897" t="inlineStr">
        <is>
          <t>JÄMTLANDS LÄN</t>
        </is>
      </c>
      <c r="E897" t="inlineStr">
        <is>
          <t>ÖSTERSUND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38920-2024</t>
        </is>
      </c>
      <c r="B898" s="1" t="n">
        <v>45547</v>
      </c>
      <c r="C898" s="1" t="n">
        <v>45800</v>
      </c>
      <c r="D898" t="inlineStr">
        <is>
          <t>JÄMTLANDS LÄN</t>
        </is>
      </c>
      <c r="E898" t="inlineStr">
        <is>
          <t>ÖSTERSUND</t>
        </is>
      </c>
      <c r="G898" t="n">
        <v>1.9</v>
      </c>
      <c r="H898" t="n">
        <v>0</v>
      </c>
      <c r="I898" t="n">
        <v>0</v>
      </c>
      <c r="J898" t="n">
        <v>0</v>
      </c>
      <c r="K898" t="n">
        <v>0</v>
      </c>
      <c r="L898" t="n">
        <v>0</v>
      </c>
      <c r="M898" t="n">
        <v>0</v>
      </c>
      <c r="N898" t="n">
        <v>0</v>
      </c>
      <c r="O898" t="n">
        <v>0</v>
      </c>
      <c r="P898" t="n">
        <v>0</v>
      </c>
      <c r="Q898" t="n">
        <v>0</v>
      </c>
      <c r="R898" s="2" t="inlineStr"/>
    </row>
    <row r="899" ht="15" customHeight="1">
      <c r="A899" t="inlineStr">
        <is>
          <t>A 38924-2024</t>
        </is>
      </c>
      <c r="B899" s="1" t="n">
        <v>45547</v>
      </c>
      <c r="C899" s="1" t="n">
        <v>45800</v>
      </c>
      <c r="D899" t="inlineStr">
        <is>
          <t>JÄMTLANDS LÄN</t>
        </is>
      </c>
      <c r="E899" t="inlineStr">
        <is>
          <t>ÖSTERSUND</t>
        </is>
      </c>
      <c r="G899" t="n">
        <v>3.5</v>
      </c>
      <c r="H899" t="n">
        <v>0</v>
      </c>
      <c r="I899" t="n">
        <v>0</v>
      </c>
      <c r="J899" t="n">
        <v>0</v>
      </c>
      <c r="K899" t="n">
        <v>0</v>
      </c>
      <c r="L899" t="n">
        <v>0</v>
      </c>
      <c r="M899" t="n">
        <v>0</v>
      </c>
      <c r="N899" t="n">
        <v>0</v>
      </c>
      <c r="O899" t="n">
        <v>0</v>
      </c>
      <c r="P899" t="n">
        <v>0</v>
      </c>
      <c r="Q899" t="n">
        <v>0</v>
      </c>
      <c r="R899" s="2" t="inlineStr"/>
    </row>
    <row r="900" ht="15" customHeight="1">
      <c r="A900" t="inlineStr">
        <is>
          <t>A 39065-2024</t>
        </is>
      </c>
      <c r="B900" s="1" t="n">
        <v>45548</v>
      </c>
      <c r="C900" s="1" t="n">
        <v>45800</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39510-2024</t>
        </is>
      </c>
      <c r="B901" s="1" t="n">
        <v>45551</v>
      </c>
      <c r="C901" s="1" t="n">
        <v>45800</v>
      </c>
      <c r="D901" t="inlineStr">
        <is>
          <t>JÄMTLANDS LÄN</t>
        </is>
      </c>
      <c r="E901" t="inlineStr">
        <is>
          <t>ÖSTERSUND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39509-2024</t>
        </is>
      </c>
      <c r="B902" s="1" t="n">
        <v>45551</v>
      </c>
      <c r="C902" s="1" t="n">
        <v>45800</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39915-2024</t>
        </is>
      </c>
      <c r="B903" s="1" t="n">
        <v>45553</v>
      </c>
      <c r="C903" s="1" t="n">
        <v>45800</v>
      </c>
      <c r="D903" t="inlineStr">
        <is>
          <t>JÄMTLANDS LÄN</t>
        </is>
      </c>
      <c r="E903" t="inlineStr">
        <is>
          <t>ÖSTERSUND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39975-2024</t>
        </is>
      </c>
      <c r="B904" s="1" t="n">
        <v>45553</v>
      </c>
      <c r="C904" s="1" t="n">
        <v>45800</v>
      </c>
      <c r="D904" t="inlineStr">
        <is>
          <t>JÄMTLANDS LÄN</t>
        </is>
      </c>
      <c r="E904" t="inlineStr">
        <is>
          <t>ÖSTERSUND</t>
        </is>
      </c>
      <c r="G904" t="n">
        <v>3.8</v>
      </c>
      <c r="H904" t="n">
        <v>0</v>
      </c>
      <c r="I904" t="n">
        <v>0</v>
      </c>
      <c r="J904" t="n">
        <v>0</v>
      </c>
      <c r="K904" t="n">
        <v>0</v>
      </c>
      <c r="L904" t="n">
        <v>0</v>
      </c>
      <c r="M904" t="n">
        <v>0</v>
      </c>
      <c r="N904" t="n">
        <v>0</v>
      </c>
      <c r="O904" t="n">
        <v>0</v>
      </c>
      <c r="P904" t="n">
        <v>0</v>
      </c>
      <c r="Q904" t="n">
        <v>0</v>
      </c>
      <c r="R904" s="2" t="inlineStr"/>
    </row>
    <row r="905" ht="15" customHeight="1">
      <c r="A905" t="inlineStr">
        <is>
          <t>A 40672-2024</t>
        </is>
      </c>
      <c r="B905" s="1" t="n">
        <v>45557</v>
      </c>
      <c r="C905" s="1" t="n">
        <v>45800</v>
      </c>
      <c r="D905" t="inlineStr">
        <is>
          <t>JÄMTLANDS LÄN</t>
        </is>
      </c>
      <c r="E905" t="inlineStr">
        <is>
          <t>ÖSTERSUND</t>
        </is>
      </c>
      <c r="G905" t="n">
        <v>5.2</v>
      </c>
      <c r="H905" t="n">
        <v>0</v>
      </c>
      <c r="I905" t="n">
        <v>0</v>
      </c>
      <c r="J905" t="n">
        <v>0</v>
      </c>
      <c r="K905" t="n">
        <v>0</v>
      </c>
      <c r="L905" t="n">
        <v>0</v>
      </c>
      <c r="M905" t="n">
        <v>0</v>
      </c>
      <c r="N905" t="n">
        <v>0</v>
      </c>
      <c r="O905" t="n">
        <v>0</v>
      </c>
      <c r="P905" t="n">
        <v>0</v>
      </c>
      <c r="Q905" t="n">
        <v>0</v>
      </c>
      <c r="R905" s="2" t="inlineStr"/>
    </row>
    <row r="906" ht="15" customHeight="1">
      <c r="A906" t="inlineStr">
        <is>
          <t>A 40983-2024</t>
        </is>
      </c>
      <c r="B906" s="1" t="n">
        <v>45558</v>
      </c>
      <c r="C906" s="1" t="n">
        <v>45800</v>
      </c>
      <c r="D906" t="inlineStr">
        <is>
          <t>JÄMTLANDS LÄN</t>
        </is>
      </c>
      <c r="E906" t="inlineStr">
        <is>
          <t>ÖSTERSUND</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41280-2024</t>
        </is>
      </c>
      <c r="B907" s="1" t="n">
        <v>45559</v>
      </c>
      <c r="C907" s="1" t="n">
        <v>45800</v>
      </c>
      <c r="D907" t="inlineStr">
        <is>
          <t>JÄMTLANDS LÄN</t>
        </is>
      </c>
      <c r="E907" t="inlineStr">
        <is>
          <t>ÖSTERSUND</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41483-2024</t>
        </is>
      </c>
      <c r="B908" s="1" t="n">
        <v>45560</v>
      </c>
      <c r="C908" s="1" t="n">
        <v>45800</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41780-2024</t>
        </is>
      </c>
      <c r="B909" s="1" t="n">
        <v>45561</v>
      </c>
      <c r="C909" s="1" t="n">
        <v>45800</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42550-2024</t>
        </is>
      </c>
      <c r="B910" s="1" t="n">
        <v>45565</v>
      </c>
      <c r="C910" s="1" t="n">
        <v>45800</v>
      </c>
      <c r="D910" t="inlineStr">
        <is>
          <t>JÄMTLANDS LÄN</t>
        </is>
      </c>
      <c r="E910" t="inlineStr">
        <is>
          <t>ÖSTERSUND</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42547-2024</t>
        </is>
      </c>
      <c r="B911" s="1" t="n">
        <v>45565</v>
      </c>
      <c r="C911" s="1" t="n">
        <v>45800</v>
      </c>
      <c r="D911" t="inlineStr">
        <is>
          <t>JÄMTLANDS LÄN</t>
        </is>
      </c>
      <c r="E911" t="inlineStr">
        <is>
          <t>ÖSTERSUND</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43082-2024</t>
        </is>
      </c>
      <c r="B912" s="1" t="n">
        <v>45567</v>
      </c>
      <c r="C912" s="1" t="n">
        <v>45800</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43118-2024</t>
        </is>
      </c>
      <c r="B913" s="1" t="n">
        <v>45567</v>
      </c>
      <c r="C913" s="1" t="n">
        <v>45800</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43016-2024</t>
        </is>
      </c>
      <c r="B914" s="1" t="n">
        <v>45567</v>
      </c>
      <c r="C914" s="1" t="n">
        <v>45800</v>
      </c>
      <c r="D914" t="inlineStr">
        <is>
          <t>JÄMTLANDS LÄN</t>
        </is>
      </c>
      <c r="E914" t="inlineStr">
        <is>
          <t>ÖSTERSUND</t>
        </is>
      </c>
      <c r="G914" t="n">
        <v>5.3</v>
      </c>
      <c r="H914" t="n">
        <v>0</v>
      </c>
      <c r="I914" t="n">
        <v>0</v>
      </c>
      <c r="J914" t="n">
        <v>0</v>
      </c>
      <c r="K914" t="n">
        <v>0</v>
      </c>
      <c r="L914" t="n">
        <v>0</v>
      </c>
      <c r="M914" t="n">
        <v>0</v>
      </c>
      <c r="N914" t="n">
        <v>0</v>
      </c>
      <c r="O914" t="n">
        <v>0</v>
      </c>
      <c r="P914" t="n">
        <v>0</v>
      </c>
      <c r="Q914" t="n">
        <v>0</v>
      </c>
      <c r="R914" s="2" t="inlineStr"/>
    </row>
    <row r="915" ht="15" customHeight="1">
      <c r="A915" t="inlineStr">
        <is>
          <t>A 43148-2024</t>
        </is>
      </c>
      <c r="B915" s="1" t="n">
        <v>45567</v>
      </c>
      <c r="C915" s="1" t="n">
        <v>45800</v>
      </c>
      <c r="D915" t="inlineStr">
        <is>
          <t>JÄMTLANDS LÄN</t>
        </is>
      </c>
      <c r="E915" t="inlineStr">
        <is>
          <t>ÖSTERSUND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43557-2024</t>
        </is>
      </c>
      <c r="B916" s="1" t="n">
        <v>45569</v>
      </c>
      <c r="C916" s="1" t="n">
        <v>45800</v>
      </c>
      <c r="D916" t="inlineStr">
        <is>
          <t>JÄMTLANDS LÄN</t>
        </is>
      </c>
      <c r="E916" t="inlineStr">
        <is>
          <t>ÖSTERSUND</t>
        </is>
      </c>
      <c r="G916" t="n">
        <v>3.6</v>
      </c>
      <c r="H916" t="n">
        <v>0</v>
      </c>
      <c r="I916" t="n">
        <v>0</v>
      </c>
      <c r="J916" t="n">
        <v>0</v>
      </c>
      <c r="K916" t="n">
        <v>0</v>
      </c>
      <c r="L916" t="n">
        <v>0</v>
      </c>
      <c r="M916" t="n">
        <v>0</v>
      </c>
      <c r="N916" t="n">
        <v>0</v>
      </c>
      <c r="O916" t="n">
        <v>0</v>
      </c>
      <c r="P916" t="n">
        <v>0</v>
      </c>
      <c r="Q916" t="n">
        <v>0</v>
      </c>
      <c r="R916" s="2" t="inlineStr"/>
    </row>
    <row r="917" ht="15" customHeight="1">
      <c r="A917" t="inlineStr">
        <is>
          <t>A 43560-2024</t>
        </is>
      </c>
      <c r="B917" s="1" t="n">
        <v>45569</v>
      </c>
      <c r="C917" s="1" t="n">
        <v>45800</v>
      </c>
      <c r="D917" t="inlineStr">
        <is>
          <t>JÄMTLANDS LÄN</t>
        </is>
      </c>
      <c r="E917" t="inlineStr">
        <is>
          <t>ÖSTERSUND</t>
        </is>
      </c>
      <c r="G917" t="n">
        <v>2.7</v>
      </c>
      <c r="H917" t="n">
        <v>0</v>
      </c>
      <c r="I917" t="n">
        <v>0</v>
      </c>
      <c r="J917" t="n">
        <v>0</v>
      </c>
      <c r="K917" t="n">
        <v>0</v>
      </c>
      <c r="L917" t="n">
        <v>0</v>
      </c>
      <c r="M917" t="n">
        <v>0</v>
      </c>
      <c r="N917" t="n">
        <v>0</v>
      </c>
      <c r="O917" t="n">
        <v>0</v>
      </c>
      <c r="P917" t="n">
        <v>0</v>
      </c>
      <c r="Q917" t="n">
        <v>0</v>
      </c>
      <c r="R917" s="2" t="inlineStr"/>
    </row>
    <row r="918" ht="15" customHeight="1">
      <c r="A918" t="inlineStr">
        <is>
          <t>A 44048-2024</t>
        </is>
      </c>
      <c r="B918" s="1" t="n">
        <v>45572</v>
      </c>
      <c r="C918" s="1" t="n">
        <v>45800</v>
      </c>
      <c r="D918" t="inlineStr">
        <is>
          <t>JÄMTLANDS LÄN</t>
        </is>
      </c>
      <c r="E918" t="inlineStr">
        <is>
          <t>ÖSTERSUND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44489-2024</t>
        </is>
      </c>
      <c r="B919" s="1" t="n">
        <v>45574</v>
      </c>
      <c r="C919" s="1" t="n">
        <v>45800</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44707-2024</t>
        </is>
      </c>
      <c r="B920" s="1" t="n">
        <v>45574</v>
      </c>
      <c r="C920" s="1" t="n">
        <v>45800</v>
      </c>
      <c r="D920" t="inlineStr">
        <is>
          <t>JÄMTLANDS LÄN</t>
        </is>
      </c>
      <c r="E920" t="inlineStr">
        <is>
          <t>ÖSTERSUND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45341-2024</t>
        </is>
      </c>
      <c r="B921" s="1" t="n">
        <v>45576</v>
      </c>
      <c r="C921" s="1" t="n">
        <v>45800</v>
      </c>
      <c r="D921" t="inlineStr">
        <is>
          <t>JÄMTLANDS LÄN</t>
        </is>
      </c>
      <c r="E921" t="inlineStr">
        <is>
          <t>ÖSTERSUND</t>
        </is>
      </c>
      <c r="G921" t="n">
        <v>5.9</v>
      </c>
      <c r="H921" t="n">
        <v>0</v>
      </c>
      <c r="I921" t="n">
        <v>0</v>
      </c>
      <c r="J921" t="n">
        <v>0</v>
      </c>
      <c r="K921" t="n">
        <v>0</v>
      </c>
      <c r="L921" t="n">
        <v>0</v>
      </c>
      <c r="M921" t="n">
        <v>0</v>
      </c>
      <c r="N921" t="n">
        <v>0</v>
      </c>
      <c r="O921" t="n">
        <v>0</v>
      </c>
      <c r="P921" t="n">
        <v>0</v>
      </c>
      <c r="Q921" t="n">
        <v>0</v>
      </c>
      <c r="R921" s="2" t="inlineStr"/>
    </row>
    <row r="922" ht="15" customHeight="1">
      <c r="A922" t="inlineStr">
        <is>
          <t>A 45338-2024</t>
        </is>
      </c>
      <c r="B922" s="1" t="n">
        <v>45576</v>
      </c>
      <c r="C922" s="1" t="n">
        <v>45800</v>
      </c>
      <c r="D922" t="inlineStr">
        <is>
          <t>JÄMTLANDS LÄN</t>
        </is>
      </c>
      <c r="E922" t="inlineStr">
        <is>
          <t>ÖSTERSUND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45340-2024</t>
        </is>
      </c>
      <c r="B923" s="1" t="n">
        <v>45576</v>
      </c>
      <c r="C923" s="1" t="n">
        <v>45800</v>
      </c>
      <c r="D923" t="inlineStr">
        <is>
          <t>JÄMTLANDS LÄN</t>
        </is>
      </c>
      <c r="E923" t="inlineStr">
        <is>
          <t>ÖSTERSUND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45610-2024</t>
        </is>
      </c>
      <c r="B924" s="1" t="n">
        <v>45579</v>
      </c>
      <c r="C924" s="1" t="n">
        <v>45800</v>
      </c>
      <c r="D924" t="inlineStr">
        <is>
          <t>JÄMTLANDS LÄN</t>
        </is>
      </c>
      <c r="E924" t="inlineStr">
        <is>
          <t>ÖSTERSUND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45742-2024</t>
        </is>
      </c>
      <c r="B925" s="1" t="n">
        <v>45579</v>
      </c>
      <c r="C925" s="1" t="n">
        <v>45800</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45895-2024</t>
        </is>
      </c>
      <c r="B926" s="1" t="n">
        <v>45580</v>
      </c>
      <c r="C926" s="1" t="n">
        <v>45800</v>
      </c>
      <c r="D926" t="inlineStr">
        <is>
          <t>JÄMTLANDS LÄN</t>
        </is>
      </c>
      <c r="E926" t="inlineStr">
        <is>
          <t>ÖSTERSUND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45856-2024</t>
        </is>
      </c>
      <c r="B927" s="1" t="n">
        <v>45580</v>
      </c>
      <c r="C927" s="1" t="n">
        <v>45800</v>
      </c>
      <c r="D927" t="inlineStr">
        <is>
          <t>JÄMTLANDS LÄN</t>
        </is>
      </c>
      <c r="E927" t="inlineStr">
        <is>
          <t>ÖSTERSUND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46732-2024</t>
        </is>
      </c>
      <c r="B928" s="1" t="n">
        <v>45583</v>
      </c>
      <c r="C928" s="1" t="n">
        <v>45800</v>
      </c>
      <c r="D928" t="inlineStr">
        <is>
          <t>JÄMTLANDS LÄN</t>
        </is>
      </c>
      <c r="E928" t="inlineStr">
        <is>
          <t>ÖSTERSUND</t>
        </is>
      </c>
      <c r="G928" t="n">
        <v>3.3</v>
      </c>
      <c r="H928" t="n">
        <v>0</v>
      </c>
      <c r="I928" t="n">
        <v>0</v>
      </c>
      <c r="J928" t="n">
        <v>0</v>
      </c>
      <c r="K928" t="n">
        <v>0</v>
      </c>
      <c r="L928" t="n">
        <v>0</v>
      </c>
      <c r="M928" t="n">
        <v>0</v>
      </c>
      <c r="N928" t="n">
        <v>0</v>
      </c>
      <c r="O928" t="n">
        <v>0</v>
      </c>
      <c r="P928" t="n">
        <v>0</v>
      </c>
      <c r="Q928" t="n">
        <v>0</v>
      </c>
      <c r="R928" s="2" t="inlineStr"/>
    </row>
    <row r="929" ht="15" customHeight="1">
      <c r="A929" t="inlineStr">
        <is>
          <t>A 47245-2024</t>
        </is>
      </c>
      <c r="B929" s="1" t="n">
        <v>45586</v>
      </c>
      <c r="C929" s="1" t="n">
        <v>45800</v>
      </c>
      <c r="D929" t="inlineStr">
        <is>
          <t>JÄMTLANDS LÄN</t>
        </is>
      </c>
      <c r="E929" t="inlineStr">
        <is>
          <t>ÖSTERSUND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47022-2024</t>
        </is>
      </c>
      <c r="B930" s="1" t="n">
        <v>45586</v>
      </c>
      <c r="C930" s="1" t="n">
        <v>45800</v>
      </c>
      <c r="D930" t="inlineStr">
        <is>
          <t>JÄMTLANDS LÄN</t>
        </is>
      </c>
      <c r="E930" t="inlineStr">
        <is>
          <t>ÖSTERSUND</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47357-2024</t>
        </is>
      </c>
      <c r="B931" s="1" t="n">
        <v>45587</v>
      </c>
      <c r="C931" s="1" t="n">
        <v>45800</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47804-2024</t>
        </is>
      </c>
      <c r="B932" s="1" t="n">
        <v>45588</v>
      </c>
      <c r="C932" s="1" t="n">
        <v>45800</v>
      </c>
      <c r="D932" t="inlineStr">
        <is>
          <t>JÄMTLANDS LÄN</t>
        </is>
      </c>
      <c r="E932" t="inlineStr">
        <is>
          <t>ÖSTERSUND</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47630-2024</t>
        </is>
      </c>
      <c r="B933" s="1" t="n">
        <v>45588</v>
      </c>
      <c r="C933" s="1" t="n">
        <v>45800</v>
      </c>
      <c r="D933" t="inlineStr">
        <is>
          <t>JÄMTLANDS LÄN</t>
        </is>
      </c>
      <c r="E933" t="inlineStr">
        <is>
          <t>ÖSTERSUND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47628-2024</t>
        </is>
      </c>
      <c r="B934" s="1" t="n">
        <v>45588</v>
      </c>
      <c r="C934" s="1" t="n">
        <v>45800</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47789-2024</t>
        </is>
      </c>
      <c r="B935" s="1" t="n">
        <v>45588</v>
      </c>
      <c r="C935" s="1" t="n">
        <v>45800</v>
      </c>
      <c r="D935" t="inlineStr">
        <is>
          <t>JÄMTLANDS LÄN</t>
        </is>
      </c>
      <c r="E935" t="inlineStr">
        <is>
          <t>ÖSTERSUND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47805-2024</t>
        </is>
      </c>
      <c r="B936" s="1" t="n">
        <v>45588</v>
      </c>
      <c r="C936" s="1" t="n">
        <v>45800</v>
      </c>
      <c r="D936" t="inlineStr">
        <is>
          <t>JÄMTLANDS LÄN</t>
        </is>
      </c>
      <c r="E936" t="inlineStr">
        <is>
          <t>ÖSTERSUND</t>
        </is>
      </c>
      <c r="G936" t="n">
        <v>7.4</v>
      </c>
      <c r="H936" t="n">
        <v>0</v>
      </c>
      <c r="I936" t="n">
        <v>0</v>
      </c>
      <c r="J936" t="n">
        <v>0</v>
      </c>
      <c r="K936" t="n">
        <v>0</v>
      </c>
      <c r="L936" t="n">
        <v>0</v>
      </c>
      <c r="M936" t="n">
        <v>0</v>
      </c>
      <c r="N936" t="n">
        <v>0</v>
      </c>
      <c r="O936" t="n">
        <v>0</v>
      </c>
      <c r="P936" t="n">
        <v>0</v>
      </c>
      <c r="Q936" t="n">
        <v>0</v>
      </c>
      <c r="R936" s="2" t="inlineStr"/>
    </row>
    <row r="937" ht="15" customHeight="1">
      <c r="A937" t="inlineStr">
        <is>
          <t>A 47627-2024</t>
        </is>
      </c>
      <c r="B937" s="1" t="n">
        <v>45588</v>
      </c>
      <c r="C937" s="1" t="n">
        <v>45800</v>
      </c>
      <c r="D937" t="inlineStr">
        <is>
          <t>JÄMTLANDS LÄN</t>
        </is>
      </c>
      <c r="E937" t="inlineStr">
        <is>
          <t>ÖSTERSUND</t>
        </is>
      </c>
      <c r="G937" t="n">
        <v>0.8</v>
      </c>
      <c r="H937" t="n">
        <v>0</v>
      </c>
      <c r="I937" t="n">
        <v>0</v>
      </c>
      <c r="J937" t="n">
        <v>0</v>
      </c>
      <c r="K937" t="n">
        <v>0</v>
      </c>
      <c r="L937" t="n">
        <v>0</v>
      </c>
      <c r="M937" t="n">
        <v>0</v>
      </c>
      <c r="N937" t="n">
        <v>0</v>
      </c>
      <c r="O937" t="n">
        <v>0</v>
      </c>
      <c r="P937" t="n">
        <v>0</v>
      </c>
      <c r="Q937" t="n">
        <v>0</v>
      </c>
      <c r="R937" s="2" t="inlineStr"/>
    </row>
    <row r="938" ht="15" customHeight="1">
      <c r="A938" t="inlineStr">
        <is>
          <t>A 48131-2024</t>
        </is>
      </c>
      <c r="B938" s="1" t="n">
        <v>45589</v>
      </c>
      <c r="C938" s="1" t="n">
        <v>45800</v>
      </c>
      <c r="D938" t="inlineStr">
        <is>
          <t>JÄMTLANDS LÄN</t>
        </is>
      </c>
      <c r="E938" t="inlineStr">
        <is>
          <t>ÖSTERSUND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48106-2024</t>
        </is>
      </c>
      <c r="B939" s="1" t="n">
        <v>45589</v>
      </c>
      <c r="C939" s="1" t="n">
        <v>45800</v>
      </c>
      <c r="D939" t="inlineStr">
        <is>
          <t>JÄMTLANDS LÄN</t>
        </is>
      </c>
      <c r="E939" t="inlineStr">
        <is>
          <t>ÖSTERSUND</t>
        </is>
      </c>
      <c r="G939" t="n">
        <v>3.5</v>
      </c>
      <c r="H939" t="n">
        <v>0</v>
      </c>
      <c r="I939" t="n">
        <v>0</v>
      </c>
      <c r="J939" t="n">
        <v>0</v>
      </c>
      <c r="K939" t="n">
        <v>0</v>
      </c>
      <c r="L939" t="n">
        <v>0</v>
      </c>
      <c r="M939" t="n">
        <v>0</v>
      </c>
      <c r="N939" t="n">
        <v>0</v>
      </c>
      <c r="O939" t="n">
        <v>0</v>
      </c>
      <c r="P939" t="n">
        <v>0</v>
      </c>
      <c r="Q939" t="n">
        <v>0</v>
      </c>
      <c r="R939" s="2" t="inlineStr"/>
    </row>
    <row r="940" ht="15" customHeight="1">
      <c r="A940" t="inlineStr">
        <is>
          <t>A 48421-2024</t>
        </is>
      </c>
      <c r="B940" s="1" t="n">
        <v>45590</v>
      </c>
      <c r="C940" s="1" t="n">
        <v>45800</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48422-2024</t>
        </is>
      </c>
      <c r="B941" s="1" t="n">
        <v>45590</v>
      </c>
      <c r="C941" s="1" t="n">
        <v>45800</v>
      </c>
      <c r="D941" t="inlineStr">
        <is>
          <t>JÄMTLANDS LÄN</t>
        </is>
      </c>
      <c r="E941" t="inlineStr">
        <is>
          <t>ÖSTERSUND</t>
        </is>
      </c>
      <c r="G941" t="n">
        <v>14.6</v>
      </c>
      <c r="H941" t="n">
        <v>0</v>
      </c>
      <c r="I941" t="n">
        <v>0</v>
      </c>
      <c r="J941" t="n">
        <v>0</v>
      </c>
      <c r="K941" t="n">
        <v>0</v>
      </c>
      <c r="L941" t="n">
        <v>0</v>
      </c>
      <c r="M941" t="n">
        <v>0</v>
      </c>
      <c r="N941" t="n">
        <v>0</v>
      </c>
      <c r="O941" t="n">
        <v>0</v>
      </c>
      <c r="P941" t="n">
        <v>0</v>
      </c>
      <c r="Q941" t="n">
        <v>0</v>
      </c>
      <c r="R941" s="2" t="inlineStr"/>
    </row>
    <row r="942" ht="15" customHeight="1">
      <c r="A942" t="inlineStr">
        <is>
          <t>A 48696-2024</t>
        </is>
      </c>
      <c r="B942" s="1" t="n">
        <v>45593</v>
      </c>
      <c r="C942" s="1" t="n">
        <v>45800</v>
      </c>
      <c r="D942" t="inlineStr">
        <is>
          <t>JÄMTLANDS LÄN</t>
        </is>
      </c>
      <c r="E942" t="inlineStr">
        <is>
          <t>ÖSTERSUND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48737-2024</t>
        </is>
      </c>
      <c r="B943" s="1" t="n">
        <v>45593</v>
      </c>
      <c r="C943" s="1" t="n">
        <v>45800</v>
      </c>
      <c r="D943" t="inlineStr">
        <is>
          <t>JÄMTLANDS LÄN</t>
        </is>
      </c>
      <c r="E943" t="inlineStr">
        <is>
          <t>ÖSTERSUND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49192-2024</t>
        </is>
      </c>
      <c r="B944" s="1" t="n">
        <v>45595</v>
      </c>
      <c r="C944" s="1" t="n">
        <v>45800</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49240-2024</t>
        </is>
      </c>
      <c r="B945" s="1" t="n">
        <v>45595</v>
      </c>
      <c r="C945" s="1" t="n">
        <v>45800</v>
      </c>
      <c r="D945" t="inlineStr">
        <is>
          <t>JÄMTLANDS LÄN</t>
        </is>
      </c>
      <c r="E945" t="inlineStr">
        <is>
          <t>ÖSTERSUND</t>
        </is>
      </c>
      <c r="G945" t="n">
        <v>5.1</v>
      </c>
      <c r="H945" t="n">
        <v>0</v>
      </c>
      <c r="I945" t="n">
        <v>0</v>
      </c>
      <c r="J945" t="n">
        <v>0</v>
      </c>
      <c r="K945" t="n">
        <v>0</v>
      </c>
      <c r="L945" t="n">
        <v>0</v>
      </c>
      <c r="M945" t="n">
        <v>0</v>
      </c>
      <c r="N945" t="n">
        <v>0</v>
      </c>
      <c r="O945" t="n">
        <v>0</v>
      </c>
      <c r="P945" t="n">
        <v>0</v>
      </c>
      <c r="Q945" t="n">
        <v>0</v>
      </c>
      <c r="R945" s="2" t="inlineStr"/>
    </row>
    <row r="946" ht="15" customHeight="1">
      <c r="A946" t="inlineStr">
        <is>
          <t>A 49546-2024</t>
        </is>
      </c>
      <c r="B946" s="1" t="n">
        <v>45596</v>
      </c>
      <c r="C946" s="1" t="n">
        <v>45800</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49592-2024</t>
        </is>
      </c>
      <c r="B947" s="1" t="n">
        <v>45596</v>
      </c>
      <c r="C947" s="1" t="n">
        <v>45800</v>
      </c>
      <c r="D947" t="inlineStr">
        <is>
          <t>JÄMTLANDS LÄN</t>
        </is>
      </c>
      <c r="E947" t="inlineStr">
        <is>
          <t>ÖSTERSUND</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49788-2024</t>
        </is>
      </c>
      <c r="B948" s="1" t="n">
        <v>45597</v>
      </c>
      <c r="C948" s="1" t="n">
        <v>45800</v>
      </c>
      <c r="D948" t="inlineStr">
        <is>
          <t>JÄMTLANDS LÄN</t>
        </is>
      </c>
      <c r="E948" t="inlineStr">
        <is>
          <t>ÖSTERSUND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50088-2024</t>
        </is>
      </c>
      <c r="B949" s="1" t="n">
        <v>45600</v>
      </c>
      <c r="C949" s="1" t="n">
        <v>45800</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50218-2024</t>
        </is>
      </c>
      <c r="B950" s="1" t="n">
        <v>45600</v>
      </c>
      <c r="C950" s="1" t="n">
        <v>45800</v>
      </c>
      <c r="D950" t="inlineStr">
        <is>
          <t>JÄMTLANDS LÄN</t>
        </is>
      </c>
      <c r="E950" t="inlineStr">
        <is>
          <t>ÖSTERSUND</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50560-2024</t>
        </is>
      </c>
      <c r="B951" s="1" t="n">
        <v>45601</v>
      </c>
      <c r="C951" s="1" t="n">
        <v>45800</v>
      </c>
      <c r="D951" t="inlineStr">
        <is>
          <t>JÄMTLANDS LÄN</t>
        </is>
      </c>
      <c r="E951" t="inlineStr">
        <is>
          <t>ÖSTERSUND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50860-2024</t>
        </is>
      </c>
      <c r="B952" s="1" t="n">
        <v>45602</v>
      </c>
      <c r="C952" s="1" t="n">
        <v>45800</v>
      </c>
      <c r="D952" t="inlineStr">
        <is>
          <t>JÄMTLANDS LÄN</t>
        </is>
      </c>
      <c r="E952" t="inlineStr">
        <is>
          <t>ÖSTERSUND</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50861-2024</t>
        </is>
      </c>
      <c r="B953" s="1" t="n">
        <v>45602</v>
      </c>
      <c r="C953" s="1" t="n">
        <v>45800</v>
      </c>
      <c r="D953" t="inlineStr">
        <is>
          <t>JÄMTLANDS LÄN</t>
        </is>
      </c>
      <c r="E953" t="inlineStr">
        <is>
          <t>ÖSTERSUND</t>
        </is>
      </c>
      <c r="G953" t="n">
        <v>5</v>
      </c>
      <c r="H953" t="n">
        <v>0</v>
      </c>
      <c r="I953" t="n">
        <v>0</v>
      </c>
      <c r="J953" t="n">
        <v>0</v>
      </c>
      <c r="K953" t="n">
        <v>0</v>
      </c>
      <c r="L953" t="n">
        <v>0</v>
      </c>
      <c r="M953" t="n">
        <v>0</v>
      </c>
      <c r="N953" t="n">
        <v>0</v>
      </c>
      <c r="O953" t="n">
        <v>0</v>
      </c>
      <c r="P953" t="n">
        <v>0</v>
      </c>
      <c r="Q953" t="n">
        <v>0</v>
      </c>
      <c r="R953" s="2" t="inlineStr"/>
    </row>
    <row r="954" ht="15" customHeight="1">
      <c r="A954" t="inlineStr">
        <is>
          <t>A 50971-2024</t>
        </is>
      </c>
      <c r="B954" s="1" t="n">
        <v>45603</v>
      </c>
      <c r="C954" s="1" t="n">
        <v>45800</v>
      </c>
      <c r="D954" t="inlineStr">
        <is>
          <t>JÄMTLANDS LÄN</t>
        </is>
      </c>
      <c r="E954" t="inlineStr">
        <is>
          <t>ÖSTERSUND</t>
        </is>
      </c>
      <c r="G954" t="n">
        <v>3.2</v>
      </c>
      <c r="H954" t="n">
        <v>0</v>
      </c>
      <c r="I954" t="n">
        <v>0</v>
      </c>
      <c r="J954" t="n">
        <v>0</v>
      </c>
      <c r="K954" t="n">
        <v>0</v>
      </c>
      <c r="L954" t="n">
        <v>0</v>
      </c>
      <c r="M954" t="n">
        <v>0</v>
      </c>
      <c r="N954" t="n">
        <v>0</v>
      </c>
      <c r="O954" t="n">
        <v>0</v>
      </c>
      <c r="P954" t="n">
        <v>0</v>
      </c>
      <c r="Q954" t="n">
        <v>0</v>
      </c>
      <c r="R954" s="2" t="inlineStr"/>
    </row>
    <row r="955" ht="15" customHeight="1">
      <c r="A955" t="inlineStr">
        <is>
          <t>A 51379-2024</t>
        </is>
      </c>
      <c r="B955" s="1" t="n">
        <v>45604</v>
      </c>
      <c r="C955" s="1" t="n">
        <v>45800</v>
      </c>
      <c r="D955" t="inlineStr">
        <is>
          <t>JÄMTLANDS LÄN</t>
        </is>
      </c>
      <c r="E955" t="inlineStr">
        <is>
          <t>ÖSTERSUND</t>
        </is>
      </c>
      <c r="G955" t="n">
        <v>2</v>
      </c>
      <c r="H955" t="n">
        <v>0</v>
      </c>
      <c r="I955" t="n">
        <v>0</v>
      </c>
      <c r="J955" t="n">
        <v>0</v>
      </c>
      <c r="K955" t="n">
        <v>0</v>
      </c>
      <c r="L955" t="n">
        <v>0</v>
      </c>
      <c r="M955" t="n">
        <v>0</v>
      </c>
      <c r="N955" t="n">
        <v>0</v>
      </c>
      <c r="O955" t="n">
        <v>0</v>
      </c>
      <c r="P955" t="n">
        <v>0</v>
      </c>
      <c r="Q955" t="n">
        <v>0</v>
      </c>
      <c r="R955" s="2" t="inlineStr"/>
    </row>
    <row r="956" ht="15" customHeight="1">
      <c r="A956" t="inlineStr">
        <is>
          <t>A 51856-2024</t>
        </is>
      </c>
      <c r="B956" s="1" t="n">
        <v>45607</v>
      </c>
      <c r="C956" s="1" t="n">
        <v>45800</v>
      </c>
      <c r="D956" t="inlineStr">
        <is>
          <t>JÄMTLANDS LÄN</t>
        </is>
      </c>
      <c r="E956" t="inlineStr">
        <is>
          <t>ÖSTERSUND</t>
        </is>
      </c>
      <c r="G956" t="n">
        <v>13.5</v>
      </c>
      <c r="H956" t="n">
        <v>0</v>
      </c>
      <c r="I956" t="n">
        <v>0</v>
      </c>
      <c r="J956" t="n">
        <v>0</v>
      </c>
      <c r="K956" t="n">
        <v>0</v>
      </c>
      <c r="L956" t="n">
        <v>0</v>
      </c>
      <c r="M956" t="n">
        <v>0</v>
      </c>
      <c r="N956" t="n">
        <v>0</v>
      </c>
      <c r="O956" t="n">
        <v>0</v>
      </c>
      <c r="P956" t="n">
        <v>0</v>
      </c>
      <c r="Q956" t="n">
        <v>0</v>
      </c>
      <c r="R956" s="2" t="inlineStr"/>
    </row>
    <row r="957" ht="15" customHeight="1">
      <c r="A957" t="inlineStr">
        <is>
          <t>A 51865-2024</t>
        </is>
      </c>
      <c r="B957" s="1" t="n">
        <v>45607</v>
      </c>
      <c r="C957" s="1" t="n">
        <v>45800</v>
      </c>
      <c r="D957" t="inlineStr">
        <is>
          <t>JÄMTLANDS LÄN</t>
        </is>
      </c>
      <c r="E957" t="inlineStr">
        <is>
          <t>ÖSTERSUND</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51818-2024</t>
        </is>
      </c>
      <c r="B958" s="1" t="n">
        <v>45607</v>
      </c>
      <c r="C958" s="1" t="n">
        <v>45800</v>
      </c>
      <c r="D958" t="inlineStr">
        <is>
          <t>JÄMTLANDS LÄN</t>
        </is>
      </c>
      <c r="E958" t="inlineStr">
        <is>
          <t>ÖSTERSUND</t>
        </is>
      </c>
      <c r="G958" t="n">
        <v>4.6</v>
      </c>
      <c r="H958" t="n">
        <v>0</v>
      </c>
      <c r="I958" t="n">
        <v>0</v>
      </c>
      <c r="J958" t="n">
        <v>0</v>
      </c>
      <c r="K958" t="n">
        <v>0</v>
      </c>
      <c r="L958" t="n">
        <v>0</v>
      </c>
      <c r="M958" t="n">
        <v>0</v>
      </c>
      <c r="N958" t="n">
        <v>0</v>
      </c>
      <c r="O958" t="n">
        <v>0</v>
      </c>
      <c r="P958" t="n">
        <v>0</v>
      </c>
      <c r="Q958" t="n">
        <v>0</v>
      </c>
      <c r="R958" s="2" t="inlineStr"/>
    </row>
    <row r="959" ht="15" customHeight="1">
      <c r="A959" t="inlineStr">
        <is>
          <t>A 51826-2024</t>
        </is>
      </c>
      <c r="B959" s="1" t="n">
        <v>45607</v>
      </c>
      <c r="C959" s="1" t="n">
        <v>45800</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52405-2024</t>
        </is>
      </c>
      <c r="B960" s="1" t="n">
        <v>45609</v>
      </c>
      <c r="C960" s="1" t="n">
        <v>45800</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52480-2024</t>
        </is>
      </c>
      <c r="B961" s="1" t="n">
        <v>45609</v>
      </c>
      <c r="C961" s="1" t="n">
        <v>45800</v>
      </c>
      <c r="D961" t="inlineStr">
        <is>
          <t>JÄMTLANDS LÄN</t>
        </is>
      </c>
      <c r="E961" t="inlineStr">
        <is>
          <t>ÖSTERSUND</t>
        </is>
      </c>
      <c r="G961" t="n">
        <v>20.2</v>
      </c>
      <c r="H961" t="n">
        <v>0</v>
      </c>
      <c r="I961" t="n">
        <v>0</v>
      </c>
      <c r="J961" t="n">
        <v>0</v>
      </c>
      <c r="K961" t="n">
        <v>0</v>
      </c>
      <c r="L961" t="n">
        <v>0</v>
      </c>
      <c r="M961" t="n">
        <v>0</v>
      </c>
      <c r="N961" t="n">
        <v>0</v>
      </c>
      <c r="O961" t="n">
        <v>0</v>
      </c>
      <c r="P961" t="n">
        <v>0</v>
      </c>
      <c r="Q961" t="n">
        <v>0</v>
      </c>
      <c r="R961" s="2" t="inlineStr"/>
    </row>
    <row r="962" ht="15" customHeight="1">
      <c r="A962" t="inlineStr">
        <is>
          <t>A 52483-2024</t>
        </is>
      </c>
      <c r="B962" s="1" t="n">
        <v>45609</v>
      </c>
      <c r="C962" s="1" t="n">
        <v>45800</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52481-2024</t>
        </is>
      </c>
      <c r="B963" s="1" t="n">
        <v>45609</v>
      </c>
      <c r="C963" s="1" t="n">
        <v>45800</v>
      </c>
      <c r="D963" t="inlineStr">
        <is>
          <t>JÄMTLANDS LÄN</t>
        </is>
      </c>
      <c r="E963" t="inlineStr">
        <is>
          <t>ÖSTERSUND</t>
        </is>
      </c>
      <c r="G963" t="n">
        <v>1.9</v>
      </c>
      <c r="H963" t="n">
        <v>0</v>
      </c>
      <c r="I963" t="n">
        <v>0</v>
      </c>
      <c r="J963" t="n">
        <v>0</v>
      </c>
      <c r="K963" t="n">
        <v>0</v>
      </c>
      <c r="L963" t="n">
        <v>0</v>
      </c>
      <c r="M963" t="n">
        <v>0</v>
      </c>
      <c r="N963" t="n">
        <v>0</v>
      </c>
      <c r="O963" t="n">
        <v>0</v>
      </c>
      <c r="P963" t="n">
        <v>0</v>
      </c>
      <c r="Q963" t="n">
        <v>0</v>
      </c>
      <c r="R963" s="2" t="inlineStr"/>
    </row>
    <row r="964" ht="15" customHeight="1">
      <c r="A964" t="inlineStr">
        <is>
          <t>A 52482-2024</t>
        </is>
      </c>
      <c r="B964" s="1" t="n">
        <v>45609</v>
      </c>
      <c r="C964" s="1" t="n">
        <v>45800</v>
      </c>
      <c r="D964" t="inlineStr">
        <is>
          <t>JÄMTLANDS LÄN</t>
        </is>
      </c>
      <c r="E964" t="inlineStr">
        <is>
          <t>ÖSTERSUND</t>
        </is>
      </c>
      <c r="G964" t="n">
        <v>7.3</v>
      </c>
      <c r="H964" t="n">
        <v>0</v>
      </c>
      <c r="I964" t="n">
        <v>0</v>
      </c>
      <c r="J964" t="n">
        <v>0</v>
      </c>
      <c r="K964" t="n">
        <v>0</v>
      </c>
      <c r="L964" t="n">
        <v>0</v>
      </c>
      <c r="M964" t="n">
        <v>0</v>
      </c>
      <c r="N964" t="n">
        <v>0</v>
      </c>
      <c r="O964" t="n">
        <v>0</v>
      </c>
      <c r="P964" t="n">
        <v>0</v>
      </c>
      <c r="Q964" t="n">
        <v>0</v>
      </c>
      <c r="R964" s="2" t="inlineStr"/>
    </row>
    <row r="965" ht="15" customHeight="1">
      <c r="A965" t="inlineStr">
        <is>
          <t>A 52854-2024</t>
        </is>
      </c>
      <c r="B965" s="1" t="n">
        <v>45610</v>
      </c>
      <c r="C965" s="1" t="n">
        <v>45800</v>
      </c>
      <c r="D965" t="inlineStr">
        <is>
          <t>JÄMTLANDS LÄN</t>
        </is>
      </c>
      <c r="E965" t="inlineStr">
        <is>
          <t>ÖSTERSUND</t>
        </is>
      </c>
      <c r="G965" t="n">
        <v>2.5</v>
      </c>
      <c r="H965" t="n">
        <v>0</v>
      </c>
      <c r="I965" t="n">
        <v>0</v>
      </c>
      <c r="J965" t="n">
        <v>0</v>
      </c>
      <c r="K965" t="n">
        <v>0</v>
      </c>
      <c r="L965" t="n">
        <v>0</v>
      </c>
      <c r="M965" t="n">
        <v>0</v>
      </c>
      <c r="N965" t="n">
        <v>0</v>
      </c>
      <c r="O965" t="n">
        <v>0</v>
      </c>
      <c r="P965" t="n">
        <v>0</v>
      </c>
      <c r="Q965" t="n">
        <v>0</v>
      </c>
      <c r="R965" s="2" t="inlineStr"/>
    </row>
    <row r="966" ht="15" customHeight="1">
      <c r="A966" t="inlineStr">
        <is>
          <t>A 53060-2024</t>
        </is>
      </c>
      <c r="B966" s="1" t="n">
        <v>45611</v>
      </c>
      <c r="C966" s="1" t="n">
        <v>45800</v>
      </c>
      <c r="D966" t="inlineStr">
        <is>
          <t>JÄMTLANDS LÄN</t>
        </is>
      </c>
      <c r="E966" t="inlineStr">
        <is>
          <t>ÖSTERSUND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53176-2024</t>
        </is>
      </c>
      <c r="B967" s="1" t="n">
        <v>45611</v>
      </c>
      <c r="C967" s="1" t="n">
        <v>45800</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53130-2024</t>
        </is>
      </c>
      <c r="B968" s="1" t="n">
        <v>45611</v>
      </c>
      <c r="C968" s="1" t="n">
        <v>45800</v>
      </c>
      <c r="D968" t="inlineStr">
        <is>
          <t>JÄMTLANDS LÄN</t>
        </is>
      </c>
      <c r="E968" t="inlineStr">
        <is>
          <t>ÖSTERSUND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53516-2024</t>
        </is>
      </c>
      <c r="B969" s="1" t="n">
        <v>45614</v>
      </c>
      <c r="C969" s="1" t="n">
        <v>45800</v>
      </c>
      <c r="D969" t="inlineStr">
        <is>
          <t>JÄMTLANDS LÄN</t>
        </is>
      </c>
      <c r="E969" t="inlineStr">
        <is>
          <t>ÖSTERSUND</t>
        </is>
      </c>
      <c r="G969" t="n">
        <v>4.5</v>
      </c>
      <c r="H969" t="n">
        <v>0</v>
      </c>
      <c r="I969" t="n">
        <v>0</v>
      </c>
      <c r="J969" t="n">
        <v>0</v>
      </c>
      <c r="K969" t="n">
        <v>0</v>
      </c>
      <c r="L969" t="n">
        <v>0</v>
      </c>
      <c r="M969" t="n">
        <v>0</v>
      </c>
      <c r="N969" t="n">
        <v>0</v>
      </c>
      <c r="O969" t="n">
        <v>0</v>
      </c>
      <c r="P969" t="n">
        <v>0</v>
      </c>
      <c r="Q969" t="n">
        <v>0</v>
      </c>
      <c r="R969" s="2" t="inlineStr"/>
    </row>
    <row r="970" ht="15" customHeight="1">
      <c r="A970" t="inlineStr">
        <is>
          <t>A 53520-2024</t>
        </is>
      </c>
      <c r="B970" s="1" t="n">
        <v>45614</v>
      </c>
      <c r="C970" s="1" t="n">
        <v>45800</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53536-2024</t>
        </is>
      </c>
      <c r="B971" s="1" t="n">
        <v>45614</v>
      </c>
      <c r="C971" s="1" t="n">
        <v>45800</v>
      </c>
      <c r="D971" t="inlineStr">
        <is>
          <t>JÄMTLANDS LÄN</t>
        </is>
      </c>
      <c r="E971" t="inlineStr">
        <is>
          <t>ÖSTERSUND</t>
        </is>
      </c>
      <c r="G971" t="n">
        <v>4.1</v>
      </c>
      <c r="H971" t="n">
        <v>0</v>
      </c>
      <c r="I971" t="n">
        <v>0</v>
      </c>
      <c r="J971" t="n">
        <v>0</v>
      </c>
      <c r="K971" t="n">
        <v>0</v>
      </c>
      <c r="L971" t="n">
        <v>0</v>
      </c>
      <c r="M971" t="n">
        <v>0</v>
      </c>
      <c r="N971" t="n">
        <v>0</v>
      </c>
      <c r="O971" t="n">
        <v>0</v>
      </c>
      <c r="P971" t="n">
        <v>0</v>
      </c>
      <c r="Q971" t="n">
        <v>0</v>
      </c>
      <c r="R971" s="2" t="inlineStr"/>
    </row>
    <row r="972" ht="15" customHeight="1">
      <c r="A972" t="inlineStr">
        <is>
          <t>A 53745-2024</t>
        </is>
      </c>
      <c r="B972" s="1" t="n">
        <v>45615</v>
      </c>
      <c r="C972" s="1" t="n">
        <v>45800</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53864-2024</t>
        </is>
      </c>
      <c r="B973" s="1" t="n">
        <v>45615</v>
      </c>
      <c r="C973" s="1" t="n">
        <v>45800</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53660-2024</t>
        </is>
      </c>
      <c r="B974" s="1" t="n">
        <v>45615</v>
      </c>
      <c r="C974" s="1" t="n">
        <v>45800</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54237-2024</t>
        </is>
      </c>
      <c r="B975" s="1" t="n">
        <v>45616</v>
      </c>
      <c r="C975" s="1" t="n">
        <v>45800</v>
      </c>
      <c r="D975" t="inlineStr">
        <is>
          <t>JÄMTLANDS LÄN</t>
        </is>
      </c>
      <c r="E975" t="inlineStr">
        <is>
          <t>ÖSTERSUND</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54317-2024</t>
        </is>
      </c>
      <c r="B976" s="1" t="n">
        <v>45617</v>
      </c>
      <c r="C976" s="1" t="n">
        <v>45800</v>
      </c>
      <c r="D976" t="inlineStr">
        <is>
          <t>JÄMTLANDS LÄN</t>
        </is>
      </c>
      <c r="E976" t="inlineStr">
        <is>
          <t>ÖSTERSUND</t>
        </is>
      </c>
      <c r="G976" t="n">
        <v>4.3</v>
      </c>
      <c r="H976" t="n">
        <v>0</v>
      </c>
      <c r="I976" t="n">
        <v>0</v>
      </c>
      <c r="J976" t="n">
        <v>0</v>
      </c>
      <c r="K976" t="n">
        <v>0</v>
      </c>
      <c r="L976" t="n">
        <v>0</v>
      </c>
      <c r="M976" t="n">
        <v>0</v>
      </c>
      <c r="N976" t="n">
        <v>0</v>
      </c>
      <c r="O976" t="n">
        <v>0</v>
      </c>
      <c r="P976" t="n">
        <v>0</v>
      </c>
      <c r="Q976" t="n">
        <v>0</v>
      </c>
      <c r="R976" s="2" t="inlineStr"/>
    </row>
    <row r="977" ht="15" customHeight="1">
      <c r="A977" t="inlineStr">
        <is>
          <t>A 54359-2024</t>
        </is>
      </c>
      <c r="B977" s="1" t="n">
        <v>45617</v>
      </c>
      <c r="C977" s="1" t="n">
        <v>45800</v>
      </c>
      <c r="D977" t="inlineStr">
        <is>
          <t>JÄMTLANDS LÄN</t>
        </is>
      </c>
      <c r="E977" t="inlineStr">
        <is>
          <t>ÖSTERSUND</t>
        </is>
      </c>
      <c r="G977" t="n">
        <v>3.2</v>
      </c>
      <c r="H977" t="n">
        <v>0</v>
      </c>
      <c r="I977" t="n">
        <v>0</v>
      </c>
      <c r="J977" t="n">
        <v>0</v>
      </c>
      <c r="K977" t="n">
        <v>0</v>
      </c>
      <c r="L977" t="n">
        <v>0</v>
      </c>
      <c r="M977" t="n">
        <v>0</v>
      </c>
      <c r="N977" t="n">
        <v>0</v>
      </c>
      <c r="O977" t="n">
        <v>0</v>
      </c>
      <c r="P977" t="n">
        <v>0</v>
      </c>
      <c r="Q977" t="n">
        <v>0</v>
      </c>
      <c r="R977" s="2" t="inlineStr"/>
    </row>
    <row r="978" ht="15" customHeight="1">
      <c r="A978" t="inlineStr">
        <is>
          <t>A 54587-2024</t>
        </is>
      </c>
      <c r="B978" s="1" t="n">
        <v>45617</v>
      </c>
      <c r="C978" s="1" t="n">
        <v>45800</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54913-2024</t>
        </is>
      </c>
      <c r="B979" s="1" t="n">
        <v>45618</v>
      </c>
      <c r="C979" s="1" t="n">
        <v>45800</v>
      </c>
      <c r="D979" t="inlineStr">
        <is>
          <t>JÄMTLANDS LÄN</t>
        </is>
      </c>
      <c r="E979" t="inlineStr">
        <is>
          <t>ÖSTERSUND</t>
        </is>
      </c>
      <c r="G979" t="n">
        <v>4.7</v>
      </c>
      <c r="H979" t="n">
        <v>0</v>
      </c>
      <c r="I979" t="n">
        <v>0</v>
      </c>
      <c r="J979" t="n">
        <v>0</v>
      </c>
      <c r="K979" t="n">
        <v>0</v>
      </c>
      <c r="L979" t="n">
        <v>0</v>
      </c>
      <c r="M979" t="n">
        <v>0</v>
      </c>
      <c r="N979" t="n">
        <v>0</v>
      </c>
      <c r="O979" t="n">
        <v>0</v>
      </c>
      <c r="P979" t="n">
        <v>0</v>
      </c>
      <c r="Q979" t="n">
        <v>0</v>
      </c>
      <c r="R979" s="2" t="inlineStr"/>
    </row>
    <row r="980" ht="15" customHeight="1">
      <c r="A980" t="inlineStr">
        <is>
          <t>A 55064-2024</t>
        </is>
      </c>
      <c r="B980" s="1" t="n">
        <v>45621</v>
      </c>
      <c r="C980" s="1" t="n">
        <v>45800</v>
      </c>
      <c r="D980" t="inlineStr">
        <is>
          <t>JÄMTLANDS LÄN</t>
        </is>
      </c>
      <c r="E980" t="inlineStr">
        <is>
          <t>ÖSTERSUND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55002-2024</t>
        </is>
      </c>
      <c r="B981" s="1" t="n">
        <v>45621</v>
      </c>
      <c r="C981" s="1" t="n">
        <v>45800</v>
      </c>
      <c r="D981" t="inlineStr">
        <is>
          <t>JÄMTLANDS LÄN</t>
        </is>
      </c>
      <c r="E981" t="inlineStr">
        <is>
          <t>ÖSTERSUND</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55294-2024</t>
        </is>
      </c>
      <c r="B982" s="1" t="n">
        <v>45621</v>
      </c>
      <c r="C982" s="1" t="n">
        <v>45800</v>
      </c>
      <c r="D982" t="inlineStr">
        <is>
          <t>JÄMTLANDS LÄN</t>
        </is>
      </c>
      <c r="E982" t="inlineStr">
        <is>
          <t>ÖSTERSUND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55302-2024</t>
        </is>
      </c>
      <c r="B983" s="1" t="n">
        <v>45621</v>
      </c>
      <c r="C983" s="1" t="n">
        <v>45800</v>
      </c>
      <c r="D983" t="inlineStr">
        <is>
          <t>JÄMTLANDS LÄN</t>
        </is>
      </c>
      <c r="E983" t="inlineStr">
        <is>
          <t>ÖSTERSUND</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55319-2024</t>
        </is>
      </c>
      <c r="B984" s="1" t="n">
        <v>45621</v>
      </c>
      <c r="C984" s="1" t="n">
        <v>45800</v>
      </c>
      <c r="D984" t="inlineStr">
        <is>
          <t>JÄMTLANDS LÄN</t>
        </is>
      </c>
      <c r="E984" t="inlineStr">
        <is>
          <t>ÖSTERSUND</t>
        </is>
      </c>
      <c r="G984" t="n">
        <v>7.1</v>
      </c>
      <c r="H984" t="n">
        <v>0</v>
      </c>
      <c r="I984" t="n">
        <v>0</v>
      </c>
      <c r="J984" t="n">
        <v>0</v>
      </c>
      <c r="K984" t="n">
        <v>0</v>
      </c>
      <c r="L984" t="n">
        <v>0</v>
      </c>
      <c r="M984" t="n">
        <v>0</v>
      </c>
      <c r="N984" t="n">
        <v>0</v>
      </c>
      <c r="O984" t="n">
        <v>0</v>
      </c>
      <c r="P984" t="n">
        <v>0</v>
      </c>
      <c r="Q984" t="n">
        <v>0</v>
      </c>
      <c r="R984" s="2" t="inlineStr"/>
    </row>
    <row r="985" ht="15" customHeight="1">
      <c r="A985" t="inlineStr">
        <is>
          <t>A 55323-2024</t>
        </is>
      </c>
      <c r="B985" s="1" t="n">
        <v>45621</v>
      </c>
      <c r="C985" s="1" t="n">
        <v>45800</v>
      </c>
      <c r="D985" t="inlineStr">
        <is>
          <t>JÄMTLANDS LÄN</t>
        </is>
      </c>
      <c r="E985" t="inlineStr">
        <is>
          <t>ÖSTERSUND</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55061-2024</t>
        </is>
      </c>
      <c r="B986" s="1" t="n">
        <v>45621</v>
      </c>
      <c r="C986" s="1" t="n">
        <v>45800</v>
      </c>
      <c r="D986" t="inlineStr">
        <is>
          <t>JÄMTLANDS LÄN</t>
        </is>
      </c>
      <c r="E986" t="inlineStr">
        <is>
          <t>ÖSTERSUND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55365-2024</t>
        </is>
      </c>
      <c r="B987" s="1" t="n">
        <v>45621</v>
      </c>
      <c r="C987" s="1" t="n">
        <v>45800</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55572-2024</t>
        </is>
      </c>
      <c r="B988" s="1" t="n">
        <v>45622</v>
      </c>
      <c r="C988" s="1" t="n">
        <v>45800</v>
      </c>
      <c r="D988" t="inlineStr">
        <is>
          <t>JÄMTLANDS LÄN</t>
        </is>
      </c>
      <c r="E988" t="inlineStr">
        <is>
          <t>ÖSTERSUND</t>
        </is>
      </c>
      <c r="F988" t="inlineStr">
        <is>
          <t>SCA</t>
        </is>
      </c>
      <c r="G988" t="n">
        <v>11.2</v>
      </c>
      <c r="H988" t="n">
        <v>0</v>
      </c>
      <c r="I988" t="n">
        <v>0</v>
      </c>
      <c r="J988" t="n">
        <v>0</v>
      </c>
      <c r="K988" t="n">
        <v>0</v>
      </c>
      <c r="L988" t="n">
        <v>0</v>
      </c>
      <c r="M988" t="n">
        <v>0</v>
      </c>
      <c r="N988" t="n">
        <v>0</v>
      </c>
      <c r="O988" t="n">
        <v>0</v>
      </c>
      <c r="P988" t="n">
        <v>0</v>
      </c>
      <c r="Q988" t="n">
        <v>0</v>
      </c>
      <c r="R988" s="2" t="inlineStr"/>
    </row>
    <row r="989" ht="15" customHeight="1">
      <c r="A989" t="inlineStr">
        <is>
          <t>A 55600-2024</t>
        </is>
      </c>
      <c r="B989" s="1" t="n">
        <v>45622</v>
      </c>
      <c r="C989" s="1" t="n">
        <v>45800</v>
      </c>
      <c r="D989" t="inlineStr">
        <is>
          <t>JÄMTLANDS LÄN</t>
        </is>
      </c>
      <c r="E989" t="inlineStr">
        <is>
          <t>ÖSTERSUND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55700-2024</t>
        </is>
      </c>
      <c r="B990" s="1" t="n">
        <v>45622</v>
      </c>
      <c r="C990" s="1" t="n">
        <v>45800</v>
      </c>
      <c r="D990" t="inlineStr">
        <is>
          <t>JÄMTLANDS LÄN</t>
        </is>
      </c>
      <c r="E990" t="inlineStr">
        <is>
          <t>ÖSTERSUND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56649-2024</t>
        </is>
      </c>
      <c r="B991" s="1" t="n">
        <v>45625</v>
      </c>
      <c r="C991" s="1" t="n">
        <v>45800</v>
      </c>
      <c r="D991" t="inlineStr">
        <is>
          <t>JÄMTLANDS LÄN</t>
        </is>
      </c>
      <c r="E991" t="inlineStr">
        <is>
          <t>ÖSTERSUND</t>
        </is>
      </c>
      <c r="G991" t="n">
        <v>1.6</v>
      </c>
      <c r="H991" t="n">
        <v>0</v>
      </c>
      <c r="I991" t="n">
        <v>0</v>
      </c>
      <c r="J991" t="n">
        <v>0</v>
      </c>
      <c r="K991" t="n">
        <v>0</v>
      </c>
      <c r="L991" t="n">
        <v>0</v>
      </c>
      <c r="M991" t="n">
        <v>0</v>
      </c>
      <c r="N991" t="n">
        <v>0</v>
      </c>
      <c r="O991" t="n">
        <v>0</v>
      </c>
      <c r="P991" t="n">
        <v>0</v>
      </c>
      <c r="Q991" t="n">
        <v>0</v>
      </c>
      <c r="R991" s="2" t="inlineStr"/>
    </row>
    <row r="992" ht="15" customHeight="1">
      <c r="A992" t="inlineStr">
        <is>
          <t>A 56646-2024</t>
        </is>
      </c>
      <c r="B992" s="1" t="n">
        <v>45625</v>
      </c>
      <c r="C992" s="1" t="n">
        <v>45800</v>
      </c>
      <c r="D992" t="inlineStr">
        <is>
          <t>JÄMTLANDS LÄN</t>
        </is>
      </c>
      <c r="E992" t="inlineStr">
        <is>
          <t>ÖSTERSUND</t>
        </is>
      </c>
      <c r="G992" t="n">
        <v>18.9</v>
      </c>
      <c r="H992" t="n">
        <v>0</v>
      </c>
      <c r="I992" t="n">
        <v>0</v>
      </c>
      <c r="J992" t="n">
        <v>0</v>
      </c>
      <c r="K992" t="n">
        <v>0</v>
      </c>
      <c r="L992" t="n">
        <v>0</v>
      </c>
      <c r="M992" t="n">
        <v>0</v>
      </c>
      <c r="N992" t="n">
        <v>0</v>
      </c>
      <c r="O992" t="n">
        <v>0</v>
      </c>
      <c r="P992" t="n">
        <v>0</v>
      </c>
      <c r="Q992" t="n">
        <v>0</v>
      </c>
      <c r="R992" s="2" t="inlineStr"/>
    </row>
    <row r="993" ht="15" customHeight="1">
      <c r="A993" t="inlineStr">
        <is>
          <t>A 56847-2024</t>
        </is>
      </c>
      <c r="B993" s="1" t="n">
        <v>45628</v>
      </c>
      <c r="C993" s="1" t="n">
        <v>45800</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57702-2024</t>
        </is>
      </c>
      <c r="B994" s="1" t="n">
        <v>45628</v>
      </c>
      <c r="C994" s="1" t="n">
        <v>45800</v>
      </c>
      <c r="D994" t="inlineStr">
        <is>
          <t>JÄMTLANDS LÄN</t>
        </is>
      </c>
      <c r="E994" t="inlineStr">
        <is>
          <t>ÖSTERSUND</t>
        </is>
      </c>
      <c r="G994" t="n">
        <v>2.3</v>
      </c>
      <c r="H994" t="n">
        <v>0</v>
      </c>
      <c r="I994" t="n">
        <v>0</v>
      </c>
      <c r="J994" t="n">
        <v>0</v>
      </c>
      <c r="K994" t="n">
        <v>0</v>
      </c>
      <c r="L994" t="n">
        <v>0</v>
      </c>
      <c r="M994" t="n">
        <v>0</v>
      </c>
      <c r="N994" t="n">
        <v>0</v>
      </c>
      <c r="O994" t="n">
        <v>0</v>
      </c>
      <c r="P994" t="n">
        <v>0</v>
      </c>
      <c r="Q994" t="n">
        <v>0</v>
      </c>
      <c r="R994" s="2" t="inlineStr"/>
    </row>
    <row r="995" ht="15" customHeight="1">
      <c r="A995" t="inlineStr">
        <is>
          <t>A 57397-2024</t>
        </is>
      </c>
      <c r="B995" s="1" t="n">
        <v>45629</v>
      </c>
      <c r="C995" s="1" t="n">
        <v>45800</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57589-2024</t>
        </is>
      </c>
      <c r="B996" s="1" t="n">
        <v>45630</v>
      </c>
      <c r="C996" s="1" t="n">
        <v>45800</v>
      </c>
      <c r="D996" t="inlineStr">
        <is>
          <t>JÄMTLANDS LÄN</t>
        </is>
      </c>
      <c r="E996" t="inlineStr">
        <is>
          <t>ÖSTERSUND</t>
        </is>
      </c>
      <c r="G996" t="n">
        <v>1.8</v>
      </c>
      <c r="H996" t="n">
        <v>0</v>
      </c>
      <c r="I996" t="n">
        <v>0</v>
      </c>
      <c r="J996" t="n">
        <v>0</v>
      </c>
      <c r="K996" t="n">
        <v>0</v>
      </c>
      <c r="L996" t="n">
        <v>0</v>
      </c>
      <c r="M996" t="n">
        <v>0</v>
      </c>
      <c r="N996" t="n">
        <v>0</v>
      </c>
      <c r="O996" t="n">
        <v>0</v>
      </c>
      <c r="P996" t="n">
        <v>0</v>
      </c>
      <c r="Q996" t="n">
        <v>0</v>
      </c>
      <c r="R996" s="2" t="inlineStr"/>
    </row>
    <row r="997" ht="15" customHeight="1">
      <c r="A997" t="inlineStr">
        <is>
          <t>A 57706-2024</t>
        </is>
      </c>
      <c r="B997" s="1" t="n">
        <v>45630</v>
      </c>
      <c r="C997" s="1" t="n">
        <v>45800</v>
      </c>
      <c r="D997" t="inlineStr">
        <is>
          <t>JÄMTLANDS LÄN</t>
        </is>
      </c>
      <c r="E997" t="inlineStr">
        <is>
          <t>ÖSTERSUND</t>
        </is>
      </c>
      <c r="G997" t="n">
        <v>13.2</v>
      </c>
      <c r="H997" t="n">
        <v>0</v>
      </c>
      <c r="I997" t="n">
        <v>0</v>
      </c>
      <c r="J997" t="n">
        <v>0</v>
      </c>
      <c r="K997" t="n">
        <v>0</v>
      </c>
      <c r="L997" t="n">
        <v>0</v>
      </c>
      <c r="M997" t="n">
        <v>0</v>
      </c>
      <c r="N997" t="n">
        <v>0</v>
      </c>
      <c r="O997" t="n">
        <v>0</v>
      </c>
      <c r="P997" t="n">
        <v>0</v>
      </c>
      <c r="Q997" t="n">
        <v>0</v>
      </c>
      <c r="R997" s="2" t="inlineStr"/>
    </row>
    <row r="998" ht="15" customHeight="1">
      <c r="A998" t="inlineStr">
        <is>
          <t>A 57556-2024</t>
        </is>
      </c>
      <c r="B998" s="1" t="n">
        <v>45630</v>
      </c>
      <c r="C998" s="1" t="n">
        <v>45800</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57547-2024</t>
        </is>
      </c>
      <c r="B999" s="1" t="n">
        <v>45630</v>
      </c>
      <c r="C999" s="1" t="n">
        <v>45800</v>
      </c>
      <c r="D999" t="inlineStr">
        <is>
          <t>JÄMTLANDS LÄN</t>
        </is>
      </c>
      <c r="E999" t="inlineStr">
        <is>
          <t>ÖSTERSUND</t>
        </is>
      </c>
      <c r="G999" t="n">
        <v>16.8</v>
      </c>
      <c r="H999" t="n">
        <v>0</v>
      </c>
      <c r="I999" t="n">
        <v>0</v>
      </c>
      <c r="J999" t="n">
        <v>0</v>
      </c>
      <c r="K999" t="n">
        <v>0</v>
      </c>
      <c r="L999" t="n">
        <v>0</v>
      </c>
      <c r="M999" t="n">
        <v>0</v>
      </c>
      <c r="N999" t="n">
        <v>0</v>
      </c>
      <c r="O999" t="n">
        <v>0</v>
      </c>
      <c r="P999" t="n">
        <v>0</v>
      </c>
      <c r="Q999" t="n">
        <v>0</v>
      </c>
      <c r="R999" s="2" t="inlineStr"/>
    </row>
    <row r="1000" ht="15" customHeight="1">
      <c r="A1000" t="inlineStr">
        <is>
          <t>A 57917-2024</t>
        </is>
      </c>
      <c r="B1000" s="1" t="n">
        <v>45630</v>
      </c>
      <c r="C1000" s="1" t="n">
        <v>45800</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58286-2024</t>
        </is>
      </c>
      <c r="B1001" s="1" t="n">
        <v>45632</v>
      </c>
      <c r="C1001" s="1" t="n">
        <v>45800</v>
      </c>
      <c r="D1001" t="inlineStr">
        <is>
          <t>JÄMTLANDS LÄN</t>
        </is>
      </c>
      <c r="E1001" t="inlineStr">
        <is>
          <t>ÖSTERSUND</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58364-2024</t>
        </is>
      </c>
      <c r="B1002" s="1" t="n">
        <v>45632</v>
      </c>
      <c r="C1002" s="1" t="n">
        <v>45800</v>
      </c>
      <c r="D1002" t="inlineStr">
        <is>
          <t>JÄMTLANDS LÄN</t>
        </is>
      </c>
      <c r="E1002" t="inlineStr">
        <is>
          <t>ÖSTERSUND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58407-2024</t>
        </is>
      </c>
      <c r="B1003" s="1" t="n">
        <v>45634</v>
      </c>
      <c r="C1003" s="1" t="n">
        <v>45800</v>
      </c>
      <c r="D1003" t="inlineStr">
        <is>
          <t>JÄMTLANDS LÄN</t>
        </is>
      </c>
      <c r="E1003" t="inlineStr">
        <is>
          <t>ÖSTERSUND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58406-2024</t>
        </is>
      </c>
      <c r="B1004" s="1" t="n">
        <v>45634</v>
      </c>
      <c r="C1004" s="1" t="n">
        <v>45800</v>
      </c>
      <c r="D1004" t="inlineStr">
        <is>
          <t>JÄMTLANDS LÄN</t>
        </is>
      </c>
      <c r="E1004" t="inlineStr">
        <is>
          <t>ÖSTERSUND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58952-2024</t>
        </is>
      </c>
      <c r="B1005" s="1" t="n">
        <v>45636</v>
      </c>
      <c r="C1005" s="1" t="n">
        <v>45800</v>
      </c>
      <c r="D1005" t="inlineStr">
        <is>
          <t>JÄMTLANDS LÄN</t>
        </is>
      </c>
      <c r="E1005" t="inlineStr">
        <is>
          <t>ÖSTERSUND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59107-2024</t>
        </is>
      </c>
      <c r="B1006" s="1" t="n">
        <v>45637</v>
      </c>
      <c r="C1006" s="1" t="n">
        <v>45800</v>
      </c>
      <c r="D1006" t="inlineStr">
        <is>
          <t>JÄMTLANDS LÄN</t>
        </is>
      </c>
      <c r="E1006" t="inlineStr">
        <is>
          <t>ÖSTERSUND</t>
        </is>
      </c>
      <c r="F1006" t="inlineStr">
        <is>
          <t>SCA</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59487-2024</t>
        </is>
      </c>
      <c r="B1007" s="1" t="n">
        <v>45638</v>
      </c>
      <c r="C1007" s="1" t="n">
        <v>45800</v>
      </c>
      <c r="D1007" t="inlineStr">
        <is>
          <t>JÄMTLANDS LÄN</t>
        </is>
      </c>
      <c r="E1007" t="inlineStr">
        <is>
          <t>ÖSTERSUND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59574-2024</t>
        </is>
      </c>
      <c r="B1008" s="1" t="n">
        <v>45638</v>
      </c>
      <c r="C1008" s="1" t="n">
        <v>45800</v>
      </c>
      <c r="D1008" t="inlineStr">
        <is>
          <t>JÄMTLANDS LÄN</t>
        </is>
      </c>
      <c r="E1008" t="inlineStr">
        <is>
          <t>ÖSTERSUND</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59691-2024</t>
        </is>
      </c>
      <c r="B1009" s="1" t="n">
        <v>45639</v>
      </c>
      <c r="C1009" s="1" t="n">
        <v>45800</v>
      </c>
      <c r="D1009" t="inlineStr">
        <is>
          <t>JÄMTLANDS LÄN</t>
        </is>
      </c>
      <c r="E1009" t="inlineStr">
        <is>
          <t>ÖSTERSUND</t>
        </is>
      </c>
      <c r="F1009" t="inlineStr">
        <is>
          <t>SCA</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60499-2024</t>
        </is>
      </c>
      <c r="B1010" s="1" t="n">
        <v>45642</v>
      </c>
      <c r="C1010" s="1" t="n">
        <v>45800</v>
      </c>
      <c r="D1010" t="inlineStr">
        <is>
          <t>JÄMTLANDS LÄN</t>
        </is>
      </c>
      <c r="E1010" t="inlineStr">
        <is>
          <t>ÖSTERSUND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60088-2024</t>
        </is>
      </c>
      <c r="B1011" s="1" t="n">
        <v>45642</v>
      </c>
      <c r="C1011" s="1" t="n">
        <v>45800</v>
      </c>
      <c r="D1011" t="inlineStr">
        <is>
          <t>JÄMTLANDS LÄN</t>
        </is>
      </c>
      <c r="E1011" t="inlineStr">
        <is>
          <t>ÖSTERSUND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60349-2024</t>
        </is>
      </c>
      <c r="B1012" s="1" t="n">
        <v>45643</v>
      </c>
      <c r="C1012" s="1" t="n">
        <v>45800</v>
      </c>
      <c r="D1012" t="inlineStr">
        <is>
          <t>JÄMTLANDS LÄN</t>
        </is>
      </c>
      <c r="E1012" t="inlineStr">
        <is>
          <t>ÖSTERSUND</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60836-2024</t>
        </is>
      </c>
      <c r="B1013" s="1" t="n">
        <v>45644</v>
      </c>
      <c r="C1013" s="1" t="n">
        <v>45800</v>
      </c>
      <c r="D1013" t="inlineStr">
        <is>
          <t>JÄMTLANDS LÄN</t>
        </is>
      </c>
      <c r="E1013" t="inlineStr">
        <is>
          <t>ÖSTERSUND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61002-2024</t>
        </is>
      </c>
      <c r="B1014" s="1" t="n">
        <v>45645</v>
      </c>
      <c r="C1014" s="1" t="n">
        <v>45800</v>
      </c>
      <c r="D1014" t="inlineStr">
        <is>
          <t>JÄMTLANDS LÄN</t>
        </is>
      </c>
      <c r="E1014" t="inlineStr">
        <is>
          <t>ÖSTERSUND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61040-2024</t>
        </is>
      </c>
      <c r="B1015" s="1" t="n">
        <v>45645</v>
      </c>
      <c r="C1015" s="1" t="n">
        <v>45800</v>
      </c>
      <c r="D1015" t="inlineStr">
        <is>
          <t>JÄMTLANDS LÄN</t>
        </is>
      </c>
      <c r="E1015" t="inlineStr">
        <is>
          <t>ÖSTERSUND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61332-2024</t>
        </is>
      </c>
      <c r="B1016" s="1" t="n">
        <v>45646</v>
      </c>
      <c r="C1016" s="1" t="n">
        <v>45800</v>
      </c>
      <c r="D1016" t="inlineStr">
        <is>
          <t>JÄMTLANDS LÄN</t>
        </is>
      </c>
      <c r="E1016" t="inlineStr">
        <is>
          <t>ÖSTERSUND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61349-2024</t>
        </is>
      </c>
      <c r="B1017" s="1" t="n">
        <v>45646</v>
      </c>
      <c r="C1017" s="1" t="n">
        <v>45800</v>
      </c>
      <c r="D1017" t="inlineStr">
        <is>
          <t>JÄMTLANDS LÄN</t>
        </is>
      </c>
      <c r="E1017" t="inlineStr">
        <is>
          <t>ÖSTERSUND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61451-2024</t>
        </is>
      </c>
      <c r="B1018" s="1" t="n">
        <v>45646</v>
      </c>
      <c r="C1018" s="1" t="n">
        <v>45800</v>
      </c>
      <c r="D1018" t="inlineStr">
        <is>
          <t>JÄMTLANDS LÄN</t>
        </is>
      </c>
      <c r="E1018" t="inlineStr">
        <is>
          <t>ÖSTERSUND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61449-2024</t>
        </is>
      </c>
      <c r="B1019" s="1" t="n">
        <v>45646</v>
      </c>
      <c r="C1019" s="1" t="n">
        <v>45800</v>
      </c>
      <c r="D1019" t="inlineStr">
        <is>
          <t>JÄMTLANDS LÄN</t>
        </is>
      </c>
      <c r="E1019" t="inlineStr">
        <is>
          <t>ÖSTERSUND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61376-2024</t>
        </is>
      </c>
      <c r="B1020" s="1" t="n">
        <v>45646</v>
      </c>
      <c r="C1020" s="1" t="n">
        <v>45800</v>
      </c>
      <c r="D1020" t="inlineStr">
        <is>
          <t>JÄMTLANDS LÄN</t>
        </is>
      </c>
      <c r="E1020" t="inlineStr">
        <is>
          <t>ÖSTERSUND</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61450-2024</t>
        </is>
      </c>
      <c r="B1021" s="1" t="n">
        <v>45646</v>
      </c>
      <c r="C1021" s="1" t="n">
        <v>45800</v>
      </c>
      <c r="D1021" t="inlineStr">
        <is>
          <t>JÄMTLANDS LÄN</t>
        </is>
      </c>
      <c r="E1021" t="inlineStr">
        <is>
          <t>ÖSTERSUND</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62111-2024</t>
        </is>
      </c>
      <c r="B1022" s="1" t="n">
        <v>45656</v>
      </c>
      <c r="C1022" s="1" t="n">
        <v>45800</v>
      </c>
      <c r="D1022" t="inlineStr">
        <is>
          <t>JÄMTLANDS LÄN</t>
        </is>
      </c>
      <c r="E1022" t="inlineStr">
        <is>
          <t>ÖSTERSUND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79-2025</t>
        </is>
      </c>
      <c r="B1023" s="1" t="n">
        <v>45659</v>
      </c>
      <c r="C1023" s="1" t="n">
        <v>45800</v>
      </c>
      <c r="D1023" t="inlineStr">
        <is>
          <t>JÄMTLANDS LÄN</t>
        </is>
      </c>
      <c r="E1023" t="inlineStr">
        <is>
          <t>ÖSTERSUND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207-2025</t>
        </is>
      </c>
      <c r="B1024" s="1" t="n">
        <v>45660</v>
      </c>
      <c r="C1024" s="1" t="n">
        <v>45800</v>
      </c>
      <c r="D1024" t="inlineStr">
        <is>
          <t>JÄMTLANDS LÄN</t>
        </is>
      </c>
      <c r="E1024" t="inlineStr">
        <is>
          <t>ÖSTERSUND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582-2025</t>
        </is>
      </c>
      <c r="B1025" s="1" t="n">
        <v>45664</v>
      </c>
      <c r="C1025" s="1" t="n">
        <v>45800</v>
      </c>
      <c r="D1025" t="inlineStr">
        <is>
          <t>JÄMTLANDS LÄN</t>
        </is>
      </c>
      <c r="E1025" t="inlineStr">
        <is>
          <t>ÖSTERSUND</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1179-2025</t>
        </is>
      </c>
      <c r="B1026" s="1" t="n">
        <v>45667</v>
      </c>
      <c r="C1026" s="1" t="n">
        <v>45800</v>
      </c>
      <c r="D1026" t="inlineStr">
        <is>
          <t>JÄMTLANDS LÄN</t>
        </is>
      </c>
      <c r="E1026" t="inlineStr">
        <is>
          <t>ÖSTERSUND</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1211-2025</t>
        </is>
      </c>
      <c r="B1027" s="1" t="n">
        <v>45667</v>
      </c>
      <c r="C1027" s="1" t="n">
        <v>45800</v>
      </c>
      <c r="D1027" t="inlineStr">
        <is>
          <t>JÄMTLANDS LÄN</t>
        </is>
      </c>
      <c r="E1027" t="inlineStr">
        <is>
          <t>ÖSTERSUND</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1255-2025</t>
        </is>
      </c>
      <c r="B1028" s="1" t="n">
        <v>45667</v>
      </c>
      <c r="C1028" s="1" t="n">
        <v>45800</v>
      </c>
      <c r="D1028" t="inlineStr">
        <is>
          <t>JÄMTLANDS LÄN</t>
        </is>
      </c>
      <c r="E1028" t="inlineStr">
        <is>
          <t>ÖSTERSUND</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1762-2025</t>
        </is>
      </c>
      <c r="B1029" s="1" t="n">
        <v>45671</v>
      </c>
      <c r="C1029" s="1" t="n">
        <v>45800</v>
      </c>
      <c r="D1029" t="inlineStr">
        <is>
          <t>JÄMTLANDS LÄN</t>
        </is>
      </c>
      <c r="E1029" t="inlineStr">
        <is>
          <t>ÖSTERSUND</t>
        </is>
      </c>
      <c r="F1029" t="inlineStr">
        <is>
          <t>SCA</t>
        </is>
      </c>
      <c r="G1029" t="n">
        <v>51.9</v>
      </c>
      <c r="H1029" t="n">
        <v>0</v>
      </c>
      <c r="I1029" t="n">
        <v>0</v>
      </c>
      <c r="J1029" t="n">
        <v>0</v>
      </c>
      <c r="K1029" t="n">
        <v>0</v>
      </c>
      <c r="L1029" t="n">
        <v>0</v>
      </c>
      <c r="M1029" t="n">
        <v>0</v>
      </c>
      <c r="N1029" t="n">
        <v>0</v>
      </c>
      <c r="O1029" t="n">
        <v>0</v>
      </c>
      <c r="P1029" t="n">
        <v>0</v>
      </c>
      <c r="Q1029" t="n">
        <v>0</v>
      </c>
      <c r="R1029" s="2" t="inlineStr"/>
    </row>
    <row r="1030" ht="15" customHeight="1">
      <c r="A1030" t="inlineStr">
        <is>
          <t>A 2730-2025</t>
        </is>
      </c>
      <c r="B1030" s="1" t="n">
        <v>45677</v>
      </c>
      <c r="C1030" s="1" t="n">
        <v>45800</v>
      </c>
      <c r="D1030" t="inlineStr">
        <is>
          <t>JÄMTLANDS LÄN</t>
        </is>
      </c>
      <c r="E1030" t="inlineStr">
        <is>
          <t>ÖSTERSUND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2747-2025</t>
        </is>
      </c>
      <c r="B1031" s="1" t="n">
        <v>45677</v>
      </c>
      <c r="C1031" s="1" t="n">
        <v>45800</v>
      </c>
      <c r="D1031" t="inlineStr">
        <is>
          <t>JÄMTLANDS LÄN</t>
        </is>
      </c>
      <c r="E1031" t="inlineStr">
        <is>
          <t>ÖSTERSUND</t>
        </is>
      </c>
      <c r="F1031" t="inlineStr">
        <is>
          <t>Sveaskog</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2753-2025</t>
        </is>
      </c>
      <c r="B1032" s="1" t="n">
        <v>45677</v>
      </c>
      <c r="C1032" s="1" t="n">
        <v>45800</v>
      </c>
      <c r="D1032" t="inlineStr">
        <is>
          <t>JÄMTLANDS LÄN</t>
        </is>
      </c>
      <c r="E1032" t="inlineStr">
        <is>
          <t>ÖSTERSUND</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2706-2025</t>
        </is>
      </c>
      <c r="B1033" s="1" t="n">
        <v>45677</v>
      </c>
      <c r="C1033" s="1" t="n">
        <v>45800</v>
      </c>
      <c r="D1033" t="inlineStr">
        <is>
          <t>JÄMTLANDS LÄN</t>
        </is>
      </c>
      <c r="E1033" t="inlineStr">
        <is>
          <t>ÖSTERSUND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3122-2025</t>
        </is>
      </c>
      <c r="B1034" s="1" t="n">
        <v>45678</v>
      </c>
      <c r="C1034" s="1" t="n">
        <v>45800</v>
      </c>
      <c r="D1034" t="inlineStr">
        <is>
          <t>JÄMTLANDS LÄN</t>
        </is>
      </c>
      <c r="E1034" t="inlineStr">
        <is>
          <t>ÖSTERSUND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3053-2025</t>
        </is>
      </c>
      <c r="B1035" s="1" t="n">
        <v>45678</v>
      </c>
      <c r="C1035" s="1" t="n">
        <v>45800</v>
      </c>
      <c r="D1035" t="inlineStr">
        <is>
          <t>JÄMTLANDS LÄN</t>
        </is>
      </c>
      <c r="E1035" t="inlineStr">
        <is>
          <t>ÖSTERSUND</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3255-2025</t>
        </is>
      </c>
      <c r="B1036" s="1" t="n">
        <v>45679</v>
      </c>
      <c r="C1036" s="1" t="n">
        <v>45800</v>
      </c>
      <c r="D1036" t="inlineStr">
        <is>
          <t>JÄMTLANDS LÄN</t>
        </is>
      </c>
      <c r="E1036" t="inlineStr">
        <is>
          <t>ÖSTERSUND</t>
        </is>
      </c>
      <c r="F1036" t="inlineStr">
        <is>
          <t>SCA</t>
        </is>
      </c>
      <c r="G1036" t="n">
        <v>16.7</v>
      </c>
      <c r="H1036" t="n">
        <v>0</v>
      </c>
      <c r="I1036" t="n">
        <v>0</v>
      </c>
      <c r="J1036" t="n">
        <v>0</v>
      </c>
      <c r="K1036" t="n">
        <v>0</v>
      </c>
      <c r="L1036" t="n">
        <v>0</v>
      </c>
      <c r="M1036" t="n">
        <v>0</v>
      </c>
      <c r="N1036" t="n">
        <v>0</v>
      </c>
      <c r="O1036" t="n">
        <v>0</v>
      </c>
      <c r="P1036" t="n">
        <v>0</v>
      </c>
      <c r="Q1036" t="n">
        <v>0</v>
      </c>
      <c r="R1036" s="2" t="inlineStr"/>
    </row>
    <row r="1037" ht="15" customHeight="1">
      <c r="A1037" t="inlineStr">
        <is>
          <t>A 3204-2025</t>
        </is>
      </c>
      <c r="B1037" s="1" t="n">
        <v>45679</v>
      </c>
      <c r="C1037" s="1" t="n">
        <v>45800</v>
      </c>
      <c r="D1037" t="inlineStr">
        <is>
          <t>JÄMTLANDS LÄN</t>
        </is>
      </c>
      <c r="E1037" t="inlineStr">
        <is>
          <t>ÖSTERSUND</t>
        </is>
      </c>
      <c r="F1037" t="inlineStr">
        <is>
          <t>SCA</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3265-2025</t>
        </is>
      </c>
      <c r="B1038" s="1" t="n">
        <v>45679</v>
      </c>
      <c r="C1038" s="1" t="n">
        <v>45800</v>
      </c>
      <c r="D1038" t="inlineStr">
        <is>
          <t>JÄMTLANDS LÄN</t>
        </is>
      </c>
      <c r="E1038" t="inlineStr">
        <is>
          <t>ÖSTERSUND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3615-2025</t>
        </is>
      </c>
      <c r="B1039" s="1" t="n">
        <v>45681</v>
      </c>
      <c r="C1039" s="1" t="n">
        <v>45800</v>
      </c>
      <c r="D1039" t="inlineStr">
        <is>
          <t>JÄMTLANDS LÄN</t>
        </is>
      </c>
      <c r="E1039" t="inlineStr">
        <is>
          <t>ÖSTERSUND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3651-2025</t>
        </is>
      </c>
      <c r="B1040" s="1" t="n">
        <v>45681</v>
      </c>
      <c r="C1040" s="1" t="n">
        <v>45800</v>
      </c>
      <c r="D1040" t="inlineStr">
        <is>
          <t>JÄMTLANDS LÄN</t>
        </is>
      </c>
      <c r="E1040" t="inlineStr">
        <is>
          <t>ÖSTERSUND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3664-2025</t>
        </is>
      </c>
      <c r="B1041" s="1" t="n">
        <v>45681</v>
      </c>
      <c r="C1041" s="1" t="n">
        <v>45800</v>
      </c>
      <c r="D1041" t="inlineStr">
        <is>
          <t>JÄMTLANDS LÄN</t>
        </is>
      </c>
      <c r="E1041" t="inlineStr">
        <is>
          <t>ÖSTERSUND</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4063-2025</t>
        </is>
      </c>
      <c r="B1042" s="1" t="n">
        <v>45684</v>
      </c>
      <c r="C1042" s="1" t="n">
        <v>45800</v>
      </c>
      <c r="D1042" t="inlineStr">
        <is>
          <t>JÄMTLANDS LÄN</t>
        </is>
      </c>
      <c r="E1042" t="inlineStr">
        <is>
          <t>ÖSTERSUND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3914-2025</t>
        </is>
      </c>
      <c r="B1043" s="1" t="n">
        <v>45684</v>
      </c>
      <c r="C1043" s="1" t="n">
        <v>45800</v>
      </c>
      <c r="D1043" t="inlineStr">
        <is>
          <t>JÄMTLANDS LÄN</t>
        </is>
      </c>
      <c r="E1043" t="inlineStr">
        <is>
          <t>ÖSTERSUND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3985-2025</t>
        </is>
      </c>
      <c r="B1044" s="1" t="n">
        <v>45684</v>
      </c>
      <c r="C1044" s="1" t="n">
        <v>45800</v>
      </c>
      <c r="D1044" t="inlineStr">
        <is>
          <t>JÄMTLANDS LÄN</t>
        </is>
      </c>
      <c r="E1044" t="inlineStr">
        <is>
          <t>ÖSTERSUND</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3997-2025</t>
        </is>
      </c>
      <c r="B1045" s="1" t="n">
        <v>45684</v>
      </c>
      <c r="C1045" s="1" t="n">
        <v>45800</v>
      </c>
      <c r="D1045" t="inlineStr">
        <is>
          <t>JÄMTLANDS LÄN</t>
        </is>
      </c>
      <c r="E1045" t="inlineStr">
        <is>
          <t>ÖSTERSUND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4143-2025</t>
        </is>
      </c>
      <c r="B1046" s="1" t="n">
        <v>45685</v>
      </c>
      <c r="C1046" s="1" t="n">
        <v>45800</v>
      </c>
      <c r="D1046" t="inlineStr">
        <is>
          <t>JÄMTLANDS LÄN</t>
        </is>
      </c>
      <c r="E1046" t="inlineStr">
        <is>
          <t>ÖSTERSUND</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4311-2025</t>
        </is>
      </c>
      <c r="B1047" s="1" t="n">
        <v>45685</v>
      </c>
      <c r="C1047" s="1" t="n">
        <v>45800</v>
      </c>
      <c r="D1047" t="inlineStr">
        <is>
          <t>JÄMTLANDS LÄN</t>
        </is>
      </c>
      <c r="E1047" t="inlineStr">
        <is>
          <t>ÖSTERSUND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4500-2025</t>
        </is>
      </c>
      <c r="B1048" s="1" t="n">
        <v>45686</v>
      </c>
      <c r="C1048" s="1" t="n">
        <v>45800</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4480-2025</t>
        </is>
      </c>
      <c r="B1049" s="1" t="n">
        <v>45686</v>
      </c>
      <c r="C1049" s="1" t="n">
        <v>45800</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4491-2025</t>
        </is>
      </c>
      <c r="B1050" s="1" t="n">
        <v>45686</v>
      </c>
      <c r="C1050" s="1" t="n">
        <v>45800</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4520-2025</t>
        </is>
      </c>
      <c r="B1051" s="1" t="n">
        <v>45686</v>
      </c>
      <c r="C1051" s="1" t="n">
        <v>45800</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4522-2025</t>
        </is>
      </c>
      <c r="B1052" s="1" t="n">
        <v>45686</v>
      </c>
      <c r="C1052" s="1" t="n">
        <v>45800</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4384-2025</t>
        </is>
      </c>
      <c r="B1053" s="1" t="n">
        <v>45686</v>
      </c>
      <c r="C1053" s="1" t="n">
        <v>45800</v>
      </c>
      <c r="D1053" t="inlineStr">
        <is>
          <t>JÄMTLANDS LÄN</t>
        </is>
      </c>
      <c r="E1053" t="inlineStr">
        <is>
          <t>ÖSTERSUND</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4523-2025</t>
        </is>
      </c>
      <c r="B1054" s="1" t="n">
        <v>45686</v>
      </c>
      <c r="C1054" s="1" t="n">
        <v>45800</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4521-2025</t>
        </is>
      </c>
      <c r="B1055" s="1" t="n">
        <v>45686</v>
      </c>
      <c r="C1055" s="1" t="n">
        <v>45800</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4892-2025</t>
        </is>
      </c>
      <c r="B1056" s="1" t="n">
        <v>45688</v>
      </c>
      <c r="C1056" s="1" t="n">
        <v>45800</v>
      </c>
      <c r="D1056" t="inlineStr">
        <is>
          <t>JÄMTLANDS LÄN</t>
        </is>
      </c>
      <c r="E1056" t="inlineStr">
        <is>
          <t>ÖSTERSUND</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4901-2025</t>
        </is>
      </c>
      <c r="B1057" s="1" t="n">
        <v>45688</v>
      </c>
      <c r="C1057" s="1" t="n">
        <v>45800</v>
      </c>
      <c r="D1057" t="inlineStr">
        <is>
          <t>JÄMTLANDS LÄN</t>
        </is>
      </c>
      <c r="E1057" t="inlineStr">
        <is>
          <t>ÖSTERSUND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4936-2025</t>
        </is>
      </c>
      <c r="B1058" s="1" t="n">
        <v>45688</v>
      </c>
      <c r="C1058" s="1" t="n">
        <v>45800</v>
      </c>
      <c r="D1058" t="inlineStr">
        <is>
          <t>JÄMTLANDS LÄN</t>
        </is>
      </c>
      <c r="E1058" t="inlineStr">
        <is>
          <t>ÖSTERSUND</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4864-2025</t>
        </is>
      </c>
      <c r="B1059" s="1" t="n">
        <v>45688</v>
      </c>
      <c r="C1059" s="1" t="n">
        <v>45800</v>
      </c>
      <c r="D1059" t="inlineStr">
        <is>
          <t>JÄMTLANDS LÄN</t>
        </is>
      </c>
      <c r="E1059" t="inlineStr">
        <is>
          <t>ÖSTERSUND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4966-2025</t>
        </is>
      </c>
      <c r="B1060" s="1" t="n">
        <v>45690</v>
      </c>
      <c r="C1060" s="1" t="n">
        <v>45800</v>
      </c>
      <c r="D1060" t="inlineStr">
        <is>
          <t>JÄMTLANDS LÄN</t>
        </is>
      </c>
      <c r="E1060" t="inlineStr">
        <is>
          <t>ÖSTERSUND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5140-2025</t>
        </is>
      </c>
      <c r="B1061" s="1" t="n">
        <v>45691</v>
      </c>
      <c r="C1061" s="1" t="n">
        <v>45800</v>
      </c>
      <c r="D1061" t="inlineStr">
        <is>
          <t>JÄMTLANDS LÄN</t>
        </is>
      </c>
      <c r="E1061" t="inlineStr">
        <is>
          <t>ÖSTERSUND</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5138-2025</t>
        </is>
      </c>
      <c r="B1062" s="1" t="n">
        <v>45691</v>
      </c>
      <c r="C1062" s="1" t="n">
        <v>45800</v>
      </c>
      <c r="D1062" t="inlineStr">
        <is>
          <t>JÄMTLANDS LÄN</t>
        </is>
      </c>
      <c r="E1062" t="inlineStr">
        <is>
          <t>ÖSTERSUND</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5135-2025</t>
        </is>
      </c>
      <c r="B1063" s="1" t="n">
        <v>45691</v>
      </c>
      <c r="C1063" s="1" t="n">
        <v>45800</v>
      </c>
      <c r="D1063" t="inlineStr">
        <is>
          <t>JÄMTLANDS LÄN</t>
        </is>
      </c>
      <c r="E1063" t="inlineStr">
        <is>
          <t>ÖSTERSUND</t>
        </is>
      </c>
      <c r="F1063" t="inlineStr">
        <is>
          <t>Övriga Aktiebolag</t>
        </is>
      </c>
      <c r="G1063" t="n">
        <v>126.9</v>
      </c>
      <c r="H1063" t="n">
        <v>0</v>
      </c>
      <c r="I1063" t="n">
        <v>0</v>
      </c>
      <c r="J1063" t="n">
        <v>0</v>
      </c>
      <c r="K1063" t="n">
        <v>0</v>
      </c>
      <c r="L1063" t="n">
        <v>0</v>
      </c>
      <c r="M1063" t="n">
        <v>0</v>
      </c>
      <c r="N1063" t="n">
        <v>0</v>
      </c>
      <c r="O1063" t="n">
        <v>0</v>
      </c>
      <c r="P1063" t="n">
        <v>0</v>
      </c>
      <c r="Q1063" t="n">
        <v>0</v>
      </c>
      <c r="R1063" s="2" t="inlineStr"/>
    </row>
    <row r="1064" ht="15" customHeight="1">
      <c r="A1064" t="inlineStr">
        <is>
          <t>A 5025-2025</t>
        </is>
      </c>
      <c r="B1064" s="1" t="n">
        <v>45691</v>
      </c>
      <c r="C1064" s="1" t="n">
        <v>45800</v>
      </c>
      <c r="D1064" t="inlineStr">
        <is>
          <t>JÄMTLANDS LÄN</t>
        </is>
      </c>
      <c r="E1064" t="inlineStr">
        <is>
          <t>ÖSTERSUND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5024-2025</t>
        </is>
      </c>
      <c r="B1065" s="1" t="n">
        <v>45691</v>
      </c>
      <c r="C1065" s="1" t="n">
        <v>45800</v>
      </c>
      <c r="D1065" t="inlineStr">
        <is>
          <t>JÄMTLANDS LÄN</t>
        </is>
      </c>
      <c r="E1065" t="inlineStr">
        <is>
          <t>ÖSTERSUND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5341-2025</t>
        </is>
      </c>
      <c r="B1066" s="1" t="n">
        <v>45692</v>
      </c>
      <c r="C1066" s="1" t="n">
        <v>45800</v>
      </c>
      <c r="D1066" t="inlineStr">
        <is>
          <t>JÄMTLANDS LÄN</t>
        </is>
      </c>
      <c r="E1066" t="inlineStr">
        <is>
          <t>ÖSTERSUND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5564-2025</t>
        </is>
      </c>
      <c r="B1067" s="1" t="n">
        <v>45693</v>
      </c>
      <c r="C1067" s="1" t="n">
        <v>45800</v>
      </c>
      <c r="D1067" t="inlineStr">
        <is>
          <t>JÄMTLANDS LÄN</t>
        </is>
      </c>
      <c r="E1067" t="inlineStr">
        <is>
          <t>ÖSTERSUND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5544-2025</t>
        </is>
      </c>
      <c r="B1068" s="1" t="n">
        <v>45693</v>
      </c>
      <c r="C1068" s="1" t="n">
        <v>45800</v>
      </c>
      <c r="D1068" t="inlineStr">
        <is>
          <t>JÄMTLANDS LÄN</t>
        </is>
      </c>
      <c r="E1068" t="inlineStr">
        <is>
          <t>ÖSTERSUND</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5553-2025</t>
        </is>
      </c>
      <c r="B1069" s="1" t="n">
        <v>45693</v>
      </c>
      <c r="C1069" s="1" t="n">
        <v>45800</v>
      </c>
      <c r="D1069" t="inlineStr">
        <is>
          <t>JÄMTLANDS LÄN</t>
        </is>
      </c>
      <c r="E1069" t="inlineStr">
        <is>
          <t>ÖSTERSUND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5549-2025</t>
        </is>
      </c>
      <c r="B1070" s="1" t="n">
        <v>45693</v>
      </c>
      <c r="C1070" s="1" t="n">
        <v>45800</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6067-2025</t>
        </is>
      </c>
      <c r="B1071" s="1" t="n">
        <v>45696</v>
      </c>
      <c r="C1071" s="1" t="n">
        <v>45800</v>
      </c>
      <c r="D1071" t="inlineStr">
        <is>
          <t>JÄMTLANDS LÄN</t>
        </is>
      </c>
      <c r="E1071" t="inlineStr">
        <is>
          <t>ÖSTERSUND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7030-2025</t>
        </is>
      </c>
      <c r="B1072" s="1" t="n">
        <v>45701</v>
      </c>
      <c r="C1072" s="1" t="n">
        <v>45800</v>
      </c>
      <c r="D1072" t="inlineStr">
        <is>
          <t>JÄMTLANDS LÄN</t>
        </is>
      </c>
      <c r="E1072" t="inlineStr">
        <is>
          <t>ÖSTERSUND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7005-2025</t>
        </is>
      </c>
      <c r="B1073" s="1" t="n">
        <v>45701</v>
      </c>
      <c r="C1073" s="1" t="n">
        <v>45800</v>
      </c>
      <c r="D1073" t="inlineStr">
        <is>
          <t>JÄMTLANDS LÄN</t>
        </is>
      </c>
      <c r="E1073" t="inlineStr">
        <is>
          <t>ÖSTERSUND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7022-2025</t>
        </is>
      </c>
      <c r="B1074" s="1" t="n">
        <v>45701</v>
      </c>
      <c r="C1074" s="1" t="n">
        <v>45800</v>
      </c>
      <c r="D1074" t="inlineStr">
        <is>
          <t>JÄMTLANDS LÄN</t>
        </is>
      </c>
      <c r="E1074" t="inlineStr">
        <is>
          <t>ÖSTERSUND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7300-2025</t>
        </is>
      </c>
      <c r="B1075" s="1" t="n">
        <v>45702</v>
      </c>
      <c r="C1075" s="1" t="n">
        <v>45800</v>
      </c>
      <c r="D1075" t="inlineStr">
        <is>
          <t>JÄMTLANDS LÄN</t>
        </is>
      </c>
      <c r="E1075" t="inlineStr">
        <is>
          <t>ÖSTERSUND</t>
        </is>
      </c>
      <c r="F1075" t="inlineStr">
        <is>
          <t>SCA</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7233-2025</t>
        </is>
      </c>
      <c r="B1076" s="1" t="n">
        <v>45702</v>
      </c>
      <c r="C1076" s="1" t="n">
        <v>45800</v>
      </c>
      <c r="D1076" t="inlineStr">
        <is>
          <t>JÄMTLANDS LÄN</t>
        </is>
      </c>
      <c r="E1076" t="inlineStr">
        <is>
          <t>ÖSTERSUND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7289-2025</t>
        </is>
      </c>
      <c r="B1077" s="1" t="n">
        <v>45702</v>
      </c>
      <c r="C1077" s="1" t="n">
        <v>45800</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7549-2025</t>
        </is>
      </c>
      <c r="B1078" s="1" t="n">
        <v>45705</v>
      </c>
      <c r="C1078" s="1" t="n">
        <v>45800</v>
      </c>
      <c r="D1078" t="inlineStr">
        <is>
          <t>JÄMTLANDS LÄN</t>
        </is>
      </c>
      <c r="E1078" t="inlineStr">
        <is>
          <t>ÖSTERSUND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45800</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45800</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45800</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45800</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7938-2025</t>
        </is>
      </c>
      <c r="B1083" s="1" t="n">
        <v>45707</v>
      </c>
      <c r="C1083" s="1" t="n">
        <v>45800</v>
      </c>
      <c r="D1083" t="inlineStr">
        <is>
          <t>JÄMTLANDS LÄN</t>
        </is>
      </c>
      <c r="E1083" t="inlineStr">
        <is>
          <t>ÖSTERSUND</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7953-2025</t>
        </is>
      </c>
      <c r="B1084" s="1" t="n">
        <v>45707</v>
      </c>
      <c r="C1084" s="1" t="n">
        <v>45800</v>
      </c>
      <c r="D1084" t="inlineStr">
        <is>
          <t>JÄMTLANDS LÄN</t>
        </is>
      </c>
      <c r="E1084" t="inlineStr">
        <is>
          <t>ÖSTERSUND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7949-2025</t>
        </is>
      </c>
      <c r="B1085" s="1" t="n">
        <v>45707</v>
      </c>
      <c r="C1085" s="1" t="n">
        <v>45800</v>
      </c>
      <c r="D1085" t="inlineStr">
        <is>
          <t>JÄMTLANDS LÄN</t>
        </is>
      </c>
      <c r="E1085" t="inlineStr">
        <is>
          <t>ÖSTERSUND</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7941-2025</t>
        </is>
      </c>
      <c r="B1086" s="1" t="n">
        <v>45707</v>
      </c>
      <c r="C1086" s="1" t="n">
        <v>45800</v>
      </c>
      <c r="D1086" t="inlineStr">
        <is>
          <t>JÄMTLANDS LÄN</t>
        </is>
      </c>
      <c r="E1086" t="inlineStr">
        <is>
          <t>ÖSTERSUND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7911-2025</t>
        </is>
      </c>
      <c r="B1087" s="1" t="n">
        <v>45707</v>
      </c>
      <c r="C1087" s="1" t="n">
        <v>45800</v>
      </c>
      <c r="D1087" t="inlineStr">
        <is>
          <t>JÄMTLANDS LÄN</t>
        </is>
      </c>
      <c r="E1087" t="inlineStr">
        <is>
          <t>ÖSTERSUND</t>
        </is>
      </c>
      <c r="F1087" t="inlineStr">
        <is>
          <t>SCA</t>
        </is>
      </c>
      <c r="G1087" t="n">
        <v>17.9</v>
      </c>
      <c r="H1087" t="n">
        <v>0</v>
      </c>
      <c r="I1087" t="n">
        <v>0</v>
      </c>
      <c r="J1087" t="n">
        <v>0</v>
      </c>
      <c r="K1087" t="n">
        <v>0</v>
      </c>
      <c r="L1087" t="n">
        <v>0</v>
      </c>
      <c r="M1087" t="n">
        <v>0</v>
      </c>
      <c r="N1087" t="n">
        <v>0</v>
      </c>
      <c r="O1087" t="n">
        <v>0</v>
      </c>
      <c r="P1087" t="n">
        <v>0</v>
      </c>
      <c r="Q1087" t="n">
        <v>0</v>
      </c>
      <c r="R1087" s="2" t="inlineStr"/>
    </row>
    <row r="1088" ht="15" customHeight="1">
      <c r="A1088" t="inlineStr">
        <is>
          <t>A 7936-2025</t>
        </is>
      </c>
      <c r="B1088" s="1" t="n">
        <v>45707</v>
      </c>
      <c r="C1088" s="1" t="n">
        <v>45800</v>
      </c>
      <c r="D1088" t="inlineStr">
        <is>
          <t>JÄMTLANDS LÄN</t>
        </is>
      </c>
      <c r="E1088" t="inlineStr">
        <is>
          <t>ÖSTERSUND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8216-2025</t>
        </is>
      </c>
      <c r="B1089" s="1" t="n">
        <v>45708</v>
      </c>
      <c r="C1089" s="1" t="n">
        <v>45800</v>
      </c>
      <c r="D1089" t="inlineStr">
        <is>
          <t>JÄMTLANDS LÄN</t>
        </is>
      </c>
      <c r="E1089" t="inlineStr">
        <is>
          <t>ÖSTERSUND</t>
        </is>
      </c>
      <c r="F1089" t="inlineStr">
        <is>
          <t>Övriga Aktiebolag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8261-2025</t>
        </is>
      </c>
      <c r="B1090" s="1" t="n">
        <v>45708</v>
      </c>
      <c r="C1090" s="1" t="n">
        <v>45800</v>
      </c>
      <c r="D1090" t="inlineStr">
        <is>
          <t>JÄMTLANDS LÄN</t>
        </is>
      </c>
      <c r="E1090" t="inlineStr">
        <is>
          <t>ÖSTERSUND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8401-2025</t>
        </is>
      </c>
      <c r="B1091" s="1" t="n">
        <v>45709</v>
      </c>
      <c r="C1091" s="1" t="n">
        <v>45800</v>
      </c>
      <c r="D1091" t="inlineStr">
        <is>
          <t>JÄMTLANDS LÄN</t>
        </is>
      </c>
      <c r="E1091" t="inlineStr">
        <is>
          <t>ÖSTERSUND</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8389-2025</t>
        </is>
      </c>
      <c r="B1092" s="1" t="n">
        <v>45709</v>
      </c>
      <c r="C1092" s="1" t="n">
        <v>45800</v>
      </c>
      <c r="D1092" t="inlineStr">
        <is>
          <t>JÄMTLANDS LÄN</t>
        </is>
      </c>
      <c r="E1092" t="inlineStr">
        <is>
          <t>ÖSTERSUND</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9246-2025</t>
        </is>
      </c>
      <c r="B1093" s="1" t="n">
        <v>45714</v>
      </c>
      <c r="C1093" s="1" t="n">
        <v>45800</v>
      </c>
      <c r="D1093" t="inlineStr">
        <is>
          <t>JÄMTLANDS LÄN</t>
        </is>
      </c>
      <c r="E1093" t="inlineStr">
        <is>
          <t>ÖSTERSUND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9552-2025</t>
        </is>
      </c>
      <c r="B1094" s="1" t="n">
        <v>45715</v>
      </c>
      <c r="C1094" s="1" t="n">
        <v>45800</v>
      </c>
      <c r="D1094" t="inlineStr">
        <is>
          <t>JÄMTLANDS LÄN</t>
        </is>
      </c>
      <c r="E1094" t="inlineStr">
        <is>
          <t>ÖSTERSUND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9744-2025</t>
        </is>
      </c>
      <c r="B1095" s="1" t="n">
        <v>45716</v>
      </c>
      <c r="C1095" s="1" t="n">
        <v>45800</v>
      </c>
      <c r="D1095" t="inlineStr">
        <is>
          <t>JÄMTLANDS LÄN</t>
        </is>
      </c>
      <c r="E1095" t="inlineStr">
        <is>
          <t>ÖSTERSUND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9971-2025</t>
        </is>
      </c>
      <c r="B1096" s="1" t="n">
        <v>45719</v>
      </c>
      <c r="C1096" s="1" t="n">
        <v>45800</v>
      </c>
      <c r="D1096" t="inlineStr">
        <is>
          <t>JÄMTLANDS LÄN</t>
        </is>
      </c>
      <c r="E1096" t="inlineStr">
        <is>
          <t>ÖSTERSUND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10116-2025</t>
        </is>
      </c>
      <c r="B1097" s="1" t="n">
        <v>45719</v>
      </c>
      <c r="C1097" s="1" t="n">
        <v>45800</v>
      </c>
      <c r="D1097" t="inlineStr">
        <is>
          <t>JÄMTLANDS LÄN</t>
        </is>
      </c>
      <c r="E1097" t="inlineStr">
        <is>
          <t>ÖSTERSUND</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10266-2025</t>
        </is>
      </c>
      <c r="B1098" s="1" t="n">
        <v>45720</v>
      </c>
      <c r="C1098" s="1" t="n">
        <v>45800</v>
      </c>
      <c r="D1098" t="inlineStr">
        <is>
          <t>JÄMTLANDS LÄN</t>
        </is>
      </c>
      <c r="E1098" t="inlineStr">
        <is>
          <t>ÖSTERSUND</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10267-2025</t>
        </is>
      </c>
      <c r="B1099" s="1" t="n">
        <v>45720</v>
      </c>
      <c r="C1099" s="1" t="n">
        <v>45800</v>
      </c>
      <c r="D1099" t="inlineStr">
        <is>
          <t>JÄMTLANDS LÄN</t>
        </is>
      </c>
      <c r="E1099" t="inlineStr">
        <is>
          <t>ÖSTERSUND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10530-2025</t>
        </is>
      </c>
      <c r="B1100" s="1" t="n">
        <v>45721</v>
      </c>
      <c r="C1100" s="1" t="n">
        <v>45800</v>
      </c>
      <c r="D1100" t="inlineStr">
        <is>
          <t>JÄMTLANDS LÄN</t>
        </is>
      </c>
      <c r="E1100" t="inlineStr">
        <is>
          <t>ÖSTERSUND</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10493-2025</t>
        </is>
      </c>
      <c r="B1101" s="1" t="n">
        <v>45721</v>
      </c>
      <c r="C1101" s="1" t="n">
        <v>45800</v>
      </c>
      <c r="D1101" t="inlineStr">
        <is>
          <t>JÄMTLANDS LÄN</t>
        </is>
      </c>
      <c r="E1101" t="inlineStr">
        <is>
          <t>ÖSTERSUND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10756-2025</t>
        </is>
      </c>
      <c r="B1102" s="1" t="n">
        <v>45722</v>
      </c>
      <c r="C1102" s="1" t="n">
        <v>45800</v>
      </c>
      <c r="D1102" t="inlineStr">
        <is>
          <t>JÄMTLANDS LÄN</t>
        </is>
      </c>
      <c r="E1102" t="inlineStr">
        <is>
          <t>ÖSTERSUND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11181-2025</t>
        </is>
      </c>
      <c r="B1103" s="1" t="n">
        <v>45725</v>
      </c>
      <c r="C1103" s="1" t="n">
        <v>45800</v>
      </c>
      <c r="D1103" t="inlineStr">
        <is>
          <t>JÄMTLANDS LÄN</t>
        </is>
      </c>
      <c r="E1103" t="inlineStr">
        <is>
          <t>ÖSTERSUND</t>
        </is>
      </c>
      <c r="G1103" t="n">
        <v>15.4</v>
      </c>
      <c r="H1103" t="n">
        <v>0</v>
      </c>
      <c r="I1103" t="n">
        <v>0</v>
      </c>
      <c r="J1103" t="n">
        <v>0</v>
      </c>
      <c r="K1103" t="n">
        <v>0</v>
      </c>
      <c r="L1103" t="n">
        <v>0</v>
      </c>
      <c r="M1103" t="n">
        <v>0</v>
      </c>
      <c r="N1103" t="n">
        <v>0</v>
      </c>
      <c r="O1103" t="n">
        <v>0</v>
      </c>
      <c r="P1103" t="n">
        <v>0</v>
      </c>
      <c r="Q1103" t="n">
        <v>0</v>
      </c>
      <c r="R1103" s="2" t="inlineStr"/>
    </row>
    <row r="1104" ht="15" customHeight="1">
      <c r="A1104" t="inlineStr">
        <is>
          <t>A 11182-2025</t>
        </is>
      </c>
      <c r="B1104" s="1" t="n">
        <v>45725</v>
      </c>
      <c r="C1104" s="1" t="n">
        <v>45800</v>
      </c>
      <c r="D1104" t="inlineStr">
        <is>
          <t>JÄMTLANDS LÄN</t>
        </is>
      </c>
      <c r="E1104" t="inlineStr">
        <is>
          <t>ÖSTERSUND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12102-2025</t>
        </is>
      </c>
      <c r="B1105" s="1" t="n">
        <v>45729</v>
      </c>
      <c r="C1105" s="1" t="n">
        <v>45800</v>
      </c>
      <c r="D1105" t="inlineStr">
        <is>
          <t>JÄMTLANDS LÄN</t>
        </is>
      </c>
      <c r="E1105" t="inlineStr">
        <is>
          <t>ÖSTERSUND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12509-2025</t>
        </is>
      </c>
      <c r="B1106" s="1" t="n">
        <v>45730</v>
      </c>
      <c r="C1106" s="1" t="n">
        <v>45800</v>
      </c>
      <c r="D1106" t="inlineStr">
        <is>
          <t>JÄMTLANDS LÄN</t>
        </is>
      </c>
      <c r="E1106" t="inlineStr">
        <is>
          <t>ÖSTERSUND</t>
        </is>
      </c>
      <c r="F1106" t="inlineStr">
        <is>
          <t>SCA</t>
        </is>
      </c>
      <c r="G1106" t="n">
        <v>2</v>
      </c>
      <c r="H1106" t="n">
        <v>0</v>
      </c>
      <c r="I1106" t="n">
        <v>0</v>
      </c>
      <c r="J1106" t="n">
        <v>0</v>
      </c>
      <c r="K1106" t="n">
        <v>0</v>
      </c>
      <c r="L1106" t="n">
        <v>0</v>
      </c>
      <c r="M1106" t="n">
        <v>0</v>
      </c>
      <c r="N1106" t="n">
        <v>0</v>
      </c>
      <c r="O1106" t="n">
        <v>0</v>
      </c>
      <c r="P1106" t="n">
        <v>0</v>
      </c>
      <c r="Q1106" t="n">
        <v>0</v>
      </c>
      <c r="R1106" s="2" t="inlineStr"/>
      <c r="U1106">
        <f>HYPERLINK("https://klasma.github.io/Logging_232380/knärot/A 12509-2025 karta knärot.png", "A 12509-2025")</f>
        <v/>
      </c>
      <c r="V1106">
        <f>HYPERLINK("https://klasma.github.io/Logging_232380/klagomål/A 12509-2025 FSC-klagomål.docx", "A 12509-2025")</f>
        <v/>
      </c>
      <c r="W1106">
        <f>HYPERLINK("https://klasma.github.io/Logging_232380/klagomålsmail/A 12509-2025 FSC-klagomål mail.docx", "A 12509-2025")</f>
        <v/>
      </c>
      <c r="X1106">
        <f>HYPERLINK("https://klasma.github.io/Logging_232380/tillsyn/A 12509-2025 tillsynsbegäran.docx", "A 12509-2025")</f>
        <v/>
      </c>
      <c r="Y1106">
        <f>HYPERLINK("https://klasma.github.io/Logging_232380/tillsynsmail/A 12509-2025 tillsynsbegäran mail.docx", "A 12509-2025")</f>
        <v/>
      </c>
    </row>
    <row r="1107" ht="15" customHeight="1">
      <c r="A1107" t="inlineStr">
        <is>
          <t>A 12352-2025</t>
        </is>
      </c>
      <c r="B1107" s="1" t="n">
        <v>45730</v>
      </c>
      <c r="C1107" s="1" t="n">
        <v>45800</v>
      </c>
      <c r="D1107" t="inlineStr">
        <is>
          <t>JÄMTLANDS LÄN</t>
        </is>
      </c>
      <c r="E1107" t="inlineStr">
        <is>
          <t>ÖSTERSUND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12429-2025</t>
        </is>
      </c>
      <c r="B1108" s="1" t="n">
        <v>45730</v>
      </c>
      <c r="C1108" s="1" t="n">
        <v>45800</v>
      </c>
      <c r="D1108" t="inlineStr">
        <is>
          <t>JÄMTLANDS LÄN</t>
        </is>
      </c>
      <c r="E1108" t="inlineStr">
        <is>
          <t>ÖSTERSUND</t>
        </is>
      </c>
      <c r="F1108" t="inlineStr">
        <is>
          <t>Övriga Aktiebolag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12492-2025</t>
        </is>
      </c>
      <c r="B1109" s="1" t="n">
        <v>45730</v>
      </c>
      <c r="C1109" s="1" t="n">
        <v>45800</v>
      </c>
      <c r="D1109" t="inlineStr">
        <is>
          <t>JÄMTLANDS LÄN</t>
        </is>
      </c>
      <c r="E1109" t="inlineStr">
        <is>
          <t>ÖSTERSUND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12998-2025</t>
        </is>
      </c>
      <c r="B1110" s="1" t="n">
        <v>45734</v>
      </c>
      <c r="C1110" s="1" t="n">
        <v>45800</v>
      </c>
      <c r="D1110" t="inlineStr">
        <is>
          <t>JÄMTLANDS LÄN</t>
        </is>
      </c>
      <c r="E1110" t="inlineStr">
        <is>
          <t>ÖSTERSUND</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13651-2025</t>
        </is>
      </c>
      <c r="B1111" s="1" t="n">
        <v>45736</v>
      </c>
      <c r="C1111" s="1" t="n">
        <v>45800</v>
      </c>
      <c r="D1111" t="inlineStr">
        <is>
          <t>JÄMTLANDS LÄN</t>
        </is>
      </c>
      <c r="E1111" t="inlineStr">
        <is>
          <t>ÖSTERSUND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13655-2025</t>
        </is>
      </c>
      <c r="B1112" s="1" t="n">
        <v>45736</v>
      </c>
      <c r="C1112" s="1" t="n">
        <v>45800</v>
      </c>
      <c r="D1112" t="inlineStr">
        <is>
          <t>JÄMTLANDS LÄN</t>
        </is>
      </c>
      <c r="E1112" t="inlineStr">
        <is>
          <t>ÖSTERSUND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13738-2025</t>
        </is>
      </c>
      <c r="B1113" s="1" t="n">
        <v>45737</v>
      </c>
      <c r="C1113" s="1" t="n">
        <v>45800</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14182-2025</t>
        </is>
      </c>
      <c r="B1114" s="1" t="n">
        <v>45740</v>
      </c>
      <c r="C1114" s="1" t="n">
        <v>45800</v>
      </c>
      <c r="D1114" t="inlineStr">
        <is>
          <t>JÄMTLANDS LÄN</t>
        </is>
      </c>
      <c r="E1114" t="inlineStr">
        <is>
          <t>ÖSTERSUND</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14118-2025</t>
        </is>
      </c>
      <c r="B1115" s="1" t="n">
        <v>45740</v>
      </c>
      <c r="C1115" s="1" t="n">
        <v>45800</v>
      </c>
      <c r="D1115" t="inlineStr">
        <is>
          <t>JÄMTLANDS LÄN</t>
        </is>
      </c>
      <c r="E1115" t="inlineStr">
        <is>
          <t>ÖSTERSUND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14263-2025</t>
        </is>
      </c>
      <c r="B1116" s="1" t="n">
        <v>45740</v>
      </c>
      <c r="C1116" s="1" t="n">
        <v>45800</v>
      </c>
      <c r="D1116" t="inlineStr">
        <is>
          <t>JÄMTLANDS LÄN</t>
        </is>
      </c>
      <c r="E1116" t="inlineStr">
        <is>
          <t>ÖSTERSUND</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14514-2025</t>
        </is>
      </c>
      <c r="B1117" s="1" t="n">
        <v>45741</v>
      </c>
      <c r="C1117" s="1" t="n">
        <v>45800</v>
      </c>
      <c r="D1117" t="inlineStr">
        <is>
          <t>JÄMTLANDS LÄN</t>
        </is>
      </c>
      <c r="E1117" t="inlineStr">
        <is>
          <t>ÖSTERSUND</t>
        </is>
      </c>
      <c r="F1117" t="inlineStr">
        <is>
          <t>SCA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14529-2025</t>
        </is>
      </c>
      <c r="B1118" s="1" t="n">
        <v>45741</v>
      </c>
      <c r="C1118" s="1" t="n">
        <v>45800</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14542-2025</t>
        </is>
      </c>
      <c r="B1119" s="1" t="n">
        <v>45741</v>
      </c>
      <c r="C1119" s="1" t="n">
        <v>45800</v>
      </c>
      <c r="D1119" t="inlineStr">
        <is>
          <t>JÄMTLANDS LÄN</t>
        </is>
      </c>
      <c r="E1119" t="inlineStr">
        <is>
          <t>ÖSTERSUND</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14662-2025</t>
        </is>
      </c>
      <c r="B1120" s="1" t="n">
        <v>45742</v>
      </c>
      <c r="C1120" s="1" t="n">
        <v>45800</v>
      </c>
      <c r="D1120" t="inlineStr">
        <is>
          <t>JÄMTLANDS LÄN</t>
        </is>
      </c>
      <c r="E1120" t="inlineStr">
        <is>
          <t>ÖSTERSUND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14946-2025</t>
        </is>
      </c>
      <c r="B1121" s="1" t="n">
        <v>45743</v>
      </c>
      <c r="C1121" s="1" t="n">
        <v>45800</v>
      </c>
      <c r="D1121" t="inlineStr">
        <is>
          <t>JÄMTLANDS LÄN</t>
        </is>
      </c>
      <c r="E1121" t="inlineStr">
        <is>
          <t>ÖSTERSUND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14947-2025</t>
        </is>
      </c>
      <c r="B1122" s="1" t="n">
        <v>45743</v>
      </c>
      <c r="C1122" s="1" t="n">
        <v>45800</v>
      </c>
      <c r="D1122" t="inlineStr">
        <is>
          <t>JÄMTLANDS LÄN</t>
        </is>
      </c>
      <c r="E1122" t="inlineStr">
        <is>
          <t>ÖSTERSUND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14848-2025</t>
        </is>
      </c>
      <c r="B1123" s="1" t="n">
        <v>45743</v>
      </c>
      <c r="C1123" s="1" t="n">
        <v>45800</v>
      </c>
      <c r="D1123" t="inlineStr">
        <is>
          <t>JÄMTLANDS LÄN</t>
        </is>
      </c>
      <c r="E1123" t="inlineStr">
        <is>
          <t>ÖSTERSUND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14831-2025</t>
        </is>
      </c>
      <c r="B1124" s="1" t="n">
        <v>45743</v>
      </c>
      <c r="C1124" s="1" t="n">
        <v>45800</v>
      </c>
      <c r="D1124" t="inlineStr">
        <is>
          <t>JÄMTLANDS LÄN</t>
        </is>
      </c>
      <c r="E1124" t="inlineStr">
        <is>
          <t>ÖSTERSUND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14867-2025</t>
        </is>
      </c>
      <c r="B1125" s="1" t="n">
        <v>45743</v>
      </c>
      <c r="C1125" s="1" t="n">
        <v>45800</v>
      </c>
      <c r="D1125" t="inlineStr">
        <is>
          <t>JÄMTLANDS LÄN</t>
        </is>
      </c>
      <c r="E1125" t="inlineStr">
        <is>
          <t>ÖSTERSUND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15196-2025</t>
        </is>
      </c>
      <c r="B1126" s="1" t="n">
        <v>45744</v>
      </c>
      <c r="C1126" s="1" t="n">
        <v>45800</v>
      </c>
      <c r="D1126" t="inlineStr">
        <is>
          <t>JÄMTLANDS LÄN</t>
        </is>
      </c>
      <c r="E1126" t="inlineStr">
        <is>
          <t>ÖSTERSUND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15669-2025</t>
        </is>
      </c>
      <c r="B1127" s="1" t="n">
        <v>45748</v>
      </c>
      <c r="C1127" s="1" t="n">
        <v>45800</v>
      </c>
      <c r="D1127" t="inlineStr">
        <is>
          <t>JÄMTLANDS LÄN</t>
        </is>
      </c>
      <c r="E1127" t="inlineStr">
        <is>
          <t>ÖSTERSUND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45800</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45800</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15651-2025</t>
        </is>
      </c>
      <c r="B1130" s="1" t="n">
        <v>45748</v>
      </c>
      <c r="C1130" s="1" t="n">
        <v>45800</v>
      </c>
      <c r="D1130" t="inlineStr">
        <is>
          <t>JÄMTLANDS LÄN</t>
        </is>
      </c>
      <c r="E1130" t="inlineStr">
        <is>
          <t>ÖSTERSUND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45800</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15715-2025</t>
        </is>
      </c>
      <c r="B1132" s="1" t="n">
        <v>45748</v>
      </c>
      <c r="C1132" s="1" t="n">
        <v>45800</v>
      </c>
      <c r="D1132" t="inlineStr">
        <is>
          <t>JÄMTLANDS LÄN</t>
        </is>
      </c>
      <c r="E1132" t="inlineStr">
        <is>
          <t>ÖSTERSUND</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45800</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16131-2025</t>
        </is>
      </c>
      <c r="B1134" s="1" t="n">
        <v>45750</v>
      </c>
      <c r="C1134" s="1" t="n">
        <v>45800</v>
      </c>
      <c r="D1134" t="inlineStr">
        <is>
          <t>JÄMTLANDS LÄN</t>
        </is>
      </c>
      <c r="E1134" t="inlineStr">
        <is>
          <t>ÖSTERSUND</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45800</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45800</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45800</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16297-2025</t>
        </is>
      </c>
      <c r="B1138" s="1" t="n">
        <v>45751</v>
      </c>
      <c r="C1138" s="1" t="n">
        <v>45800</v>
      </c>
      <c r="D1138" t="inlineStr">
        <is>
          <t>JÄMTLANDS LÄN</t>
        </is>
      </c>
      <c r="E1138" t="inlineStr">
        <is>
          <t>ÖSTERSUND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45800</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45800</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16725-2025</t>
        </is>
      </c>
      <c r="B1141" s="1" t="n">
        <v>45754</v>
      </c>
      <c r="C1141" s="1" t="n">
        <v>45800</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16908-2025</t>
        </is>
      </c>
      <c r="B1142" s="1" t="n">
        <v>45755</v>
      </c>
      <c r="C1142" s="1" t="n">
        <v>45800</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17570-2025</t>
        </is>
      </c>
      <c r="B1143" s="1" t="n">
        <v>45757</v>
      </c>
      <c r="C1143" s="1" t="n">
        <v>45800</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45800</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17947-2025</t>
        </is>
      </c>
      <c r="B1145" s="1" t="n">
        <v>45760</v>
      </c>
      <c r="C1145" s="1" t="n">
        <v>45800</v>
      </c>
      <c r="D1145" t="inlineStr">
        <is>
          <t>JÄMTLANDS LÄN</t>
        </is>
      </c>
      <c r="E1145" t="inlineStr">
        <is>
          <t>ÖSTERSUND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18429-2025</t>
        </is>
      </c>
      <c r="B1146" s="1" t="n">
        <v>45762</v>
      </c>
      <c r="C1146" s="1" t="n">
        <v>45800</v>
      </c>
      <c r="D1146" t="inlineStr">
        <is>
          <t>JÄMTLANDS LÄN</t>
        </is>
      </c>
      <c r="E1146" t="inlineStr">
        <is>
          <t>ÖSTERSUND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45800</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18578-2025</t>
        </is>
      </c>
      <c r="B1148" s="1" t="n">
        <v>45763</v>
      </c>
      <c r="C1148" s="1" t="n">
        <v>45800</v>
      </c>
      <c r="D1148" t="inlineStr">
        <is>
          <t>JÄMTLANDS LÄN</t>
        </is>
      </c>
      <c r="E1148" t="inlineStr">
        <is>
          <t>ÖSTERSUND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18897-2025</t>
        </is>
      </c>
      <c r="B1149" s="1" t="n">
        <v>45764</v>
      </c>
      <c r="C1149" s="1" t="n">
        <v>45800</v>
      </c>
      <c r="D1149" t="inlineStr">
        <is>
          <t>JÄMTLANDS LÄN</t>
        </is>
      </c>
      <c r="E1149" t="inlineStr">
        <is>
          <t>ÖSTERSUND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45800</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19581-2025</t>
        </is>
      </c>
      <c r="B1151" s="1" t="n">
        <v>45770</v>
      </c>
      <c r="C1151" s="1" t="n">
        <v>45800</v>
      </c>
      <c r="D1151" t="inlineStr">
        <is>
          <t>JÄMTLANDS LÄN</t>
        </is>
      </c>
      <c r="E1151" t="inlineStr">
        <is>
          <t>ÖSTERSUND</t>
        </is>
      </c>
      <c r="G1151" t="n">
        <v>17.2</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45800</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19783-2025</t>
        </is>
      </c>
      <c r="B1153" s="1" t="n">
        <v>45771</v>
      </c>
      <c r="C1153" s="1" t="n">
        <v>45800</v>
      </c>
      <c r="D1153" t="inlineStr">
        <is>
          <t>JÄMTLANDS LÄN</t>
        </is>
      </c>
      <c r="E1153" t="inlineStr">
        <is>
          <t>ÖSTERSUND</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45800</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20674-2025</t>
        </is>
      </c>
      <c r="B1155" s="1" t="n">
        <v>45776</v>
      </c>
      <c r="C1155" s="1" t="n">
        <v>45800</v>
      </c>
      <c r="D1155" t="inlineStr">
        <is>
          <t>JÄMTLANDS LÄN</t>
        </is>
      </c>
      <c r="E1155" t="inlineStr">
        <is>
          <t>ÖSTERSUND</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45800</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45800</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21237-2025</t>
        </is>
      </c>
      <c r="B1158" s="1" t="n">
        <v>45779</v>
      </c>
      <c r="C1158" s="1" t="n">
        <v>45800</v>
      </c>
      <c r="D1158" t="inlineStr">
        <is>
          <t>JÄMTLANDS LÄN</t>
        </is>
      </c>
      <c r="E1158" t="inlineStr">
        <is>
          <t>ÖSTERSUND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21236-2025</t>
        </is>
      </c>
      <c r="B1159" s="1" t="n">
        <v>45779</v>
      </c>
      <c r="C1159" s="1" t="n">
        <v>45800</v>
      </c>
      <c r="D1159" t="inlineStr">
        <is>
          <t>JÄMTLANDS LÄN</t>
        </is>
      </c>
      <c r="E1159" t="inlineStr">
        <is>
          <t>ÖSTERSUND</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45800</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21704-2025</t>
        </is>
      </c>
      <c r="B1161" s="1" t="n">
        <v>45783</v>
      </c>
      <c r="C1161" s="1" t="n">
        <v>45800</v>
      </c>
      <c r="D1161" t="inlineStr">
        <is>
          <t>JÄMTLANDS LÄN</t>
        </is>
      </c>
      <c r="E1161" t="inlineStr">
        <is>
          <t>ÖSTERSUND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22384-2025</t>
        </is>
      </c>
      <c r="B1162" s="1" t="n">
        <v>45786</v>
      </c>
      <c r="C1162" s="1" t="n">
        <v>45800</v>
      </c>
      <c r="D1162" t="inlineStr">
        <is>
          <t>JÄMTLANDS LÄN</t>
        </is>
      </c>
      <c r="E1162" t="inlineStr">
        <is>
          <t>ÖSTERSUND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22713-2025</t>
        </is>
      </c>
      <c r="B1163" s="1" t="n">
        <v>45789</v>
      </c>
      <c r="C1163" s="1" t="n">
        <v>45800</v>
      </c>
      <c r="D1163" t="inlineStr">
        <is>
          <t>JÄMTLANDS LÄN</t>
        </is>
      </c>
      <c r="E1163" t="inlineStr">
        <is>
          <t>ÖSTERSUND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22612-2025</t>
        </is>
      </c>
      <c r="B1164" s="1" t="n">
        <v>45789</v>
      </c>
      <c r="C1164" s="1" t="n">
        <v>45800</v>
      </c>
      <c r="D1164" t="inlineStr">
        <is>
          <t>JÄMTLANDS LÄN</t>
        </is>
      </c>
      <c r="E1164" t="inlineStr">
        <is>
          <t>ÖSTERSUND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22822-2025</t>
        </is>
      </c>
      <c r="B1165" s="1" t="n">
        <v>45789</v>
      </c>
      <c r="C1165" s="1" t="n">
        <v>45800</v>
      </c>
      <c r="D1165" t="inlineStr">
        <is>
          <t>JÄMTLANDS LÄN</t>
        </is>
      </c>
      <c r="E1165" t="inlineStr">
        <is>
          <t>ÖSTERSUND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45800</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22920-2025</t>
        </is>
      </c>
      <c r="B1167" s="1" t="n">
        <v>45790</v>
      </c>
      <c r="C1167" s="1" t="n">
        <v>45800</v>
      </c>
      <c r="D1167" t="inlineStr">
        <is>
          <t>JÄMTLANDS LÄN</t>
        </is>
      </c>
      <c r="E1167" t="inlineStr">
        <is>
          <t>ÖSTERSUND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45800</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23100-2025</t>
        </is>
      </c>
      <c r="B1169" s="1" t="n">
        <v>45791</v>
      </c>
      <c r="C1169" s="1" t="n">
        <v>45800</v>
      </c>
      <c r="D1169" t="inlineStr">
        <is>
          <t>JÄMTLANDS LÄN</t>
        </is>
      </c>
      <c r="E1169" t="inlineStr">
        <is>
          <t>ÖSTERSUND</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23110-2025</t>
        </is>
      </c>
      <c r="B1170" s="1" t="n">
        <v>45791</v>
      </c>
      <c r="C1170" s="1" t="n">
        <v>45800</v>
      </c>
      <c r="D1170" t="inlineStr">
        <is>
          <t>JÄMTLANDS LÄN</t>
        </is>
      </c>
      <c r="E1170" t="inlineStr">
        <is>
          <t>ÖSTERSUND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23078-2025</t>
        </is>
      </c>
      <c r="B1171" s="1" t="n">
        <v>45791</v>
      </c>
      <c r="C1171" s="1" t="n">
        <v>45800</v>
      </c>
      <c r="D1171" t="inlineStr">
        <is>
          <t>JÄMTLANDS LÄN</t>
        </is>
      </c>
      <c r="E1171" t="inlineStr">
        <is>
          <t>ÖSTERSUND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23249-2025</t>
        </is>
      </c>
      <c r="B1172" s="1" t="n">
        <v>45791</v>
      </c>
      <c r="C1172" s="1" t="n">
        <v>45800</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23877-2025</t>
        </is>
      </c>
      <c r="B1173" s="1" t="n">
        <v>45793</v>
      </c>
      <c r="C1173" s="1" t="n">
        <v>45800</v>
      </c>
      <c r="D1173" t="inlineStr">
        <is>
          <t>JÄMTLANDS LÄN</t>
        </is>
      </c>
      <c r="E1173" t="inlineStr">
        <is>
          <t>ÖSTERSUND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24091-2025</t>
        </is>
      </c>
      <c r="B1174" s="1" t="n">
        <v>45796</v>
      </c>
      <c r="C1174" s="1" t="n">
        <v>45800</v>
      </c>
      <c r="D1174" t="inlineStr">
        <is>
          <t>JÄMTLANDS LÄN</t>
        </is>
      </c>
      <c r="E1174" t="inlineStr">
        <is>
          <t>ÖSTERSUND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24403-2025</t>
        </is>
      </c>
      <c r="B1175" s="1" t="n">
        <v>45797</v>
      </c>
      <c r="C1175" s="1" t="n">
        <v>45800</v>
      </c>
      <c r="D1175" t="inlineStr">
        <is>
          <t>JÄMTLANDS LÄN</t>
        </is>
      </c>
      <c r="E1175" t="inlineStr">
        <is>
          <t>ÖSTERSUND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24368-2025</t>
        </is>
      </c>
      <c r="B1176" s="1" t="n">
        <v>45797</v>
      </c>
      <c r="C1176" s="1" t="n">
        <v>45800</v>
      </c>
      <c r="D1176" t="inlineStr">
        <is>
          <t>JÄMTLANDS LÄN</t>
        </is>
      </c>
      <c r="E1176" t="inlineStr">
        <is>
          <t>ÖSTERSUND</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24523-2025</t>
        </is>
      </c>
      <c r="B1177" s="1" t="n">
        <v>45798</v>
      </c>
      <c r="C1177" s="1" t="n">
        <v>45800</v>
      </c>
      <c r="D1177" t="inlineStr">
        <is>
          <t>JÄMTLANDS LÄN</t>
        </is>
      </c>
      <c r="E1177" t="inlineStr">
        <is>
          <t>ÖSTERSUND</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24568-2025</t>
        </is>
      </c>
      <c r="B1178" s="1" t="n">
        <v>45798</v>
      </c>
      <c r="C1178" s="1" t="n">
        <v>45800</v>
      </c>
      <c r="D1178" t="inlineStr">
        <is>
          <t>JÄMTLANDS LÄN</t>
        </is>
      </c>
      <c r="E1178" t="inlineStr">
        <is>
          <t>ÖSTERSUND</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24725-2025</t>
        </is>
      </c>
      <c r="B1179" s="1" t="n">
        <v>45799</v>
      </c>
      <c r="C1179" s="1" t="n">
        <v>45800</v>
      </c>
      <c r="D1179" t="inlineStr">
        <is>
          <t>JÄMTLANDS LÄN</t>
        </is>
      </c>
      <c r="E1179" t="inlineStr">
        <is>
          <t>ÖSTERSUND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25058-2025</t>
        </is>
      </c>
      <c r="B1180" s="1" t="n">
        <v>45799</v>
      </c>
      <c r="C1180" s="1" t="n">
        <v>45800</v>
      </c>
      <c r="D1180" t="inlineStr">
        <is>
          <t>JÄMTLANDS LÄN</t>
        </is>
      </c>
      <c r="E1180" t="inlineStr">
        <is>
          <t>ÖSTERSUND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25069-2025</t>
        </is>
      </c>
      <c r="B1181" s="1" t="n">
        <v>45799</v>
      </c>
      <c r="C1181" s="1" t="n">
        <v>45800</v>
      </c>
      <c r="D1181" t="inlineStr">
        <is>
          <t>JÄMTLANDS LÄN</t>
        </is>
      </c>
      <c r="E1181" t="inlineStr">
        <is>
          <t>ÖSTERSUND</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24946-2025</t>
        </is>
      </c>
      <c r="B1182" s="1" t="n">
        <v>45799</v>
      </c>
      <c r="C1182" s="1" t="n">
        <v>45800</v>
      </c>
      <c r="D1182" t="inlineStr">
        <is>
          <t>JÄMTLANDS LÄN</t>
        </is>
      </c>
      <c r="E1182" t="inlineStr">
        <is>
          <t>ÖSTERSUND</t>
        </is>
      </c>
      <c r="G1182" t="n">
        <v>4.8</v>
      </c>
      <c r="H1182" t="n">
        <v>0</v>
      </c>
      <c r="I1182" t="n">
        <v>0</v>
      </c>
      <c r="J1182" t="n">
        <v>0</v>
      </c>
      <c r="K1182" t="n">
        <v>0</v>
      </c>
      <c r="L1182" t="n">
        <v>0</v>
      </c>
      <c r="M1182" t="n">
        <v>0</v>
      </c>
      <c r="N1182" t="n">
        <v>0</v>
      </c>
      <c r="O1182" t="n">
        <v>0</v>
      </c>
      <c r="P1182" t="n">
        <v>0</v>
      </c>
      <c r="Q1182" t="n">
        <v>0</v>
      </c>
      <c r="R1182" s="2" t="inlineStr"/>
    </row>
    <row r="1183">
      <c r="A1183" t="inlineStr">
        <is>
          <t>A 25059-2025</t>
        </is>
      </c>
      <c r="B1183" s="1" t="n">
        <v>45799</v>
      </c>
      <c r="C1183" s="1" t="n">
        <v>45800</v>
      </c>
      <c r="D1183" t="inlineStr">
        <is>
          <t>JÄMTLANDS LÄN</t>
        </is>
      </c>
      <c r="E1183" t="inlineStr">
        <is>
          <t>ÖSTERSUND</t>
        </is>
      </c>
      <c r="G1183" t="n">
        <v>2.7</v>
      </c>
      <c r="H1183" t="n">
        <v>0</v>
      </c>
      <c r="I1183" t="n">
        <v>0</v>
      </c>
      <c r="J1183" t="n">
        <v>0</v>
      </c>
      <c r="K1183" t="n">
        <v>0</v>
      </c>
      <c r="L1183" t="n">
        <v>0</v>
      </c>
      <c r="M1183" t="n">
        <v>0</v>
      </c>
      <c r="N1183" t="n">
        <v>0</v>
      </c>
      <c r="O1183" t="n">
        <v>0</v>
      </c>
      <c r="P1183" t="n">
        <v>0</v>
      </c>
      <c r="Q1183" t="n">
        <v>0</v>
      </c>
      <c r="R1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2025-05-23T18:08:32Z</dcterms:created>
  <dcterms:modified xmlns:dcterms="http://purl.org/dc/terms/" xmlns:xsi="http://www.w3.org/2001/XMLSchema-instance" xsi:type="dcterms:W3CDTF">2025-05-23T18:08:33Z</dcterms:modified>
</cp:coreProperties>
</file>