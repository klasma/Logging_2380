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46200</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46200</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46200</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46200</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23145-2026</t>
        </is>
      </c>
      <c r="B6" s="1" t="n">
        <v>46161</v>
      </c>
      <c r="C6" s="1" t="n">
        <v>46200</v>
      </c>
      <c r="D6" t="inlineStr">
        <is>
          <t>JÄMTLANDS LÄN</t>
        </is>
      </c>
      <c r="E6" t="inlineStr">
        <is>
          <t>ÖSTERSUND</t>
        </is>
      </c>
      <c r="G6" t="n">
        <v>25.5</v>
      </c>
      <c r="H6" t="n">
        <v>6</v>
      </c>
      <c r="I6" t="n">
        <v>9</v>
      </c>
      <c r="J6" t="n">
        <v>14</v>
      </c>
      <c r="K6" t="n">
        <v>2</v>
      </c>
      <c r="L6" t="n">
        <v>0</v>
      </c>
      <c r="M6" t="n">
        <v>0</v>
      </c>
      <c r="N6" t="n">
        <v>0</v>
      </c>
      <c r="O6" t="n">
        <v>16</v>
      </c>
      <c r="P6" t="n">
        <v>2</v>
      </c>
      <c r="Q6" t="n">
        <v>32</v>
      </c>
      <c r="R6"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6">
        <f>HYPERLINK("https://klasma.github.io/Logging_2380/artfynd/A 23145-2026 artfynd.xlsx", "A 23145-2026")</f>
        <v/>
      </c>
      <c r="T6">
        <f>HYPERLINK("https://klasma.github.io/Logging_2380/kartor/A 23145-2026 karta.png", "A 23145-2026")</f>
        <v/>
      </c>
      <c r="U6">
        <f>HYPERLINK("https://klasma.github.io/Logging_2380/knärot/A 23145-2026 karta knärot.png", "A 23145-2026")</f>
        <v/>
      </c>
      <c r="V6">
        <f>HYPERLINK("https://klasma.github.io/Logging_2380/klagomål/A 23145-2026 FSC-klagomål.docx", "A 23145-2026")</f>
        <v/>
      </c>
      <c r="W6">
        <f>HYPERLINK("https://klasma.github.io/Logging_2380/klagomålsmail/A 23145-2026 FSC-klagomål mail.docx", "A 23145-2026")</f>
        <v/>
      </c>
      <c r="X6">
        <f>HYPERLINK("https://klasma.github.io/Logging_2380/tillsyn/A 23145-2026 tillsynsbegäran.docx", "A 23145-2026")</f>
        <v/>
      </c>
      <c r="Y6">
        <f>HYPERLINK("https://klasma.github.io/Logging_2380/tillsynsmail/A 23145-2026 tillsynsbegäran mail.docx", "A 23145-2026")</f>
        <v/>
      </c>
      <c r="Z6">
        <f>HYPERLINK("https://klasma.github.io/Logging_2380/fåglar/A 23145-2026 prioriterade fågelarter.docx", "A 23145-2026")</f>
        <v/>
      </c>
    </row>
    <row r="7" ht="15" customHeight="1">
      <c r="A7" t="inlineStr">
        <is>
          <t>A 14184-2026</t>
        </is>
      </c>
      <c r="B7" s="1" t="n">
        <v>46099</v>
      </c>
      <c r="C7" s="1" t="n">
        <v>46200</v>
      </c>
      <c r="D7" t="inlineStr">
        <is>
          <t>JÄMTLANDS LÄN</t>
        </is>
      </c>
      <c r="E7" t="inlineStr">
        <is>
          <t>ÖSTERSUND</t>
        </is>
      </c>
      <c r="G7" t="n">
        <v>4.4</v>
      </c>
      <c r="H7" t="n">
        <v>6</v>
      </c>
      <c r="I7" t="n">
        <v>6</v>
      </c>
      <c r="J7" t="n">
        <v>14</v>
      </c>
      <c r="K7" t="n">
        <v>5</v>
      </c>
      <c r="L7" t="n">
        <v>0</v>
      </c>
      <c r="M7" t="n">
        <v>0</v>
      </c>
      <c r="N7" t="n">
        <v>0</v>
      </c>
      <c r="O7" t="n">
        <v>19</v>
      </c>
      <c r="P7" t="n">
        <v>5</v>
      </c>
      <c r="Q7" t="n">
        <v>28</v>
      </c>
      <c r="R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7">
        <f>HYPERLINK("https://klasma.github.io/Logging_2380/artfynd/A 14184-2026 artfynd.xlsx", "A 14184-2026")</f>
        <v/>
      </c>
      <c r="T7">
        <f>HYPERLINK("https://klasma.github.io/Logging_2380/kartor/A 14184-2026 karta.png", "A 14184-2026")</f>
        <v/>
      </c>
      <c r="U7">
        <f>HYPERLINK("https://klasma.github.io/Logging_2380/knärot/A 14184-2026 karta knärot.png", "A 14184-2026")</f>
        <v/>
      </c>
      <c r="V7">
        <f>HYPERLINK("https://klasma.github.io/Logging_2380/klagomål/A 14184-2026 FSC-klagomål.docx", "A 14184-2026")</f>
        <v/>
      </c>
      <c r="W7">
        <f>HYPERLINK("https://klasma.github.io/Logging_2380/klagomålsmail/A 14184-2026 FSC-klagomål mail.docx", "A 14184-2026")</f>
        <v/>
      </c>
      <c r="X7">
        <f>HYPERLINK("https://klasma.github.io/Logging_2380/tillsyn/A 14184-2026 tillsynsbegäran.docx", "A 14184-2026")</f>
        <v/>
      </c>
      <c r="Y7">
        <f>HYPERLINK("https://klasma.github.io/Logging_2380/tillsynsmail/A 14184-2026 tillsynsbegäran mail.docx", "A 14184-2026")</f>
        <v/>
      </c>
      <c r="Z7">
        <f>HYPERLINK("https://klasma.github.io/Logging_2380/fåglar/A 14184-2026 prioriterade fågelarter.docx", "A 14184-2026")</f>
        <v/>
      </c>
    </row>
    <row r="8" ht="15" customHeight="1">
      <c r="A8" t="inlineStr">
        <is>
          <t>A 12943-2022</t>
        </is>
      </c>
      <c r="B8" s="1" t="n">
        <v>44642</v>
      </c>
      <c r="C8" s="1" t="n">
        <v>46200</v>
      </c>
      <c r="D8" t="inlineStr">
        <is>
          <t>JÄMTLANDS LÄN</t>
        </is>
      </c>
      <c r="E8" t="inlineStr">
        <is>
          <t>ÖSTERSUND</t>
        </is>
      </c>
      <c r="G8" t="n">
        <v>10</v>
      </c>
      <c r="H8" t="n">
        <v>7</v>
      </c>
      <c r="I8" t="n">
        <v>9</v>
      </c>
      <c r="J8" t="n">
        <v>9</v>
      </c>
      <c r="K8" t="n">
        <v>2</v>
      </c>
      <c r="L8" t="n">
        <v>1</v>
      </c>
      <c r="M8" t="n">
        <v>0</v>
      </c>
      <c r="N8" t="n">
        <v>0</v>
      </c>
      <c r="O8" t="n">
        <v>12</v>
      </c>
      <c r="P8" t="n">
        <v>3</v>
      </c>
      <c r="Q8" t="n">
        <v>23</v>
      </c>
      <c r="R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48059-2025</t>
        </is>
      </c>
      <c r="B9" s="1" t="n">
        <v>45932</v>
      </c>
      <c r="C9" s="1" t="n">
        <v>46200</v>
      </c>
      <c r="D9" t="inlineStr">
        <is>
          <t>JÄMTLANDS LÄN</t>
        </is>
      </c>
      <c r="E9" t="inlineStr">
        <is>
          <t>ÖSTERSUND</t>
        </is>
      </c>
      <c r="G9" t="n">
        <v>12.2</v>
      </c>
      <c r="H9" t="n">
        <v>6</v>
      </c>
      <c r="I9" t="n">
        <v>5</v>
      </c>
      <c r="J9" t="n">
        <v>12</v>
      </c>
      <c r="K9" t="n">
        <v>2</v>
      </c>
      <c r="L9" t="n">
        <v>0</v>
      </c>
      <c r="M9" t="n">
        <v>0</v>
      </c>
      <c r="N9" t="n">
        <v>0</v>
      </c>
      <c r="O9" t="n">
        <v>14</v>
      </c>
      <c r="P9" t="n">
        <v>2</v>
      </c>
      <c r="Q9" t="n">
        <v>22</v>
      </c>
      <c r="R9" s="2" t="inlineStr">
        <is>
          <t>Garnlav
Knärot
Brunpudrad nållav
Gammelgransskål
Harticka
Liten svartspik
Lunglav
Rynkskinn
Skogshare
Skrovellav
Talltita
Tretåig hackspett
Ullticka
Vitgrynig nållav
Korallblylav
Luddlav
Stuplav
Trådticka
Vedticka
Blåsippa
Spillkråka
Tjäder</t>
        </is>
      </c>
      <c r="S9">
        <f>HYPERLINK("https://klasma.github.io/Logging_2380/artfynd/A 48059-2025 artfynd.xlsx", "A 48059-2025")</f>
        <v/>
      </c>
      <c r="T9">
        <f>HYPERLINK("https://klasma.github.io/Logging_2380/kartor/A 48059-2025 karta.png", "A 48059-2025")</f>
        <v/>
      </c>
      <c r="U9">
        <f>HYPERLINK("https://klasma.github.io/Logging_2380/knärot/A 48059-2025 karta knärot.png", "A 48059-2025")</f>
        <v/>
      </c>
      <c r="V9">
        <f>HYPERLINK("https://klasma.github.io/Logging_2380/klagomål/A 48059-2025 FSC-klagomål.docx", "A 48059-2025")</f>
        <v/>
      </c>
      <c r="W9">
        <f>HYPERLINK("https://klasma.github.io/Logging_2380/klagomålsmail/A 48059-2025 FSC-klagomål mail.docx", "A 48059-2025")</f>
        <v/>
      </c>
      <c r="X9">
        <f>HYPERLINK("https://klasma.github.io/Logging_2380/tillsyn/A 48059-2025 tillsynsbegäran.docx", "A 48059-2025")</f>
        <v/>
      </c>
      <c r="Y9">
        <f>HYPERLINK("https://klasma.github.io/Logging_2380/tillsynsmail/A 48059-2025 tillsynsbegäran mail.docx", "A 48059-2025")</f>
        <v/>
      </c>
      <c r="Z9">
        <f>HYPERLINK("https://klasma.github.io/Logging_2380/fåglar/A 48059-2025 prioriterade fågelarter.docx", "A 48059-2025")</f>
        <v/>
      </c>
    </row>
    <row r="10" ht="15" customHeight="1">
      <c r="A10" t="inlineStr">
        <is>
          <t>A 14960-2026</t>
        </is>
      </c>
      <c r="B10" s="1" t="n">
        <v>46104</v>
      </c>
      <c r="C10" s="1" t="n">
        <v>46200</v>
      </c>
      <c r="D10" t="inlineStr">
        <is>
          <t>JÄMTLANDS LÄN</t>
        </is>
      </c>
      <c r="E10" t="inlineStr">
        <is>
          <t>ÖSTERSUND</t>
        </is>
      </c>
      <c r="G10" t="n">
        <v>14.8</v>
      </c>
      <c r="H10" t="n">
        <v>8</v>
      </c>
      <c r="I10" t="n">
        <v>7</v>
      </c>
      <c r="J10" t="n">
        <v>7</v>
      </c>
      <c r="K10" t="n">
        <v>2</v>
      </c>
      <c r="L10" t="n">
        <v>0</v>
      </c>
      <c r="M10" t="n">
        <v>0</v>
      </c>
      <c r="N10" t="n">
        <v>0</v>
      </c>
      <c r="O10" t="n">
        <v>9</v>
      </c>
      <c r="P10" t="n">
        <v>2</v>
      </c>
      <c r="Q10" t="n">
        <v>22</v>
      </c>
      <c r="R10" s="2" t="inlineStr">
        <is>
          <t>Garnlav
Knärot
Björktrast
Enkelbeckasin
Harticka
Lunglav
Rödvingetrast
Skrovellav
Tretåig hackspett
Bårdlav
Luddlav
Norrlandslav
Skinnlav
Stuplav
Tibast
Ögonpyrola
Blåsippa
Kransmossa
Linnea
Sälg
Kungsfågel
Revlummer</t>
        </is>
      </c>
      <c r="S10">
        <f>HYPERLINK("https://klasma.github.io/Logging_2380/artfynd/A 14960-2026 artfynd.xlsx", "A 14960-2026")</f>
        <v/>
      </c>
      <c r="T10">
        <f>HYPERLINK("https://klasma.github.io/Logging_2380/kartor/A 14960-2026 karta.png", "A 14960-2026")</f>
        <v/>
      </c>
      <c r="U10">
        <f>HYPERLINK("https://klasma.github.io/Logging_2380/knärot/A 14960-2026 karta knärot.png", "A 14960-2026")</f>
        <v/>
      </c>
      <c r="V10">
        <f>HYPERLINK("https://klasma.github.io/Logging_2380/klagomål/A 14960-2026 FSC-klagomål.docx", "A 14960-2026")</f>
        <v/>
      </c>
      <c r="W10">
        <f>HYPERLINK("https://klasma.github.io/Logging_2380/klagomålsmail/A 14960-2026 FSC-klagomål mail.docx", "A 14960-2026")</f>
        <v/>
      </c>
      <c r="X10">
        <f>HYPERLINK("https://klasma.github.io/Logging_2380/tillsyn/A 14960-2026 tillsynsbegäran.docx", "A 14960-2026")</f>
        <v/>
      </c>
      <c r="Y10">
        <f>HYPERLINK("https://klasma.github.io/Logging_2380/tillsynsmail/A 14960-2026 tillsynsbegäran mail.docx", "A 14960-2026")</f>
        <v/>
      </c>
      <c r="Z10">
        <f>HYPERLINK("https://klasma.github.io/Logging_2380/fåglar/A 14960-2026 prioriterade fågelarter.docx", "A 14960-2026")</f>
        <v/>
      </c>
    </row>
    <row r="11" ht="15" customHeight="1">
      <c r="A11" t="inlineStr">
        <is>
          <t>A 50126-2024</t>
        </is>
      </c>
      <c r="B11" s="1" t="n">
        <v>45600</v>
      </c>
      <c r="C11" s="1" t="n">
        <v>46200</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16101-2026</t>
        </is>
      </c>
      <c r="B12" s="1" t="n">
        <v>46108</v>
      </c>
      <c r="C12" s="1" t="n">
        <v>46200</v>
      </c>
      <c r="D12" t="inlineStr">
        <is>
          <t>JÄMTLANDS LÄN</t>
        </is>
      </c>
      <c r="E12" t="inlineStr">
        <is>
          <t>ÖSTERSUND</t>
        </is>
      </c>
      <c r="G12" t="n">
        <v>19.8</v>
      </c>
      <c r="H12" t="n">
        <v>4</v>
      </c>
      <c r="I12" t="n">
        <v>3</v>
      </c>
      <c r="J12" t="n">
        <v>11</v>
      </c>
      <c r="K12" t="n">
        <v>5</v>
      </c>
      <c r="L12" t="n">
        <v>0</v>
      </c>
      <c r="M12" t="n">
        <v>0</v>
      </c>
      <c r="N12" t="n">
        <v>0</v>
      </c>
      <c r="O12" t="n">
        <v>16</v>
      </c>
      <c r="P12" t="n">
        <v>5</v>
      </c>
      <c r="Q12" t="n">
        <v>21</v>
      </c>
      <c r="R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2">
        <f>HYPERLINK("https://klasma.github.io/Logging_2380/artfynd/A 16101-2026 artfynd.xlsx", "A 16101-2026")</f>
        <v/>
      </c>
      <c r="T12">
        <f>HYPERLINK("https://klasma.github.io/Logging_2380/kartor/A 16101-2026 karta.png", "A 16101-2026")</f>
        <v/>
      </c>
      <c r="V12">
        <f>HYPERLINK("https://klasma.github.io/Logging_2380/klagomål/A 16101-2026 FSC-klagomål.docx", "A 16101-2026")</f>
        <v/>
      </c>
      <c r="W12">
        <f>HYPERLINK("https://klasma.github.io/Logging_2380/klagomålsmail/A 16101-2026 FSC-klagomål mail.docx", "A 16101-2026")</f>
        <v/>
      </c>
      <c r="X12">
        <f>HYPERLINK("https://klasma.github.io/Logging_2380/tillsyn/A 16101-2026 tillsynsbegäran.docx", "A 16101-2026")</f>
        <v/>
      </c>
      <c r="Y12">
        <f>HYPERLINK("https://klasma.github.io/Logging_2380/tillsynsmail/A 16101-2026 tillsynsbegäran mail.docx", "A 16101-2026")</f>
        <v/>
      </c>
      <c r="Z12">
        <f>HYPERLINK("https://klasma.github.io/Logging_2380/fåglar/A 16101-2026 prioriterade fågelarter.docx", "A 16101-2026")</f>
        <v/>
      </c>
    </row>
    <row r="13" ht="15" customHeight="1">
      <c r="A13" t="inlineStr">
        <is>
          <t>A 58266-2025</t>
        </is>
      </c>
      <c r="B13" s="1" t="n">
        <v>45985</v>
      </c>
      <c r="C13" s="1" t="n">
        <v>46200</v>
      </c>
      <c r="D13" t="inlineStr">
        <is>
          <t>JÄMTLANDS LÄN</t>
        </is>
      </c>
      <c r="E13" t="inlineStr">
        <is>
          <t>ÖSTERSUND</t>
        </is>
      </c>
      <c r="G13" t="n">
        <v>17.4</v>
      </c>
      <c r="H13" t="n">
        <v>5</v>
      </c>
      <c r="I13" t="n">
        <v>7</v>
      </c>
      <c r="J13" t="n">
        <v>8</v>
      </c>
      <c r="K13" t="n">
        <v>4</v>
      </c>
      <c r="L13" t="n">
        <v>0</v>
      </c>
      <c r="M13" t="n">
        <v>0</v>
      </c>
      <c r="N13" t="n">
        <v>0</v>
      </c>
      <c r="O13" t="n">
        <v>12</v>
      </c>
      <c r="P13" t="n">
        <v>4</v>
      </c>
      <c r="Q13" t="n">
        <v>21</v>
      </c>
      <c r="R13" s="2" t="inlineStr">
        <is>
          <t>Blackticka
Garnlav
Gränsticka
Knärot
Kortskaftad ärgspik
Lunglav
Rosenticka
Stjärntagging
Talltita
Tretåig hackspett
Ullticka
Vitgrynig nållav
Kransrams
Stuplav
Svart trolldruva
Svavelriska
Tibast
Trådticka
Underviol
Blåsippa
Gråspett</t>
        </is>
      </c>
      <c r="S13">
        <f>HYPERLINK("https://klasma.github.io/Logging_2380/artfynd/A 58266-2025 artfynd.xlsx", "A 58266-2025")</f>
        <v/>
      </c>
      <c r="T13">
        <f>HYPERLINK("https://klasma.github.io/Logging_2380/kartor/A 58266-2025 karta.png", "A 58266-2025")</f>
        <v/>
      </c>
      <c r="U13">
        <f>HYPERLINK("https://klasma.github.io/Logging_2380/knärot/A 58266-2025 karta knärot.png", "A 58266-2025")</f>
        <v/>
      </c>
      <c r="V13">
        <f>HYPERLINK("https://klasma.github.io/Logging_2380/klagomål/A 58266-2025 FSC-klagomål.docx", "A 58266-2025")</f>
        <v/>
      </c>
      <c r="W13">
        <f>HYPERLINK("https://klasma.github.io/Logging_2380/klagomålsmail/A 58266-2025 FSC-klagomål mail.docx", "A 58266-2025")</f>
        <v/>
      </c>
      <c r="X13">
        <f>HYPERLINK("https://klasma.github.io/Logging_2380/tillsyn/A 58266-2025 tillsynsbegäran.docx", "A 58266-2025")</f>
        <v/>
      </c>
      <c r="Y13">
        <f>HYPERLINK("https://klasma.github.io/Logging_2380/tillsynsmail/A 58266-2025 tillsynsbegäran mail.docx", "A 58266-2025")</f>
        <v/>
      </c>
      <c r="Z13">
        <f>HYPERLINK("https://klasma.github.io/Logging_2380/fåglar/A 58266-2025 prioriterade fågelarter.docx", "A 58266-2025")</f>
        <v/>
      </c>
    </row>
    <row r="14" ht="15" customHeight="1">
      <c r="A14" t="inlineStr">
        <is>
          <t>A 45985-2025</t>
        </is>
      </c>
      <c r="B14" s="1" t="n">
        <v>45924</v>
      </c>
      <c r="C14" s="1" t="n">
        <v>46200</v>
      </c>
      <c r="D14" t="inlineStr">
        <is>
          <t>JÄMTLANDS LÄN</t>
        </is>
      </c>
      <c r="E14" t="inlineStr">
        <is>
          <t>ÖSTERSUND</t>
        </is>
      </c>
      <c r="G14" t="n">
        <v>11.8</v>
      </c>
      <c r="H14" t="n">
        <v>8</v>
      </c>
      <c r="I14" t="n">
        <v>7</v>
      </c>
      <c r="J14" t="n">
        <v>7</v>
      </c>
      <c r="K14" t="n">
        <v>3</v>
      </c>
      <c r="L14" t="n">
        <v>0</v>
      </c>
      <c r="M14" t="n">
        <v>0</v>
      </c>
      <c r="N14" t="n">
        <v>0</v>
      </c>
      <c r="O14" t="n">
        <v>10</v>
      </c>
      <c r="P14" t="n">
        <v>3</v>
      </c>
      <c r="Q14" t="n">
        <v>20</v>
      </c>
      <c r="R14" s="2" t="inlineStr">
        <is>
          <t>Blackticka
Garnlav
Knärot
Lunglav
Rosenticka
Rynkskinn
Skrovellav
Talltita
Tretåig hackspett
Ullticka
Grönkulla
Korallrot
Kransrams
Luddlav
Svavelriska
Trådticka
Underviol
Blåsippa
Spillkråka
Revlummer</t>
        </is>
      </c>
      <c r="S14">
        <f>HYPERLINK("https://klasma.github.io/Logging_2380/artfynd/A 45985-2025 artfynd.xlsx", "A 45985-2025")</f>
        <v/>
      </c>
      <c r="T14">
        <f>HYPERLINK("https://klasma.github.io/Logging_2380/kartor/A 45985-2025 karta.png", "A 45985-2025")</f>
        <v/>
      </c>
      <c r="U14">
        <f>HYPERLINK("https://klasma.github.io/Logging_2380/knärot/A 45985-2025 karta knärot.png", "A 45985-2025")</f>
        <v/>
      </c>
      <c r="V14">
        <f>HYPERLINK("https://klasma.github.io/Logging_2380/klagomål/A 45985-2025 FSC-klagomål.docx", "A 45985-2025")</f>
        <v/>
      </c>
      <c r="W14">
        <f>HYPERLINK("https://klasma.github.io/Logging_2380/klagomålsmail/A 45985-2025 FSC-klagomål mail.docx", "A 45985-2025")</f>
        <v/>
      </c>
      <c r="X14">
        <f>HYPERLINK("https://klasma.github.io/Logging_2380/tillsyn/A 45985-2025 tillsynsbegäran.docx", "A 45985-2025")</f>
        <v/>
      </c>
      <c r="Y14">
        <f>HYPERLINK("https://klasma.github.io/Logging_2380/tillsynsmail/A 45985-2025 tillsynsbegäran mail.docx", "A 45985-2025")</f>
        <v/>
      </c>
      <c r="Z14">
        <f>HYPERLINK("https://klasma.github.io/Logging_2380/fåglar/A 45985-2025 prioriterade fågelarter.docx", "A 45985-2025")</f>
        <v/>
      </c>
    </row>
    <row r="15" ht="15" customHeight="1">
      <c r="A15" t="inlineStr">
        <is>
          <t>A 59147-2025</t>
        </is>
      </c>
      <c r="B15" s="1" t="n">
        <v>45988</v>
      </c>
      <c r="C15" s="1" t="n">
        <v>46200</v>
      </c>
      <c r="D15" t="inlineStr">
        <is>
          <t>JÄMTLANDS LÄN</t>
        </is>
      </c>
      <c r="E15" t="inlineStr">
        <is>
          <t>ÖSTERSUND</t>
        </is>
      </c>
      <c r="F15" t="inlineStr">
        <is>
          <t>Kommuner</t>
        </is>
      </c>
      <c r="G15" t="n">
        <v>5.7</v>
      </c>
      <c r="H15" t="n">
        <v>4</v>
      </c>
      <c r="I15" t="n">
        <v>4</v>
      </c>
      <c r="J15" t="n">
        <v>9</v>
      </c>
      <c r="K15" t="n">
        <v>4</v>
      </c>
      <c r="L15" t="n">
        <v>0</v>
      </c>
      <c r="M15" t="n">
        <v>0</v>
      </c>
      <c r="N15" t="n">
        <v>0</v>
      </c>
      <c r="O15" t="n">
        <v>13</v>
      </c>
      <c r="P15" t="n">
        <v>4</v>
      </c>
      <c r="Q15" t="n">
        <v>18</v>
      </c>
      <c r="R15" s="2" t="inlineStr">
        <is>
          <t>Garnlav
Gränsticka
Knärot
Sprickporing
Harticka
Liten svartspik
Lunglav
Rosenticka
Rynkskinn
Talltita
Tretåig hackspett
Ullticka
Vitgrynig nållav
Skinnlav
Stuplav
Trådticka
Vedticka
Järpe</t>
        </is>
      </c>
      <c r="S15">
        <f>HYPERLINK("https://klasma.github.io/Logging_2380/artfynd/A 59147-2025 artfynd.xlsx", "A 59147-2025")</f>
        <v/>
      </c>
      <c r="T15">
        <f>HYPERLINK("https://klasma.github.io/Logging_2380/kartor/A 59147-2025 karta.png", "A 59147-2025")</f>
        <v/>
      </c>
      <c r="U15">
        <f>HYPERLINK("https://klasma.github.io/Logging_2380/knärot/A 59147-2025 karta knärot.png", "A 59147-2025")</f>
        <v/>
      </c>
      <c r="V15">
        <f>HYPERLINK("https://klasma.github.io/Logging_2380/klagomål/A 59147-2025 FSC-klagomål.docx", "A 59147-2025")</f>
        <v/>
      </c>
      <c r="W15">
        <f>HYPERLINK("https://klasma.github.io/Logging_2380/klagomålsmail/A 59147-2025 FSC-klagomål mail.docx", "A 59147-2025")</f>
        <v/>
      </c>
      <c r="X15">
        <f>HYPERLINK("https://klasma.github.io/Logging_2380/tillsyn/A 59147-2025 tillsynsbegäran.docx", "A 59147-2025")</f>
        <v/>
      </c>
      <c r="Y15">
        <f>HYPERLINK("https://klasma.github.io/Logging_2380/tillsynsmail/A 59147-2025 tillsynsbegäran mail.docx", "A 59147-2025")</f>
        <v/>
      </c>
      <c r="Z15">
        <f>HYPERLINK("https://klasma.github.io/Logging_2380/fåglar/A 59147-2025 prioriterade fågelarter.docx", "A 59147-2025")</f>
        <v/>
      </c>
    </row>
    <row r="16" ht="15" customHeight="1">
      <c r="A16" t="inlineStr">
        <is>
          <t>A 56647-2025</t>
        </is>
      </c>
      <c r="B16" s="1" t="n">
        <v>45975</v>
      </c>
      <c r="C16" s="1" t="n">
        <v>46200</v>
      </c>
      <c r="D16" t="inlineStr">
        <is>
          <t>JÄMTLANDS LÄN</t>
        </is>
      </c>
      <c r="E16" t="inlineStr">
        <is>
          <t>ÖSTERSUND</t>
        </is>
      </c>
      <c r="G16" t="n">
        <v>12.1</v>
      </c>
      <c r="H16" t="n">
        <v>9</v>
      </c>
      <c r="I16" t="n">
        <v>3</v>
      </c>
      <c r="J16" t="n">
        <v>3</v>
      </c>
      <c r="K16" t="n">
        <v>2</v>
      </c>
      <c r="L16" t="n">
        <v>0</v>
      </c>
      <c r="M16" t="n">
        <v>0</v>
      </c>
      <c r="N16" t="n">
        <v>0</v>
      </c>
      <c r="O16" t="n">
        <v>5</v>
      </c>
      <c r="P16" t="n">
        <v>2</v>
      </c>
      <c r="Q16" t="n">
        <v>18</v>
      </c>
      <c r="R16" s="2" t="inlineStr">
        <is>
          <t>Garnlav
Knärot
Rynkskinn
Rödvingetrast
Tretåig hackspett
Kransrams
Spindelblomster
Stuplav
Blåsippa
Ekorrbär
Kransmossa
Linnea
Nordisk stormhatt
Ormbär
Grönsiska
Kungsfågel
Fläcknycklar
Revlummer</t>
        </is>
      </c>
      <c r="S16">
        <f>HYPERLINK("https://klasma.github.io/Logging_2380/artfynd/A 56647-2025 artfynd.xlsx", "A 56647-2025")</f>
        <v/>
      </c>
      <c r="T16">
        <f>HYPERLINK("https://klasma.github.io/Logging_2380/kartor/A 56647-2025 karta.png", "A 56647-2025")</f>
        <v/>
      </c>
      <c r="U16">
        <f>HYPERLINK("https://klasma.github.io/Logging_2380/knärot/A 56647-2025 karta knärot.png", "A 56647-2025")</f>
        <v/>
      </c>
      <c r="V16">
        <f>HYPERLINK("https://klasma.github.io/Logging_2380/klagomål/A 56647-2025 FSC-klagomål.docx", "A 56647-2025")</f>
        <v/>
      </c>
      <c r="W16">
        <f>HYPERLINK("https://klasma.github.io/Logging_2380/klagomålsmail/A 56647-2025 FSC-klagomål mail.docx", "A 56647-2025")</f>
        <v/>
      </c>
      <c r="X16">
        <f>HYPERLINK("https://klasma.github.io/Logging_2380/tillsyn/A 56647-2025 tillsynsbegäran.docx", "A 56647-2025")</f>
        <v/>
      </c>
      <c r="Y16">
        <f>HYPERLINK("https://klasma.github.io/Logging_2380/tillsynsmail/A 56647-2025 tillsynsbegäran mail.docx", "A 56647-2025")</f>
        <v/>
      </c>
      <c r="Z16">
        <f>HYPERLINK("https://klasma.github.io/Logging_2380/fåglar/A 56647-2025 prioriterade fågelarter.docx", "A 56647-2025")</f>
        <v/>
      </c>
    </row>
    <row r="17" ht="15" customHeight="1">
      <c r="A17" t="inlineStr">
        <is>
          <t>A 2979-2023</t>
        </is>
      </c>
      <c r="B17" s="1" t="n">
        <v>44945</v>
      </c>
      <c r="C17" s="1" t="n">
        <v>46200</v>
      </c>
      <c r="D17" t="inlineStr">
        <is>
          <t>JÄMTLANDS LÄN</t>
        </is>
      </c>
      <c r="E17" t="inlineStr">
        <is>
          <t>ÖSTERSUND</t>
        </is>
      </c>
      <c r="G17" t="n">
        <v>12.5</v>
      </c>
      <c r="H17" t="n">
        <v>11</v>
      </c>
      <c r="I17" t="n">
        <v>3</v>
      </c>
      <c r="J17" t="n">
        <v>5</v>
      </c>
      <c r="K17" t="n">
        <v>2</v>
      </c>
      <c r="L17" t="n">
        <v>0</v>
      </c>
      <c r="M17" t="n">
        <v>0</v>
      </c>
      <c r="N17" t="n">
        <v>0</v>
      </c>
      <c r="O17" t="n">
        <v>7</v>
      </c>
      <c r="P17" t="n">
        <v>2</v>
      </c>
      <c r="Q17" t="n">
        <v>16</v>
      </c>
      <c r="R17" s="2" t="inlineStr">
        <is>
          <t>Garnlav
Knärot
Lunglav
Skogsfru
Talltita
Tretåig hackspett
Ullticka
Luddlav
Spindelblomster
Stuplav
Mattlummer
Spillkråka
Tjäder
Kungsfågel
Gullviva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15382-2025</t>
        </is>
      </c>
      <c r="B18" s="1" t="n">
        <v>45747</v>
      </c>
      <c r="C18" s="1" t="n">
        <v>46200</v>
      </c>
      <c r="D18" t="inlineStr">
        <is>
          <t>JÄMTLANDS LÄN</t>
        </is>
      </c>
      <c r="E18" t="inlineStr">
        <is>
          <t>ÖSTERSUND</t>
        </is>
      </c>
      <c r="G18" t="n">
        <v>11.4</v>
      </c>
      <c r="H18" t="n">
        <v>5</v>
      </c>
      <c r="I18" t="n">
        <v>2</v>
      </c>
      <c r="J18" t="n">
        <v>8</v>
      </c>
      <c r="K18" t="n">
        <v>3</v>
      </c>
      <c r="L18" t="n">
        <v>0</v>
      </c>
      <c r="M18" t="n">
        <v>0</v>
      </c>
      <c r="N18" t="n">
        <v>0</v>
      </c>
      <c r="O18" t="n">
        <v>11</v>
      </c>
      <c r="P18" t="n">
        <v>3</v>
      </c>
      <c r="Q18" t="n">
        <v>16</v>
      </c>
      <c r="R18" s="2" t="inlineStr">
        <is>
          <t>Garnlav
Gränsticka
Knärot
Gammelgransskål
Harticka
Rosenticka
Stjärntagging
Tretåig hackspett
Ullticka
Vedtrappmossa
Vitgrynig nållav
Skinnlav
Vedticka
Blåsippa
Järpe
Kungsfågel</t>
        </is>
      </c>
      <c r="S18">
        <f>HYPERLINK("https://klasma.github.io/Logging_2380/artfynd/A 15382-2025 artfynd.xlsx", "A 15382-2025")</f>
        <v/>
      </c>
      <c r="T18">
        <f>HYPERLINK("https://klasma.github.io/Logging_2380/kartor/A 15382-2025 karta.png", "A 15382-2025")</f>
        <v/>
      </c>
      <c r="U18">
        <f>HYPERLINK("https://klasma.github.io/Logging_2380/knärot/A 15382-2025 karta knärot.png", "A 15382-2025")</f>
        <v/>
      </c>
      <c r="V18">
        <f>HYPERLINK("https://klasma.github.io/Logging_2380/klagomål/A 15382-2025 FSC-klagomål.docx", "A 15382-2025")</f>
        <v/>
      </c>
      <c r="W18">
        <f>HYPERLINK("https://klasma.github.io/Logging_2380/klagomålsmail/A 15382-2025 FSC-klagomål mail.docx", "A 15382-2025")</f>
        <v/>
      </c>
      <c r="X18">
        <f>HYPERLINK("https://klasma.github.io/Logging_2380/tillsyn/A 15382-2025 tillsynsbegäran.docx", "A 15382-2025")</f>
        <v/>
      </c>
      <c r="Y18">
        <f>HYPERLINK("https://klasma.github.io/Logging_2380/tillsynsmail/A 15382-2025 tillsynsbegäran mail.docx", "A 15382-2025")</f>
        <v/>
      </c>
      <c r="Z18">
        <f>HYPERLINK("https://klasma.github.io/Logging_2380/fåglar/A 15382-2025 prioriterade fågelarter.docx", "A 15382-2025")</f>
        <v/>
      </c>
    </row>
    <row r="19" ht="15" customHeight="1">
      <c r="A19" t="inlineStr">
        <is>
          <t>A 18942-2026</t>
        </is>
      </c>
      <c r="B19" s="1" t="n">
        <v>46129</v>
      </c>
      <c r="C19" s="1" t="n">
        <v>46200</v>
      </c>
      <c r="D19" t="inlineStr">
        <is>
          <t>JÄMTLANDS LÄN</t>
        </is>
      </c>
      <c r="E19" t="inlineStr">
        <is>
          <t>ÖSTERSUND</t>
        </is>
      </c>
      <c r="F19" t="inlineStr">
        <is>
          <t>SCA</t>
        </is>
      </c>
      <c r="G19" t="n">
        <v>2.1</v>
      </c>
      <c r="H19" t="n">
        <v>1</v>
      </c>
      <c r="I19" t="n">
        <v>7</v>
      </c>
      <c r="J19" t="n">
        <v>9</v>
      </c>
      <c r="K19" t="n">
        <v>0</v>
      </c>
      <c r="L19" t="n">
        <v>0</v>
      </c>
      <c r="M19" t="n">
        <v>0</v>
      </c>
      <c r="N19" t="n">
        <v>0</v>
      </c>
      <c r="O19" t="n">
        <v>9</v>
      </c>
      <c r="P19" t="n">
        <v>0</v>
      </c>
      <c r="Q19" t="n">
        <v>16</v>
      </c>
      <c r="R19" s="2" t="inlineStr">
        <is>
          <t>Blågrå svartspik
Dvärgbägarlav
Kolflarnlav
Lunglav
Mörk kolflarnlav
Nordtagging
Talltagel
Vedflamlav
Vedskivlav
Bårdlav
Gullgröppa
Gytterlav
Korallrot
Luddlav
Nästlav
Ögonpyrola</t>
        </is>
      </c>
      <c r="S19">
        <f>HYPERLINK("https://klasma.github.io/Logging_2380/artfynd/A 18942-2026 artfynd.xlsx", "A 18942-2026")</f>
        <v/>
      </c>
      <c r="T19">
        <f>HYPERLINK("https://klasma.github.io/Logging_2380/kartor/A 18942-2026 karta.png", "A 18942-2026")</f>
        <v/>
      </c>
      <c r="V19">
        <f>HYPERLINK("https://klasma.github.io/Logging_2380/klagomål/A 18942-2026 FSC-klagomål.docx", "A 18942-2026")</f>
        <v/>
      </c>
      <c r="W19">
        <f>HYPERLINK("https://klasma.github.io/Logging_2380/klagomålsmail/A 18942-2026 FSC-klagomål mail.docx", "A 18942-2026")</f>
        <v/>
      </c>
      <c r="X19">
        <f>HYPERLINK("https://klasma.github.io/Logging_2380/tillsyn/A 18942-2026 tillsynsbegäran.docx", "A 18942-2026")</f>
        <v/>
      </c>
      <c r="Y19">
        <f>HYPERLINK("https://klasma.github.io/Logging_2380/tillsynsmail/A 18942-2026 tillsynsbegäran mail.docx", "A 18942-2026")</f>
        <v/>
      </c>
    </row>
    <row r="20" ht="15" customHeight="1">
      <c r="A20" t="inlineStr">
        <is>
          <t>A 7457-2023</t>
        </is>
      </c>
      <c r="B20" s="1" t="n">
        <v>44971</v>
      </c>
      <c r="C20" s="1" t="n">
        <v>46200</v>
      </c>
      <c r="D20" t="inlineStr">
        <is>
          <t>JÄMTLANDS LÄN</t>
        </is>
      </c>
      <c r="E20" t="inlineStr">
        <is>
          <t>ÖSTERSUND</t>
        </is>
      </c>
      <c r="F20" t="inlineStr">
        <is>
          <t>Kommuner</t>
        </is>
      </c>
      <c r="G20" t="n">
        <v>2.5</v>
      </c>
      <c r="H20" t="n">
        <v>2</v>
      </c>
      <c r="I20" t="n">
        <v>3</v>
      </c>
      <c r="J20" t="n">
        <v>8</v>
      </c>
      <c r="K20" t="n">
        <v>3</v>
      </c>
      <c r="L20" t="n">
        <v>1</v>
      </c>
      <c r="M20" t="n">
        <v>0</v>
      </c>
      <c r="N20" t="n">
        <v>0</v>
      </c>
      <c r="O20" t="n">
        <v>12</v>
      </c>
      <c r="P20" t="n">
        <v>4</v>
      </c>
      <c r="Q20" t="n">
        <v>15</v>
      </c>
      <c r="R20" s="2" t="inlineStr">
        <is>
          <t>Ruttaggsvamp
Fjällfotad musseron
Frygisk spindling
Garnlav
Grantaggsvamp
Rödbrun klubbdyna
Rödfläckig zontaggsvamp
Skarp dropptaggsvamp
Tallriska
Talltita
Ullticka
Äggvaxskivling
Diskvaxskivling
Guckusko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c r="Z20">
        <f>HYPERLINK("https://klasma.github.io/Logging_2380/fåglar/A 7457-2023 prioriterade fågelarter.docx", "A 7457-2023")</f>
        <v/>
      </c>
    </row>
    <row r="21" ht="15" customHeight="1">
      <c r="A21" t="inlineStr">
        <is>
          <t>A 39928-2022</t>
        </is>
      </c>
      <c r="B21" s="1" t="n">
        <v>44819</v>
      </c>
      <c r="C21" s="1" t="n">
        <v>46200</v>
      </c>
      <c r="D21" t="inlineStr">
        <is>
          <t>JÄMTLANDS LÄN</t>
        </is>
      </c>
      <c r="E21" t="inlineStr">
        <is>
          <t>ÖSTERSUND</t>
        </is>
      </c>
      <c r="F21" t="inlineStr">
        <is>
          <t>SCA</t>
        </is>
      </c>
      <c r="G21" t="n">
        <v>8.9</v>
      </c>
      <c r="H21" t="n">
        <v>3</v>
      </c>
      <c r="I21" t="n">
        <v>3</v>
      </c>
      <c r="J21" t="n">
        <v>9</v>
      </c>
      <c r="K21" t="n">
        <v>2</v>
      </c>
      <c r="L21" t="n">
        <v>0</v>
      </c>
      <c r="M21" t="n">
        <v>0</v>
      </c>
      <c r="N21" t="n">
        <v>0</v>
      </c>
      <c r="O21" t="n">
        <v>11</v>
      </c>
      <c r="P21" t="n">
        <v>2</v>
      </c>
      <c r="Q21" t="n">
        <v>15</v>
      </c>
      <c r="R21" s="2" t="inlineStr">
        <is>
          <t>Grangråticka
Läderdoftande fingersvamp
Blå taggsvamp
Fjällig taggsvamp s.str.
Grantaggsvamp
Harticka
Jämtlandsmaskros
Majviva
Rosenticka
Rynkskinn
Tretåig hackspett
Svavelriska
Tibast
Trådticka
Spillkråka</t>
        </is>
      </c>
      <c r="S21">
        <f>HYPERLINK("https://klasma.github.io/Logging_2380/artfynd/A 39928-2022 artfynd.xlsx", "A 39928-2022")</f>
        <v/>
      </c>
      <c r="T21">
        <f>HYPERLINK("https://klasma.github.io/Logging_2380/kartor/A 39928-2022 karta.png", "A 39928-2022")</f>
        <v/>
      </c>
      <c r="V21">
        <f>HYPERLINK("https://klasma.github.io/Logging_2380/klagomål/A 39928-2022 FSC-klagomål.docx", "A 39928-2022")</f>
        <v/>
      </c>
      <c r="W21">
        <f>HYPERLINK("https://klasma.github.io/Logging_2380/klagomålsmail/A 39928-2022 FSC-klagomål mail.docx", "A 39928-2022")</f>
        <v/>
      </c>
      <c r="X21">
        <f>HYPERLINK("https://klasma.github.io/Logging_2380/tillsyn/A 39928-2022 tillsynsbegäran.docx", "A 39928-2022")</f>
        <v/>
      </c>
      <c r="Y21">
        <f>HYPERLINK("https://klasma.github.io/Logging_2380/tillsynsmail/A 39928-2022 tillsynsbegäran mail.docx", "A 39928-2022")</f>
        <v/>
      </c>
      <c r="Z21">
        <f>HYPERLINK("https://klasma.github.io/Logging_2380/fåglar/A 39928-2022 prioriterade fågelarter.docx", "A 39928-2022")</f>
        <v/>
      </c>
    </row>
    <row r="22" ht="15" customHeight="1">
      <c r="A22" t="inlineStr">
        <is>
          <t>A 30683-2023</t>
        </is>
      </c>
      <c r="B22" s="1" t="n">
        <v>45112</v>
      </c>
      <c r="C22" s="1" t="n">
        <v>46200</v>
      </c>
      <c r="D22" t="inlineStr">
        <is>
          <t>JÄMTLANDS LÄN</t>
        </is>
      </c>
      <c r="E22" t="inlineStr">
        <is>
          <t>ÖSTERSUND</t>
        </is>
      </c>
      <c r="G22" t="n">
        <v>3.2</v>
      </c>
      <c r="H22" t="n">
        <v>3</v>
      </c>
      <c r="I22" t="n">
        <v>0</v>
      </c>
      <c r="J22" t="n">
        <v>9</v>
      </c>
      <c r="K22" t="n">
        <v>3</v>
      </c>
      <c r="L22" t="n">
        <v>1</v>
      </c>
      <c r="M22" t="n">
        <v>0</v>
      </c>
      <c r="N22" t="n">
        <v>0</v>
      </c>
      <c r="O22" t="n">
        <v>13</v>
      </c>
      <c r="P22" t="n">
        <v>4</v>
      </c>
      <c r="Q22" t="n">
        <v>14</v>
      </c>
      <c r="R22" s="2" t="inlineStr">
        <is>
          <t>Bitter taggsvamp
Doftticka
Läderdoftande fingersvamp
Taggfingersvamp
Grantaggsvamp
Grynig filtlav
Gultoppig fingersvamp
Kryddspindling
Lunglav
Orange taggsvamp
Skogsfru
Slåtterfibbla
Vårärt
Skogsrör</t>
        </is>
      </c>
      <c r="S22">
        <f>HYPERLINK("https://klasma.github.io/Logging_2380/artfynd/A 30683-2023 artfynd.xlsx", "A 30683-2023")</f>
        <v/>
      </c>
      <c r="T22">
        <f>HYPERLINK("https://klasma.github.io/Logging_2380/kartor/A 30683-2023 karta.png", "A 30683-2023")</f>
        <v/>
      </c>
      <c r="V22">
        <f>HYPERLINK("https://klasma.github.io/Logging_2380/klagomål/A 30683-2023 FSC-klagomål.docx", "A 30683-2023")</f>
        <v/>
      </c>
      <c r="W22">
        <f>HYPERLINK("https://klasma.github.io/Logging_2380/klagomålsmail/A 30683-2023 FSC-klagomål mail.docx", "A 30683-2023")</f>
        <v/>
      </c>
      <c r="X22">
        <f>HYPERLINK("https://klasma.github.io/Logging_2380/tillsyn/A 30683-2023 tillsynsbegäran.docx", "A 30683-2023")</f>
        <v/>
      </c>
      <c r="Y22">
        <f>HYPERLINK("https://klasma.github.io/Logging_2380/tillsynsmail/A 30683-2023 tillsynsbegäran mail.docx", "A 30683-2023")</f>
        <v/>
      </c>
    </row>
    <row r="23" ht="15" customHeight="1">
      <c r="A23" t="inlineStr">
        <is>
          <t>A 47954-2025</t>
        </is>
      </c>
      <c r="B23" s="1" t="n">
        <v>45932</v>
      </c>
      <c r="C23" s="1" t="n">
        <v>46200</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44532-2025</t>
        </is>
      </c>
      <c r="B24" s="1" t="n">
        <v>45916</v>
      </c>
      <c r="C24" s="1" t="n">
        <v>46200</v>
      </c>
      <c r="D24" t="inlineStr">
        <is>
          <t>JÄMTLANDS LÄN</t>
        </is>
      </c>
      <c r="E24" t="inlineStr">
        <is>
          <t>ÖSTERSUND</t>
        </is>
      </c>
      <c r="G24" t="n">
        <v>2.9</v>
      </c>
      <c r="H24" t="n">
        <v>2</v>
      </c>
      <c r="I24" t="n">
        <v>3</v>
      </c>
      <c r="J24" t="n">
        <v>9</v>
      </c>
      <c r="K24" t="n">
        <v>2</v>
      </c>
      <c r="L24" t="n">
        <v>0</v>
      </c>
      <c r="M24" t="n">
        <v>0</v>
      </c>
      <c r="N24" t="n">
        <v>0</v>
      </c>
      <c r="O24" t="n">
        <v>11</v>
      </c>
      <c r="P24" t="n">
        <v>2</v>
      </c>
      <c r="Q24" t="n">
        <v>14</v>
      </c>
      <c r="R24" s="2" t="inlineStr">
        <is>
          <t>Garnlav
Knärot
Harticka
Liten svartspik
Rosenticka
Rynkskinn
Talltita
Ullticka
Vedtrappmossa
Vitgrynig nållav
Äggvaxskivling
Svavelriska
Trådticka
Vedticka</t>
        </is>
      </c>
      <c r="S24">
        <f>HYPERLINK("https://klasma.github.io/Logging_2380/artfynd/A 44532-2025 artfynd.xlsx", "A 44532-2025")</f>
        <v/>
      </c>
      <c r="T24">
        <f>HYPERLINK("https://klasma.github.io/Logging_2380/kartor/A 44532-2025 karta.png", "A 44532-2025")</f>
        <v/>
      </c>
      <c r="U24">
        <f>HYPERLINK("https://klasma.github.io/Logging_2380/knärot/A 44532-2025 karta knärot.png", "A 44532-2025")</f>
        <v/>
      </c>
      <c r="V24">
        <f>HYPERLINK("https://klasma.github.io/Logging_2380/klagomål/A 44532-2025 FSC-klagomål.docx", "A 44532-2025")</f>
        <v/>
      </c>
      <c r="W24">
        <f>HYPERLINK("https://klasma.github.io/Logging_2380/klagomålsmail/A 44532-2025 FSC-klagomål mail.docx", "A 44532-2025")</f>
        <v/>
      </c>
      <c r="X24">
        <f>HYPERLINK("https://klasma.github.io/Logging_2380/tillsyn/A 44532-2025 tillsynsbegäran.docx", "A 44532-2025")</f>
        <v/>
      </c>
      <c r="Y24">
        <f>HYPERLINK("https://klasma.github.io/Logging_2380/tillsynsmail/A 44532-2025 tillsynsbegäran mail.docx", "A 44532-2025")</f>
        <v/>
      </c>
      <c r="Z24">
        <f>HYPERLINK("https://klasma.github.io/Logging_2380/fåglar/A 44532-2025 prioriterade fågelarter.docx", "A 44532-2025")</f>
        <v/>
      </c>
    </row>
    <row r="25" ht="15" customHeight="1">
      <c r="A25" t="inlineStr">
        <is>
          <t>A 18322-2026</t>
        </is>
      </c>
      <c r="B25" s="1" t="n">
        <v>46126</v>
      </c>
      <c r="C25" s="1" t="n">
        <v>46200</v>
      </c>
      <c r="D25" t="inlineStr">
        <is>
          <t>JÄMTLANDS LÄN</t>
        </is>
      </c>
      <c r="E25" t="inlineStr">
        <is>
          <t>ÖSTERSUND</t>
        </is>
      </c>
      <c r="G25" t="n">
        <v>9.6</v>
      </c>
      <c r="H25" t="n">
        <v>4</v>
      </c>
      <c r="I25" t="n">
        <v>1</v>
      </c>
      <c r="J25" t="n">
        <v>9</v>
      </c>
      <c r="K25" t="n">
        <v>1</v>
      </c>
      <c r="L25" t="n">
        <v>0</v>
      </c>
      <c r="M25" t="n">
        <v>0</v>
      </c>
      <c r="N25" t="n">
        <v>0</v>
      </c>
      <c r="O25" t="n">
        <v>10</v>
      </c>
      <c r="P25" t="n">
        <v>1</v>
      </c>
      <c r="Q25" t="n">
        <v>13</v>
      </c>
      <c r="R25" s="2" t="inlineStr">
        <is>
          <t>Garnlav
Gammelgransskål
Harticka
Rosenticka
Rynkskinn
Talltita
Tretåig hackspett
Ullticka
Vedtrappmossa
Vitgrynig nållav
Trådticka
Järpe
Spillkråka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54517-2025</t>
        </is>
      </c>
      <c r="B26" s="1" t="n">
        <v>45965</v>
      </c>
      <c r="C26" s="1" t="n">
        <v>46200</v>
      </c>
      <c r="D26" t="inlineStr">
        <is>
          <t>JÄMTLANDS LÄN</t>
        </is>
      </c>
      <c r="E26" t="inlineStr">
        <is>
          <t>ÖSTERSUND</t>
        </is>
      </c>
      <c r="G26" t="n">
        <v>2.3</v>
      </c>
      <c r="H26" t="n">
        <v>7</v>
      </c>
      <c r="I26" t="n">
        <v>2</v>
      </c>
      <c r="J26" t="n">
        <v>5</v>
      </c>
      <c r="K26" t="n">
        <v>3</v>
      </c>
      <c r="L26" t="n">
        <v>0</v>
      </c>
      <c r="M26" t="n">
        <v>0</v>
      </c>
      <c r="N26" t="n">
        <v>0</v>
      </c>
      <c r="O26" t="n">
        <v>8</v>
      </c>
      <c r="P26" t="n">
        <v>3</v>
      </c>
      <c r="Q26" t="n">
        <v>13</v>
      </c>
      <c r="R26" s="2" t="inlineStr">
        <is>
          <t>Garnlav
Knärot
Sprickporing
Björktrast
Lunglav
Rosenticka
Talltita
Ullticka
Spindelblomster
Stuplav
Blåsippa
Kungsfågel
Revlummer</t>
        </is>
      </c>
      <c r="S26">
        <f>HYPERLINK("https://klasma.github.io/Logging_2380/artfynd/A 54517-2025 artfynd.xlsx", "A 54517-2025")</f>
        <v/>
      </c>
      <c r="T26">
        <f>HYPERLINK("https://klasma.github.io/Logging_2380/kartor/A 54517-2025 karta.png", "A 54517-2025")</f>
        <v/>
      </c>
      <c r="U26">
        <f>HYPERLINK("https://klasma.github.io/Logging_2380/knärot/A 54517-2025 karta knärot.png", "A 54517-2025")</f>
        <v/>
      </c>
      <c r="V26">
        <f>HYPERLINK("https://klasma.github.io/Logging_2380/klagomål/A 54517-2025 FSC-klagomål.docx", "A 54517-2025")</f>
        <v/>
      </c>
      <c r="W26">
        <f>HYPERLINK("https://klasma.github.io/Logging_2380/klagomålsmail/A 54517-2025 FSC-klagomål mail.docx", "A 54517-2025")</f>
        <v/>
      </c>
      <c r="X26">
        <f>HYPERLINK("https://klasma.github.io/Logging_2380/tillsyn/A 54517-2025 tillsynsbegäran.docx", "A 54517-2025")</f>
        <v/>
      </c>
      <c r="Y26">
        <f>HYPERLINK("https://klasma.github.io/Logging_2380/tillsynsmail/A 54517-2025 tillsynsbegäran mail.docx", "A 54517-2025")</f>
        <v/>
      </c>
      <c r="Z26">
        <f>HYPERLINK("https://klasma.github.io/Logging_2380/fåglar/A 54517-2025 prioriterade fågelarter.docx", "A 54517-2025")</f>
        <v/>
      </c>
    </row>
    <row r="27" ht="15" customHeight="1">
      <c r="A27" t="inlineStr">
        <is>
          <t>A 56557-2025</t>
        </is>
      </c>
      <c r="B27" s="1" t="n">
        <v>45975</v>
      </c>
      <c r="C27" s="1" t="n">
        <v>46200</v>
      </c>
      <c r="D27" t="inlineStr">
        <is>
          <t>JÄMTLANDS LÄN</t>
        </is>
      </c>
      <c r="E27" t="inlineStr">
        <is>
          <t>ÖSTERSUND</t>
        </is>
      </c>
      <c r="G27" t="n">
        <v>13.9</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56557-2025 artfynd.xlsx", "A 56557-2025")</f>
        <v/>
      </c>
      <c r="T27">
        <f>HYPERLINK("https://klasma.github.io/Logging_2380/kartor/A 56557-2025 karta.png", "A 56557-2025")</f>
        <v/>
      </c>
      <c r="V27">
        <f>HYPERLINK("https://klasma.github.io/Logging_2380/klagomål/A 56557-2025 FSC-klagomål.docx", "A 56557-2025")</f>
        <v/>
      </c>
      <c r="W27">
        <f>HYPERLINK("https://klasma.github.io/Logging_2380/klagomålsmail/A 56557-2025 FSC-klagomål mail.docx", "A 56557-2025")</f>
        <v/>
      </c>
      <c r="X27">
        <f>HYPERLINK("https://klasma.github.io/Logging_2380/tillsyn/A 56557-2025 tillsynsbegäran.docx", "A 56557-2025")</f>
        <v/>
      </c>
      <c r="Y27">
        <f>HYPERLINK("https://klasma.github.io/Logging_2380/tillsynsmail/A 56557-2025 tillsynsbegäran mail.docx", "A 56557-2025")</f>
        <v/>
      </c>
      <c r="Z27">
        <f>HYPERLINK("https://klasma.github.io/Logging_2380/fåglar/A 56557-2025 prioriterade fågelarter.docx", "A 56557-2025")</f>
        <v/>
      </c>
    </row>
    <row r="28" ht="15" customHeight="1">
      <c r="A28" t="inlineStr">
        <is>
          <t>A 56899-2025</t>
        </is>
      </c>
      <c r="B28" s="1" t="n">
        <v>45978</v>
      </c>
      <c r="C28" s="1" t="n">
        <v>46200</v>
      </c>
      <c r="D28" t="inlineStr">
        <is>
          <t>JÄMTLANDS LÄN</t>
        </is>
      </c>
      <c r="E28" t="inlineStr">
        <is>
          <t>ÖSTERSUND</t>
        </is>
      </c>
      <c r="G28" t="n">
        <v>23.2</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56899-2025 artfynd.xlsx", "A 56899-2025")</f>
        <v/>
      </c>
      <c r="T28">
        <f>HYPERLINK("https://klasma.github.io/Logging_2380/kartor/A 56899-2025 karta.png", "A 56899-2025")</f>
        <v/>
      </c>
      <c r="V28">
        <f>HYPERLINK("https://klasma.github.io/Logging_2380/klagomål/A 56899-2025 FSC-klagomål.docx", "A 56899-2025")</f>
        <v/>
      </c>
      <c r="W28">
        <f>HYPERLINK("https://klasma.github.io/Logging_2380/klagomålsmail/A 56899-2025 FSC-klagomål mail.docx", "A 56899-2025")</f>
        <v/>
      </c>
      <c r="X28">
        <f>HYPERLINK("https://klasma.github.io/Logging_2380/tillsyn/A 56899-2025 tillsynsbegäran.docx", "A 56899-2025")</f>
        <v/>
      </c>
      <c r="Y28">
        <f>HYPERLINK("https://klasma.github.io/Logging_2380/tillsynsmail/A 56899-2025 tillsynsbegäran mail.docx", "A 56899-2025")</f>
        <v/>
      </c>
      <c r="Z28">
        <f>HYPERLINK("https://klasma.github.io/Logging_2380/fåglar/A 56899-2025 prioriterade fågelarter.docx", "A 56899-2025")</f>
        <v/>
      </c>
    </row>
    <row r="29" ht="15" customHeight="1">
      <c r="A29" t="inlineStr">
        <is>
          <t>A 47128-2025</t>
        </is>
      </c>
      <c r="B29" s="1" t="n">
        <v>45929</v>
      </c>
      <c r="C29" s="1" t="n">
        <v>46200</v>
      </c>
      <c r="D29" t="inlineStr">
        <is>
          <t>JÄMTLANDS LÄN</t>
        </is>
      </c>
      <c r="E29" t="inlineStr">
        <is>
          <t>ÖSTERSUND</t>
        </is>
      </c>
      <c r="G29" t="n">
        <v>4.1</v>
      </c>
      <c r="H29" t="n">
        <v>3</v>
      </c>
      <c r="I29" t="n">
        <v>5</v>
      </c>
      <c r="J29" t="n">
        <v>5</v>
      </c>
      <c r="K29" t="n">
        <v>1</v>
      </c>
      <c r="L29" t="n">
        <v>0</v>
      </c>
      <c r="M29" t="n">
        <v>0</v>
      </c>
      <c r="N29" t="n">
        <v>0</v>
      </c>
      <c r="O29" t="n">
        <v>6</v>
      </c>
      <c r="P29" t="n">
        <v>1</v>
      </c>
      <c r="Q29" t="n">
        <v>12</v>
      </c>
      <c r="R29" s="2" t="inlineStr">
        <is>
          <t>Garnlav
Lunglav
Talltita
Tretåig hackspett
Ullticka
Vitgrynig nållav
Barkkornlav
Korallblylav
Luddlav
Stuplav
Vedticka
Blåsippa</t>
        </is>
      </c>
      <c r="S29">
        <f>HYPERLINK("https://klasma.github.io/Logging_2380/artfynd/A 47128-2025 artfynd.xlsx", "A 47128-2025")</f>
        <v/>
      </c>
      <c r="T29">
        <f>HYPERLINK("https://klasma.github.io/Logging_2380/kartor/A 47128-2025 karta.png", "A 47128-2025")</f>
        <v/>
      </c>
      <c r="V29">
        <f>HYPERLINK("https://klasma.github.io/Logging_2380/klagomål/A 47128-2025 FSC-klagomål.docx", "A 47128-2025")</f>
        <v/>
      </c>
      <c r="W29">
        <f>HYPERLINK("https://klasma.github.io/Logging_2380/klagomålsmail/A 47128-2025 FSC-klagomål mail.docx", "A 47128-2025")</f>
        <v/>
      </c>
      <c r="X29">
        <f>HYPERLINK("https://klasma.github.io/Logging_2380/tillsyn/A 47128-2025 tillsynsbegäran.docx", "A 47128-2025")</f>
        <v/>
      </c>
      <c r="Y29">
        <f>HYPERLINK("https://klasma.github.io/Logging_2380/tillsynsmail/A 47128-2025 tillsynsbegäran mail.docx", "A 47128-2025")</f>
        <v/>
      </c>
      <c r="Z29">
        <f>HYPERLINK("https://klasma.github.io/Logging_2380/fåglar/A 47128-2025 prioriterade fågelarter.docx", "A 47128-2025")</f>
        <v/>
      </c>
    </row>
    <row r="30" ht="15" customHeight="1">
      <c r="A30" t="inlineStr">
        <is>
          <t>A 10056-2026</t>
        </is>
      </c>
      <c r="B30" s="1" t="n">
        <v>46073</v>
      </c>
      <c r="C30" s="1" t="n">
        <v>46200</v>
      </c>
      <c r="D30" t="inlineStr">
        <is>
          <t>JÄMTLANDS LÄN</t>
        </is>
      </c>
      <c r="E30" t="inlineStr">
        <is>
          <t>ÖSTERSUND</t>
        </is>
      </c>
      <c r="G30" t="n">
        <v>17.2</v>
      </c>
      <c r="H30" t="n">
        <v>4</v>
      </c>
      <c r="I30" t="n">
        <v>1</v>
      </c>
      <c r="J30" t="n">
        <v>6</v>
      </c>
      <c r="K30" t="n">
        <v>3</v>
      </c>
      <c r="L30" t="n">
        <v>0</v>
      </c>
      <c r="M30" t="n">
        <v>0</v>
      </c>
      <c r="N30" t="n">
        <v>0</v>
      </c>
      <c r="O30" t="n">
        <v>9</v>
      </c>
      <c r="P30" t="n">
        <v>3</v>
      </c>
      <c r="Q30" t="n">
        <v>12</v>
      </c>
      <c r="R30" s="2" t="inlineStr">
        <is>
          <t>Blackticka
Garnlav
Knärot
Harticka
Liten svartspik
Rosenticka
Tretåig hackspett
Ullticka
Vitgrynig nållav
Stuplav
Spillkråka
Tjäder</t>
        </is>
      </c>
      <c r="S30">
        <f>HYPERLINK("https://klasma.github.io/Logging_2380/artfynd/A 10056-2026 artfynd.xlsx", "A 10056-2026")</f>
        <v/>
      </c>
      <c r="T30">
        <f>HYPERLINK("https://klasma.github.io/Logging_2380/kartor/A 10056-2026 karta.png", "A 10056-2026")</f>
        <v/>
      </c>
      <c r="U30">
        <f>HYPERLINK("https://klasma.github.io/Logging_2380/knärot/A 10056-2026 karta knärot.png", "A 10056-2026")</f>
        <v/>
      </c>
      <c r="V30">
        <f>HYPERLINK("https://klasma.github.io/Logging_2380/klagomål/A 10056-2026 FSC-klagomål.docx", "A 10056-2026")</f>
        <v/>
      </c>
      <c r="W30">
        <f>HYPERLINK("https://klasma.github.io/Logging_2380/klagomålsmail/A 10056-2026 FSC-klagomål mail.docx", "A 10056-2026")</f>
        <v/>
      </c>
      <c r="X30">
        <f>HYPERLINK("https://klasma.github.io/Logging_2380/tillsyn/A 10056-2026 tillsynsbegäran.docx", "A 10056-2026")</f>
        <v/>
      </c>
      <c r="Y30">
        <f>HYPERLINK("https://klasma.github.io/Logging_2380/tillsynsmail/A 10056-2026 tillsynsbegäran mail.docx", "A 10056-2026")</f>
        <v/>
      </c>
      <c r="Z30">
        <f>HYPERLINK("https://klasma.github.io/Logging_2380/fåglar/A 10056-2026 prioriterade fågelarter.docx", "A 10056-2026")</f>
        <v/>
      </c>
    </row>
    <row r="31" ht="15" customHeight="1">
      <c r="A31" t="inlineStr">
        <is>
          <t>A 63201-2025</t>
        </is>
      </c>
      <c r="B31" s="1" t="n">
        <v>46010</v>
      </c>
      <c r="C31" s="1" t="n">
        <v>46200</v>
      </c>
      <c r="D31" t="inlineStr">
        <is>
          <t>JÄMTLANDS LÄN</t>
        </is>
      </c>
      <c r="E31" t="inlineStr">
        <is>
          <t>ÖSTERSUND</t>
        </is>
      </c>
      <c r="G31" t="n">
        <v>5.8</v>
      </c>
      <c r="H31" t="n">
        <v>7</v>
      </c>
      <c r="I31" t="n">
        <v>3</v>
      </c>
      <c r="J31" t="n">
        <v>4</v>
      </c>
      <c r="K31" t="n">
        <v>2</v>
      </c>
      <c r="L31" t="n">
        <v>0</v>
      </c>
      <c r="M31" t="n">
        <v>0</v>
      </c>
      <c r="N31" t="n">
        <v>0</v>
      </c>
      <c r="O31" t="n">
        <v>6</v>
      </c>
      <c r="P31" t="n">
        <v>2</v>
      </c>
      <c r="Q31" t="n">
        <v>12</v>
      </c>
      <c r="R31" s="2" t="inlineStr">
        <is>
          <t>Garnlav
Knärot
Lavskrika
Lunglav
Skrovellav
Tretåig hackspett
Kransrams
Stuplav
Tvåblad
Järpe
Spillkråka
Revlummer</t>
        </is>
      </c>
      <c r="S31">
        <f>HYPERLINK("https://klasma.github.io/Logging_2380/artfynd/A 63201-2025 artfynd.xlsx", "A 63201-2025")</f>
        <v/>
      </c>
      <c r="T31">
        <f>HYPERLINK("https://klasma.github.io/Logging_2380/kartor/A 63201-2025 karta.png", "A 63201-2025")</f>
        <v/>
      </c>
      <c r="U31">
        <f>HYPERLINK("https://klasma.github.io/Logging_2380/knärot/A 63201-2025 karta knärot.png", "A 63201-2025")</f>
        <v/>
      </c>
      <c r="V31">
        <f>HYPERLINK("https://klasma.github.io/Logging_2380/klagomål/A 63201-2025 FSC-klagomål.docx", "A 63201-2025")</f>
        <v/>
      </c>
      <c r="W31">
        <f>HYPERLINK("https://klasma.github.io/Logging_2380/klagomålsmail/A 63201-2025 FSC-klagomål mail.docx", "A 63201-2025")</f>
        <v/>
      </c>
      <c r="X31">
        <f>HYPERLINK("https://klasma.github.io/Logging_2380/tillsyn/A 63201-2025 tillsynsbegäran.docx", "A 63201-2025")</f>
        <v/>
      </c>
      <c r="Y31">
        <f>HYPERLINK("https://klasma.github.io/Logging_2380/tillsynsmail/A 63201-2025 tillsynsbegäran mail.docx", "A 63201-2025")</f>
        <v/>
      </c>
      <c r="Z31">
        <f>HYPERLINK("https://klasma.github.io/Logging_2380/fåglar/A 63201-2025 prioriterade fågelarter.docx", "A 63201-2025")</f>
        <v/>
      </c>
    </row>
    <row r="32" ht="15" customHeight="1">
      <c r="A32" t="inlineStr">
        <is>
          <t>A 39541-2025</t>
        </is>
      </c>
      <c r="B32" s="1" t="n">
        <v>45890</v>
      </c>
      <c r="C32" s="1" t="n">
        <v>46200</v>
      </c>
      <c r="D32" t="inlineStr">
        <is>
          <t>JÄMTLANDS LÄN</t>
        </is>
      </c>
      <c r="E32" t="inlineStr">
        <is>
          <t>ÖSTERSUND</t>
        </is>
      </c>
      <c r="G32" t="n">
        <v>9</v>
      </c>
      <c r="H32" t="n">
        <v>5</v>
      </c>
      <c r="I32" t="n">
        <v>2</v>
      </c>
      <c r="J32" t="n">
        <v>8</v>
      </c>
      <c r="K32" t="n">
        <v>2</v>
      </c>
      <c r="L32" t="n">
        <v>0</v>
      </c>
      <c r="M32" t="n">
        <v>0</v>
      </c>
      <c r="N32" t="n">
        <v>0</v>
      </c>
      <c r="O32" t="n">
        <v>10</v>
      </c>
      <c r="P32" t="n">
        <v>2</v>
      </c>
      <c r="Q32" t="n">
        <v>12</v>
      </c>
      <c r="R32" s="2" t="inlineStr">
        <is>
          <t>Garnlav
Knärot
Doftskinn
Gammelgransskål
Harticka
Liten svartspik
Sparvuggla
Talltita
Tretåig hackspett
Vitgrynig nållav
Skinnlav
Spindelblomster</t>
        </is>
      </c>
      <c r="S32">
        <f>HYPERLINK("https://klasma.github.io/Logging_2380/artfynd/A 39541-2025 artfynd.xlsx", "A 39541-2025")</f>
        <v/>
      </c>
      <c r="T32">
        <f>HYPERLINK("https://klasma.github.io/Logging_2380/kartor/A 39541-2025 karta.png", "A 39541-2025")</f>
        <v/>
      </c>
      <c r="U32">
        <f>HYPERLINK("https://klasma.github.io/Logging_2380/knärot/A 39541-2025 karta knärot.png", "A 39541-2025")</f>
        <v/>
      </c>
      <c r="V32">
        <f>HYPERLINK("https://klasma.github.io/Logging_2380/klagomål/A 39541-2025 FSC-klagomål.docx", "A 39541-2025")</f>
        <v/>
      </c>
      <c r="W32">
        <f>HYPERLINK("https://klasma.github.io/Logging_2380/klagomålsmail/A 39541-2025 FSC-klagomål mail.docx", "A 39541-2025")</f>
        <v/>
      </c>
      <c r="X32">
        <f>HYPERLINK("https://klasma.github.io/Logging_2380/tillsyn/A 39541-2025 tillsynsbegäran.docx", "A 39541-2025")</f>
        <v/>
      </c>
      <c r="Y32">
        <f>HYPERLINK("https://klasma.github.io/Logging_2380/tillsynsmail/A 39541-2025 tillsynsbegäran mail.docx", "A 39541-2025")</f>
        <v/>
      </c>
      <c r="Z32">
        <f>HYPERLINK("https://klasma.github.io/Logging_2380/fåglar/A 39541-2025 prioriterade fågelarter.docx", "A 39541-2025")</f>
        <v/>
      </c>
    </row>
    <row r="33" ht="15" customHeight="1">
      <c r="A33" t="inlineStr">
        <is>
          <t>A 48030-2025</t>
        </is>
      </c>
      <c r="B33" s="1" t="n">
        <v>45932</v>
      </c>
      <c r="C33" s="1" t="n">
        <v>46200</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5791-2026</t>
        </is>
      </c>
      <c r="B34" s="1" t="n">
        <v>46051</v>
      </c>
      <c r="C34" s="1" t="n">
        <v>46200</v>
      </c>
      <c r="D34" t="inlineStr">
        <is>
          <t>JÄMTLANDS LÄN</t>
        </is>
      </c>
      <c r="E34" t="inlineStr">
        <is>
          <t>ÖSTERSUND</t>
        </is>
      </c>
      <c r="G34" t="n">
        <v>7.8</v>
      </c>
      <c r="H34" t="n">
        <v>5</v>
      </c>
      <c r="I34" t="n">
        <v>3</v>
      </c>
      <c r="J34" t="n">
        <v>4</v>
      </c>
      <c r="K34" t="n">
        <v>2</v>
      </c>
      <c r="L34" t="n">
        <v>0</v>
      </c>
      <c r="M34" t="n">
        <v>0</v>
      </c>
      <c r="N34" t="n">
        <v>0</v>
      </c>
      <c r="O34" t="n">
        <v>6</v>
      </c>
      <c r="P34" t="n">
        <v>2</v>
      </c>
      <c r="Q34" t="n">
        <v>11</v>
      </c>
      <c r="R34" s="2" t="inlineStr">
        <is>
          <t>Garnlav
Knärot
Lunglav
Skrovellav
Talltita
Tretåig hackspett
Luddlav
Stuplav
Svavelriska
Blåsippa
Spillkråka</t>
        </is>
      </c>
      <c r="S34">
        <f>HYPERLINK("https://klasma.github.io/Logging_2380/artfynd/A 5791-2026 artfynd.xlsx", "A 5791-2026")</f>
        <v/>
      </c>
      <c r="T34">
        <f>HYPERLINK("https://klasma.github.io/Logging_2380/kartor/A 5791-2026 karta.png", "A 5791-2026")</f>
        <v/>
      </c>
      <c r="U34">
        <f>HYPERLINK("https://klasma.github.io/Logging_2380/knärot/A 5791-2026 karta knärot.png", "A 5791-2026")</f>
        <v/>
      </c>
      <c r="V34">
        <f>HYPERLINK("https://klasma.github.io/Logging_2380/klagomål/A 5791-2026 FSC-klagomål.docx", "A 5791-2026")</f>
        <v/>
      </c>
      <c r="W34">
        <f>HYPERLINK("https://klasma.github.io/Logging_2380/klagomålsmail/A 5791-2026 FSC-klagomål mail.docx", "A 5791-2026")</f>
        <v/>
      </c>
      <c r="X34">
        <f>HYPERLINK("https://klasma.github.io/Logging_2380/tillsyn/A 5791-2026 tillsynsbegäran.docx", "A 5791-2026")</f>
        <v/>
      </c>
      <c r="Y34">
        <f>HYPERLINK("https://klasma.github.io/Logging_2380/tillsynsmail/A 5791-2026 tillsynsbegäran mail.docx", "A 5791-2026")</f>
        <v/>
      </c>
      <c r="Z34">
        <f>HYPERLINK("https://klasma.github.io/Logging_2380/fåglar/A 5791-2026 prioriterade fågelarter.docx", "A 5791-2026")</f>
        <v/>
      </c>
    </row>
    <row r="35" ht="15" customHeight="1">
      <c r="A35" t="inlineStr">
        <is>
          <t>A 50895-2024</t>
        </is>
      </c>
      <c r="B35" s="1" t="n">
        <v>45602</v>
      </c>
      <c r="C35" s="1" t="n">
        <v>46200</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27907-2024</t>
        </is>
      </c>
      <c r="B36" s="1" t="n">
        <v>45475</v>
      </c>
      <c r="C36" s="1" t="n">
        <v>46200</v>
      </c>
      <c r="D36" t="inlineStr">
        <is>
          <t>JÄMTLANDS LÄN</t>
        </is>
      </c>
      <c r="E36" t="inlineStr">
        <is>
          <t>ÖSTERSUND</t>
        </is>
      </c>
      <c r="F36" t="inlineStr">
        <is>
          <t>SCA</t>
        </is>
      </c>
      <c r="G36" t="n">
        <v>12.7</v>
      </c>
      <c r="H36" t="n">
        <v>1</v>
      </c>
      <c r="I36" t="n">
        <v>0</v>
      </c>
      <c r="J36" t="n">
        <v>7</v>
      </c>
      <c r="K36" t="n">
        <v>3</v>
      </c>
      <c r="L36" t="n">
        <v>0</v>
      </c>
      <c r="M36" t="n">
        <v>0</v>
      </c>
      <c r="N36" t="n">
        <v>0</v>
      </c>
      <c r="O36" t="n">
        <v>10</v>
      </c>
      <c r="P36" t="n">
        <v>3</v>
      </c>
      <c r="Q36" t="n">
        <v>10</v>
      </c>
      <c r="R36" s="2" t="inlineStr">
        <is>
          <t>Goliatmusseron
Jättemusseron
Skrovlig taggsvamp
Blå taggsvamp
Dropptaggsvamp
Dvärgbägarlav
Orange taggsvamp
Skarp dropptaggsvamp
Tretåig hackspett
Vedflamlav</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c r="Z36">
        <f>HYPERLINK("https://klasma.github.io/Logging_2380/fåglar/A 27907-2024 prioriterade fågelarter.docx", "A 27907-2024")</f>
        <v/>
      </c>
    </row>
    <row r="37" ht="15" customHeight="1">
      <c r="A37" t="inlineStr">
        <is>
          <t>A 38335-2023</t>
        </is>
      </c>
      <c r="B37" s="1" t="n">
        <v>45161</v>
      </c>
      <c r="C37" s="1" t="n">
        <v>46200</v>
      </c>
      <c r="D37" t="inlineStr">
        <is>
          <t>JÄMTLANDS LÄN</t>
        </is>
      </c>
      <c r="E37" t="inlineStr">
        <is>
          <t>ÖSTERSUND</t>
        </is>
      </c>
      <c r="G37" t="n">
        <v>15.1</v>
      </c>
      <c r="H37" t="n">
        <v>5</v>
      </c>
      <c r="I37" t="n">
        <v>1</v>
      </c>
      <c r="J37" t="n">
        <v>5</v>
      </c>
      <c r="K37" t="n">
        <v>2</v>
      </c>
      <c r="L37" t="n">
        <v>0</v>
      </c>
      <c r="M37" t="n">
        <v>0</v>
      </c>
      <c r="N37" t="n">
        <v>0</v>
      </c>
      <c r="O37" t="n">
        <v>7</v>
      </c>
      <c r="P37" t="n">
        <v>2</v>
      </c>
      <c r="Q37" t="n">
        <v>10</v>
      </c>
      <c r="R37" s="2" t="inlineStr">
        <is>
          <t>Garnlav
Gränsticka
Lavskrika
Rosenticka
Talltita
Tretåig hackspett
Ullticka
Trådticka
Tallbit
Orre</t>
        </is>
      </c>
      <c r="S37">
        <f>HYPERLINK("https://klasma.github.io/Logging_2380/artfynd/A 38335-2023 artfynd.xlsx", "A 38335-2023")</f>
        <v/>
      </c>
      <c r="T37">
        <f>HYPERLINK("https://klasma.github.io/Logging_2380/kartor/A 38335-2023 karta.png", "A 38335-2023")</f>
        <v/>
      </c>
      <c r="V37">
        <f>HYPERLINK("https://klasma.github.io/Logging_2380/klagomål/A 38335-2023 FSC-klagomål.docx", "A 38335-2023")</f>
        <v/>
      </c>
      <c r="W37">
        <f>HYPERLINK("https://klasma.github.io/Logging_2380/klagomålsmail/A 38335-2023 FSC-klagomål mail.docx", "A 38335-2023")</f>
        <v/>
      </c>
      <c r="X37">
        <f>HYPERLINK("https://klasma.github.io/Logging_2380/tillsyn/A 38335-2023 tillsynsbegäran.docx", "A 38335-2023")</f>
        <v/>
      </c>
      <c r="Y37">
        <f>HYPERLINK("https://klasma.github.io/Logging_2380/tillsynsmail/A 38335-2023 tillsynsbegäran mail.docx", "A 38335-2023")</f>
        <v/>
      </c>
      <c r="Z37">
        <f>HYPERLINK("https://klasma.github.io/Logging_2380/fåglar/A 38335-2023 prioriterade fågelarter.docx", "A 38335-2023")</f>
        <v/>
      </c>
    </row>
    <row r="38" ht="15" customHeight="1">
      <c r="A38" t="inlineStr">
        <is>
          <t>A 17716-2024</t>
        </is>
      </c>
      <c r="B38" s="1" t="n">
        <v>45415</v>
      </c>
      <c r="C38" s="1" t="n">
        <v>46200</v>
      </c>
      <c r="D38" t="inlineStr">
        <is>
          <t>JÄMTLANDS LÄN</t>
        </is>
      </c>
      <c r="E38" t="inlineStr">
        <is>
          <t>ÖSTERSUND</t>
        </is>
      </c>
      <c r="G38" t="n">
        <v>1.4</v>
      </c>
      <c r="H38" t="n">
        <v>10</v>
      </c>
      <c r="I38" t="n">
        <v>2</v>
      </c>
      <c r="J38" t="n">
        <v>1</v>
      </c>
      <c r="K38" t="n">
        <v>1</v>
      </c>
      <c r="L38" t="n">
        <v>1</v>
      </c>
      <c r="M38" t="n">
        <v>0</v>
      </c>
      <c r="N38" t="n">
        <v>0</v>
      </c>
      <c r="O38" t="n">
        <v>3</v>
      </c>
      <c r="P38" t="n">
        <v>2</v>
      </c>
      <c r="Q38" t="n">
        <v>10</v>
      </c>
      <c r="R38" s="2" t="inlineStr">
        <is>
          <t>Storspov
Knärot
Nötkråka
Spindelblomster
Tvåblad
Blåsippa
Järpe
Spillkråka
Tjäder
Fläcknycklar</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47392-2022</t>
        </is>
      </c>
      <c r="B39" s="1" t="n">
        <v>44851</v>
      </c>
      <c r="C39" s="1" t="n">
        <v>46200</v>
      </c>
      <c r="D39" t="inlineStr">
        <is>
          <t>JÄMTLANDS LÄN</t>
        </is>
      </c>
      <c r="E39" t="inlineStr">
        <is>
          <t>ÖSTERSUND</t>
        </is>
      </c>
      <c r="G39" t="n">
        <v>1.6</v>
      </c>
      <c r="H39" t="n">
        <v>6</v>
      </c>
      <c r="I39" t="n">
        <v>5</v>
      </c>
      <c r="J39" t="n">
        <v>2</v>
      </c>
      <c r="K39" t="n">
        <v>2</v>
      </c>
      <c r="L39" t="n">
        <v>0</v>
      </c>
      <c r="M39" t="n">
        <v>0</v>
      </c>
      <c r="N39" t="n">
        <v>0</v>
      </c>
      <c r="O39" t="n">
        <v>4</v>
      </c>
      <c r="P39" t="n">
        <v>2</v>
      </c>
      <c r="Q39" t="n">
        <v>10</v>
      </c>
      <c r="R39" s="2" t="inlineStr">
        <is>
          <t>Garnlav
Knärot
Lunglav
Tretåig hackspett
Blodticka
Guckusko
Plattlummer
Trådfräken
Tvåblad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c r="Z39">
        <f>HYPERLINK("https://klasma.github.io/Logging_2380/fåglar/A 47392-2022 prioriterade fågelarter.docx", "A 47392-2022")</f>
        <v/>
      </c>
    </row>
    <row r="40" ht="15" customHeight="1">
      <c r="A40" t="inlineStr">
        <is>
          <t>A 34816-2024</t>
        </is>
      </c>
      <c r="B40" s="1" t="n">
        <v>45526</v>
      </c>
      <c r="C40" s="1" t="n">
        <v>46200</v>
      </c>
      <c r="D40" t="inlineStr">
        <is>
          <t>JÄMTLANDS LÄN</t>
        </is>
      </c>
      <c r="E40" t="inlineStr">
        <is>
          <t>ÖSTERSUND</t>
        </is>
      </c>
      <c r="F40" t="inlineStr">
        <is>
          <t>SCA</t>
        </is>
      </c>
      <c r="G40" t="n">
        <v>14.4</v>
      </c>
      <c r="H40" t="n">
        <v>0</v>
      </c>
      <c r="I40" t="n">
        <v>0</v>
      </c>
      <c r="J40" t="n">
        <v>8</v>
      </c>
      <c r="K40" t="n">
        <v>2</v>
      </c>
      <c r="L40" t="n">
        <v>0</v>
      </c>
      <c r="M40" t="n">
        <v>0</v>
      </c>
      <c r="N40" t="n">
        <v>0</v>
      </c>
      <c r="O40" t="n">
        <v>10</v>
      </c>
      <c r="P40" t="n">
        <v>2</v>
      </c>
      <c r="Q40" t="n">
        <v>10</v>
      </c>
      <c r="R40" s="2" t="inlineStr">
        <is>
          <t>Fläckporing
Skrovlig taggsvamp
Blå taggsvamp
Dvärgbägarlav
Lunglav
Mörk kolflarnlav
Orange taggsvamp
Reliktbock
Stiftgelélav
Vedskivlav</t>
        </is>
      </c>
      <c r="S40">
        <f>HYPERLINK("https://klasma.github.io/Logging_2380/artfynd/A 34816-2024 artfynd.xlsx", "A 34816-2024")</f>
        <v/>
      </c>
      <c r="T40">
        <f>HYPERLINK("https://klasma.github.io/Logging_2380/kartor/A 34816-2024 karta.png", "A 34816-2024")</f>
        <v/>
      </c>
      <c r="V40">
        <f>HYPERLINK("https://klasma.github.io/Logging_2380/klagomål/A 34816-2024 FSC-klagomål.docx", "A 34816-2024")</f>
        <v/>
      </c>
      <c r="W40">
        <f>HYPERLINK("https://klasma.github.io/Logging_2380/klagomålsmail/A 34816-2024 FSC-klagomål mail.docx", "A 34816-2024")</f>
        <v/>
      </c>
      <c r="X40">
        <f>HYPERLINK("https://klasma.github.io/Logging_2380/tillsyn/A 34816-2024 tillsynsbegäran.docx", "A 34816-2024")</f>
        <v/>
      </c>
      <c r="Y40">
        <f>HYPERLINK("https://klasma.github.io/Logging_2380/tillsynsmail/A 34816-2024 tillsynsbegäran mail.docx", "A 34816-2024")</f>
        <v/>
      </c>
    </row>
    <row r="41" ht="15" customHeight="1">
      <c r="A41" t="inlineStr">
        <is>
          <t>A 21753-2023</t>
        </is>
      </c>
      <c r="B41" s="1" t="n">
        <v>45063</v>
      </c>
      <c r="C41" s="1" t="n">
        <v>46200</v>
      </c>
      <c r="D41" t="inlineStr">
        <is>
          <t>JÄMTLANDS LÄN</t>
        </is>
      </c>
      <c r="E41" t="inlineStr">
        <is>
          <t>ÖSTERSUND</t>
        </is>
      </c>
      <c r="G41" t="n">
        <v>6.1</v>
      </c>
      <c r="H41" t="n">
        <v>6</v>
      </c>
      <c r="I41" t="n">
        <v>2</v>
      </c>
      <c r="J41" t="n">
        <v>3</v>
      </c>
      <c r="K41" t="n">
        <v>2</v>
      </c>
      <c r="L41" t="n">
        <v>0</v>
      </c>
      <c r="M41" t="n">
        <v>0</v>
      </c>
      <c r="N41" t="n">
        <v>0</v>
      </c>
      <c r="O41" t="n">
        <v>5</v>
      </c>
      <c r="P41" t="n">
        <v>2</v>
      </c>
      <c r="Q41" t="n">
        <v>10</v>
      </c>
      <c r="R41" s="2" t="inlineStr">
        <is>
          <t>Knärot
Violett guldvinge
Flattoppad klubbsvamp
Rosenticka
Ullticka
Rödgul trumpetsvamp
Spindelblomster
Blåsippa
Svartvit flugsnappare
Fläcknycklar</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55314-2024</t>
        </is>
      </c>
      <c r="B42" s="1" t="n">
        <v>45621</v>
      </c>
      <c r="C42" s="1" t="n">
        <v>46200</v>
      </c>
      <c r="D42" t="inlineStr">
        <is>
          <t>JÄMTLANDS LÄN</t>
        </is>
      </c>
      <c r="E42" t="inlineStr">
        <is>
          <t>ÖSTERSUND</t>
        </is>
      </c>
      <c r="G42" t="n">
        <v>14.2</v>
      </c>
      <c r="H42" t="n">
        <v>4</v>
      </c>
      <c r="I42" t="n">
        <v>3</v>
      </c>
      <c r="J42" t="n">
        <v>4</v>
      </c>
      <c r="K42" t="n">
        <v>1</v>
      </c>
      <c r="L42" t="n">
        <v>0</v>
      </c>
      <c r="M42" t="n">
        <v>0</v>
      </c>
      <c r="N42" t="n">
        <v>0</v>
      </c>
      <c r="O42" t="n">
        <v>5</v>
      </c>
      <c r="P42" t="n">
        <v>1</v>
      </c>
      <c r="Q42" t="n">
        <v>10</v>
      </c>
      <c r="R42" s="2" t="inlineStr">
        <is>
          <t>Garnlav
Lunglav
Skrovellav
Talltita
Tretåig hackspett
Bårdlav
Luddlav
Stuplav
Spillkråka
Tjäder</t>
        </is>
      </c>
      <c r="S42">
        <f>HYPERLINK("https://klasma.github.io/Logging_2380/artfynd/A 55314-2024 artfynd.xlsx", "A 55314-2024")</f>
        <v/>
      </c>
      <c r="T42">
        <f>HYPERLINK("https://klasma.github.io/Logging_2380/kartor/A 55314-2024 karta.png", "A 55314-2024")</f>
        <v/>
      </c>
      <c r="V42">
        <f>HYPERLINK("https://klasma.github.io/Logging_2380/klagomål/A 55314-2024 FSC-klagomål.docx", "A 55314-2024")</f>
        <v/>
      </c>
      <c r="W42">
        <f>HYPERLINK("https://klasma.github.io/Logging_2380/klagomålsmail/A 55314-2024 FSC-klagomål mail.docx", "A 55314-2024")</f>
        <v/>
      </c>
      <c r="X42">
        <f>HYPERLINK("https://klasma.github.io/Logging_2380/tillsyn/A 55314-2024 tillsynsbegäran.docx", "A 55314-2024")</f>
        <v/>
      </c>
      <c r="Y42">
        <f>HYPERLINK("https://klasma.github.io/Logging_2380/tillsynsmail/A 55314-2024 tillsynsbegäran mail.docx", "A 55314-2024")</f>
        <v/>
      </c>
      <c r="Z42">
        <f>HYPERLINK("https://klasma.github.io/Logging_2380/fåglar/A 55314-2024 prioriterade fågelarter.docx", "A 55314-2024")</f>
        <v/>
      </c>
    </row>
    <row r="43" ht="15" customHeight="1">
      <c r="A43" t="inlineStr">
        <is>
          <t>A 45224-2024</t>
        </is>
      </c>
      <c r="B43" s="1" t="n">
        <v>45575</v>
      </c>
      <c r="C43" s="1" t="n">
        <v>46200</v>
      </c>
      <c r="D43" t="inlineStr">
        <is>
          <t>JÄMTLANDS LÄN</t>
        </is>
      </c>
      <c r="E43" t="inlineStr">
        <is>
          <t>ÖSTERSUND</t>
        </is>
      </c>
      <c r="G43" t="n">
        <v>31.6</v>
      </c>
      <c r="H43" t="n">
        <v>5</v>
      </c>
      <c r="I43" t="n">
        <v>5</v>
      </c>
      <c r="J43" t="n">
        <v>2</v>
      </c>
      <c r="K43" t="n">
        <v>1</v>
      </c>
      <c r="L43" t="n">
        <v>0</v>
      </c>
      <c r="M43" t="n">
        <v>0</v>
      </c>
      <c r="N43" t="n">
        <v>0</v>
      </c>
      <c r="O43" t="n">
        <v>3</v>
      </c>
      <c r="P43" t="n">
        <v>1</v>
      </c>
      <c r="Q43" t="n">
        <v>10</v>
      </c>
      <c r="R43" s="2" t="inlineStr">
        <is>
          <t>Garnlav
Talltita
Tretåig hackspett
Gräsull
Guckusko
Rödgul trumpetsvamp
Strimspindling
Vitvaxing agg.
Blåsippa
Tjäder</t>
        </is>
      </c>
      <c r="S43">
        <f>HYPERLINK("https://klasma.github.io/Logging_2380/artfynd/A 45224-2024 artfynd.xlsx", "A 45224-2024")</f>
        <v/>
      </c>
      <c r="T43">
        <f>HYPERLINK("https://klasma.github.io/Logging_2380/kartor/A 45224-2024 karta.png", "A 45224-2024")</f>
        <v/>
      </c>
      <c r="V43">
        <f>HYPERLINK("https://klasma.github.io/Logging_2380/klagomål/A 45224-2024 FSC-klagomål.docx", "A 45224-2024")</f>
        <v/>
      </c>
      <c r="W43">
        <f>HYPERLINK("https://klasma.github.io/Logging_2380/klagomålsmail/A 45224-2024 FSC-klagomål mail.docx", "A 45224-2024")</f>
        <v/>
      </c>
      <c r="X43">
        <f>HYPERLINK("https://klasma.github.io/Logging_2380/tillsyn/A 45224-2024 tillsynsbegäran.docx", "A 45224-2024")</f>
        <v/>
      </c>
      <c r="Y43">
        <f>HYPERLINK("https://klasma.github.io/Logging_2380/tillsynsmail/A 45224-2024 tillsynsbegäran mail.docx", "A 45224-2024")</f>
        <v/>
      </c>
      <c r="Z43">
        <f>HYPERLINK("https://klasma.github.io/Logging_2380/fåglar/A 45224-2024 prioriterade fågelarter.docx", "A 45224-2024")</f>
        <v/>
      </c>
    </row>
    <row r="44" ht="15" customHeight="1">
      <c r="A44" t="inlineStr">
        <is>
          <t>A 48959-2025</t>
        </is>
      </c>
      <c r="B44" s="1" t="n">
        <v>45937</v>
      </c>
      <c r="C44" s="1" t="n">
        <v>46200</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12285-2022</t>
        </is>
      </c>
      <c r="B45" s="1" t="n">
        <v>44637</v>
      </c>
      <c r="C45" s="1" t="n">
        <v>46200</v>
      </c>
      <c r="D45" t="inlineStr">
        <is>
          <t>JÄMTLANDS LÄN</t>
        </is>
      </c>
      <c r="E45" t="inlineStr">
        <is>
          <t>ÖSTERSUND</t>
        </is>
      </c>
      <c r="G45" t="n">
        <v>1.4</v>
      </c>
      <c r="H45" t="n">
        <v>7</v>
      </c>
      <c r="I45" t="n">
        <v>5</v>
      </c>
      <c r="J45" t="n">
        <v>0</v>
      </c>
      <c r="K45" t="n">
        <v>0</v>
      </c>
      <c r="L45" t="n">
        <v>0</v>
      </c>
      <c r="M45" t="n">
        <v>0</v>
      </c>
      <c r="N45" t="n">
        <v>0</v>
      </c>
      <c r="O45" t="n">
        <v>0</v>
      </c>
      <c r="P45" t="n">
        <v>0</v>
      </c>
      <c r="Q45" t="n">
        <v>9</v>
      </c>
      <c r="R45" s="2" t="inlineStr">
        <is>
          <t>Finbräken
Flugblomster
Gräsull
Grönkulla
Tvåblad
Brudsporre
Dubbelnycklar
Fläcknycklar
Vanliga ängsnycklar</t>
        </is>
      </c>
      <c r="S45">
        <f>HYPERLINK("https://klasma.github.io/Logging_2380/artfynd/A 12285-2022 artfynd.xlsx", "A 12285-2022")</f>
        <v/>
      </c>
      <c r="T45">
        <f>HYPERLINK("https://klasma.github.io/Logging_2380/kartor/A 12285-2022 karta.png", "A 12285-2022")</f>
        <v/>
      </c>
      <c r="V45">
        <f>HYPERLINK("https://klasma.github.io/Logging_2380/klagomål/A 12285-2022 FSC-klagomål.docx", "A 12285-2022")</f>
        <v/>
      </c>
      <c r="W45">
        <f>HYPERLINK("https://klasma.github.io/Logging_2380/klagomålsmail/A 12285-2022 FSC-klagomål mail.docx", "A 12285-2022")</f>
        <v/>
      </c>
      <c r="X45">
        <f>HYPERLINK("https://klasma.github.io/Logging_2380/tillsyn/A 12285-2022 tillsynsbegäran.docx", "A 12285-2022")</f>
        <v/>
      </c>
      <c r="Y45">
        <f>HYPERLINK("https://klasma.github.io/Logging_2380/tillsynsmail/A 12285-2022 tillsynsbegäran mail.docx", "A 12285-2022")</f>
        <v/>
      </c>
    </row>
    <row r="46" ht="15" customHeight="1">
      <c r="A46" t="inlineStr">
        <is>
          <t>A 26796-2024</t>
        </is>
      </c>
      <c r="B46" s="1" t="n">
        <v>45470</v>
      </c>
      <c r="C46" s="1" t="n">
        <v>46200</v>
      </c>
      <c r="D46" t="inlineStr">
        <is>
          <t>JÄMTLANDS LÄN</t>
        </is>
      </c>
      <c r="E46" t="inlineStr">
        <is>
          <t>ÖSTERSUND</t>
        </is>
      </c>
      <c r="G46" t="n">
        <v>13.5</v>
      </c>
      <c r="H46" t="n">
        <v>6</v>
      </c>
      <c r="I46" t="n">
        <v>1</v>
      </c>
      <c r="J46" t="n">
        <v>4</v>
      </c>
      <c r="K46" t="n">
        <v>2</v>
      </c>
      <c r="L46" t="n">
        <v>0</v>
      </c>
      <c r="M46" t="n">
        <v>0</v>
      </c>
      <c r="N46" t="n">
        <v>0</v>
      </c>
      <c r="O46" t="n">
        <v>6</v>
      </c>
      <c r="P46" t="n">
        <v>2</v>
      </c>
      <c r="Q46" t="n">
        <v>9</v>
      </c>
      <c r="R46" s="2" t="inlineStr">
        <is>
          <t>Garnlav
Knärot
Harticka
Talltita
Tretåig hackspett
Ullticka
Spindelblomster
Kungsfågel
Revlummer</t>
        </is>
      </c>
      <c r="S46">
        <f>HYPERLINK("https://klasma.github.io/Logging_2380/artfynd/A 26796-2024 artfynd.xlsx", "A 26796-2024")</f>
        <v/>
      </c>
      <c r="T46">
        <f>HYPERLINK("https://klasma.github.io/Logging_2380/kartor/A 26796-2024 karta.png", "A 26796-2024")</f>
        <v/>
      </c>
      <c r="U46">
        <f>HYPERLINK("https://klasma.github.io/Logging_2380/knärot/A 26796-2024 karta knärot.png", "A 26796-2024")</f>
        <v/>
      </c>
      <c r="V46">
        <f>HYPERLINK("https://klasma.github.io/Logging_2380/klagomål/A 26796-2024 FSC-klagomål.docx", "A 26796-2024")</f>
        <v/>
      </c>
      <c r="W46">
        <f>HYPERLINK("https://klasma.github.io/Logging_2380/klagomålsmail/A 26796-2024 FSC-klagomål mail.docx", "A 26796-2024")</f>
        <v/>
      </c>
      <c r="X46">
        <f>HYPERLINK("https://klasma.github.io/Logging_2380/tillsyn/A 26796-2024 tillsynsbegäran.docx", "A 26796-2024")</f>
        <v/>
      </c>
      <c r="Y46">
        <f>HYPERLINK("https://klasma.github.io/Logging_2380/tillsynsmail/A 26796-2024 tillsynsbegäran mail.docx", "A 26796-2024")</f>
        <v/>
      </c>
      <c r="Z46">
        <f>HYPERLINK("https://klasma.github.io/Logging_2380/fåglar/A 26796-2024 prioriterade fågelarter.docx", "A 26796-2024")</f>
        <v/>
      </c>
    </row>
    <row r="47" ht="15" customHeight="1">
      <c r="A47" t="inlineStr">
        <is>
          <t>A 61766-2024</t>
        </is>
      </c>
      <c r="B47" s="1" t="n">
        <v>45649</v>
      </c>
      <c r="C47" s="1" t="n">
        <v>46200</v>
      </c>
      <c r="D47" t="inlineStr">
        <is>
          <t>JÄMTLANDS LÄN</t>
        </is>
      </c>
      <c r="E47" t="inlineStr">
        <is>
          <t>ÖSTERSUND</t>
        </is>
      </c>
      <c r="G47" t="n">
        <v>14.9</v>
      </c>
      <c r="H47" t="n">
        <v>5</v>
      </c>
      <c r="I47" t="n">
        <v>1</v>
      </c>
      <c r="J47" t="n">
        <v>4</v>
      </c>
      <c r="K47" t="n">
        <v>1</v>
      </c>
      <c r="L47" t="n">
        <v>0</v>
      </c>
      <c r="M47" t="n">
        <v>0</v>
      </c>
      <c r="N47" t="n">
        <v>0</v>
      </c>
      <c r="O47" t="n">
        <v>5</v>
      </c>
      <c r="P47" t="n">
        <v>1</v>
      </c>
      <c r="Q47" t="n">
        <v>9</v>
      </c>
      <c r="R47" s="2" t="inlineStr">
        <is>
          <t>Garnlav
Gammelgransskål
Lunglav
Talltita
Tretåig hackspett
Luddlav
Järpe
Spillkråka
Revlummer</t>
        </is>
      </c>
      <c r="S47">
        <f>HYPERLINK("https://klasma.github.io/Logging_2380/artfynd/A 61766-2024 artfynd.xlsx", "A 61766-2024")</f>
        <v/>
      </c>
      <c r="T47">
        <f>HYPERLINK("https://klasma.github.io/Logging_2380/kartor/A 61766-2024 karta.png", "A 61766-2024")</f>
        <v/>
      </c>
      <c r="V47">
        <f>HYPERLINK("https://klasma.github.io/Logging_2380/klagomål/A 61766-2024 FSC-klagomål.docx", "A 61766-2024")</f>
        <v/>
      </c>
      <c r="W47">
        <f>HYPERLINK("https://klasma.github.io/Logging_2380/klagomålsmail/A 61766-2024 FSC-klagomål mail.docx", "A 61766-2024")</f>
        <v/>
      </c>
      <c r="X47">
        <f>HYPERLINK("https://klasma.github.io/Logging_2380/tillsyn/A 61766-2024 tillsynsbegäran.docx", "A 61766-2024")</f>
        <v/>
      </c>
      <c r="Y47">
        <f>HYPERLINK("https://klasma.github.io/Logging_2380/tillsynsmail/A 61766-2024 tillsynsbegäran mail.docx", "A 61766-2024")</f>
        <v/>
      </c>
      <c r="Z47">
        <f>HYPERLINK("https://klasma.github.io/Logging_2380/fåglar/A 61766-2024 prioriterade fågelarter.docx", "A 61766-2024")</f>
        <v/>
      </c>
    </row>
    <row r="48" ht="15" customHeight="1">
      <c r="A48" t="inlineStr">
        <is>
          <t>A 19444-2026</t>
        </is>
      </c>
      <c r="B48" s="1" t="n">
        <v>46133</v>
      </c>
      <c r="C48" s="1" t="n">
        <v>46200</v>
      </c>
      <c r="D48" t="inlineStr">
        <is>
          <t>JÄMTLANDS LÄN</t>
        </is>
      </c>
      <c r="E48" t="inlineStr">
        <is>
          <t>ÖSTERSUND</t>
        </is>
      </c>
      <c r="F48" t="inlineStr">
        <is>
          <t>SCA</t>
        </is>
      </c>
      <c r="G48" t="n">
        <v>1.2</v>
      </c>
      <c r="H48" t="n">
        <v>5</v>
      </c>
      <c r="I48" t="n">
        <v>5</v>
      </c>
      <c r="J48" t="n">
        <v>2</v>
      </c>
      <c r="K48" t="n">
        <v>1</v>
      </c>
      <c r="L48" t="n">
        <v>0</v>
      </c>
      <c r="M48" t="n">
        <v>0</v>
      </c>
      <c r="N48" t="n">
        <v>0</v>
      </c>
      <c r="O48" t="n">
        <v>3</v>
      </c>
      <c r="P48" t="n">
        <v>1</v>
      </c>
      <c r="Q48" t="n">
        <v>9</v>
      </c>
      <c r="R48" s="2" t="inlineStr">
        <is>
          <t>Garnlav
Brunpudrad nållav
Ullticka
Grönkulla
Korallrot
Spindelblomster
Trådfräken
Tvåblad
Fläcknycklar</t>
        </is>
      </c>
      <c r="S48">
        <f>HYPERLINK("https://klasma.github.io/Logging_2380/artfynd/A 19444-2026 artfynd.xlsx", "A 19444-2026")</f>
        <v/>
      </c>
      <c r="T48">
        <f>HYPERLINK("https://klasma.github.io/Logging_2380/kartor/A 19444-2026 karta.png", "A 19444-2026")</f>
        <v/>
      </c>
      <c r="V48">
        <f>HYPERLINK("https://klasma.github.io/Logging_2380/klagomål/A 19444-2026 FSC-klagomål.docx", "A 19444-2026")</f>
        <v/>
      </c>
      <c r="W48">
        <f>HYPERLINK("https://klasma.github.io/Logging_2380/klagomålsmail/A 19444-2026 FSC-klagomål mail.docx", "A 19444-2026")</f>
        <v/>
      </c>
      <c r="X48">
        <f>HYPERLINK("https://klasma.github.io/Logging_2380/tillsyn/A 19444-2026 tillsynsbegäran.docx", "A 19444-2026")</f>
        <v/>
      </c>
      <c r="Y48">
        <f>HYPERLINK("https://klasma.github.io/Logging_2380/tillsynsmail/A 19444-2026 tillsynsbegäran mail.docx", "A 19444-2026")</f>
        <v/>
      </c>
    </row>
    <row r="49" ht="15" customHeight="1">
      <c r="A49" t="inlineStr">
        <is>
          <t>A 51908-2025</t>
        </is>
      </c>
      <c r="B49" s="1" t="n">
        <v>45952</v>
      </c>
      <c r="C49" s="1" t="n">
        <v>46200</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18114-2026</t>
        </is>
      </c>
      <c r="B50" s="1" t="n">
        <v>46125</v>
      </c>
      <c r="C50" s="1" t="n">
        <v>46200</v>
      </c>
      <c r="D50" t="inlineStr">
        <is>
          <t>JÄMTLANDS LÄN</t>
        </is>
      </c>
      <c r="E50" t="inlineStr">
        <is>
          <t>ÖSTERSUND</t>
        </is>
      </c>
      <c r="G50" t="n">
        <v>8.300000000000001</v>
      </c>
      <c r="H50" t="n">
        <v>3</v>
      </c>
      <c r="I50" t="n">
        <v>0</v>
      </c>
      <c r="J50" t="n">
        <v>6</v>
      </c>
      <c r="K50" t="n">
        <v>3</v>
      </c>
      <c r="L50" t="n">
        <v>0</v>
      </c>
      <c r="M50" t="n">
        <v>0</v>
      </c>
      <c r="N50" t="n">
        <v>0</v>
      </c>
      <c r="O50" t="n">
        <v>9</v>
      </c>
      <c r="P50" t="n">
        <v>3</v>
      </c>
      <c r="Q50" t="n">
        <v>9</v>
      </c>
      <c r="R50" s="2" t="inlineStr">
        <is>
          <t>Blackticka
Garnlav
Knärot
Gammelgransskål
Rynkskinn
Talltita
Tretåig hackspett
Ullticka
Vitgrynig nållav</t>
        </is>
      </c>
      <c r="S50">
        <f>HYPERLINK("https://klasma.github.io/Logging_2380/artfynd/A 18114-2026 artfynd.xlsx", "A 18114-2026")</f>
        <v/>
      </c>
      <c r="T50">
        <f>HYPERLINK("https://klasma.github.io/Logging_2380/kartor/A 18114-2026 karta.png", "A 18114-2026")</f>
        <v/>
      </c>
      <c r="U50">
        <f>HYPERLINK("https://klasma.github.io/Logging_2380/knärot/A 18114-2026 karta knärot.png", "A 18114-2026")</f>
        <v/>
      </c>
      <c r="V50">
        <f>HYPERLINK("https://klasma.github.io/Logging_2380/klagomål/A 18114-2026 FSC-klagomål.docx", "A 18114-2026")</f>
        <v/>
      </c>
      <c r="W50">
        <f>HYPERLINK("https://klasma.github.io/Logging_2380/klagomålsmail/A 18114-2026 FSC-klagomål mail.docx", "A 18114-2026")</f>
        <v/>
      </c>
      <c r="X50">
        <f>HYPERLINK("https://klasma.github.io/Logging_2380/tillsyn/A 18114-2026 tillsynsbegäran.docx", "A 18114-2026")</f>
        <v/>
      </c>
      <c r="Y50">
        <f>HYPERLINK("https://klasma.github.io/Logging_2380/tillsynsmail/A 18114-2026 tillsynsbegäran mail.docx", "A 18114-2026")</f>
        <v/>
      </c>
      <c r="Z50">
        <f>HYPERLINK("https://klasma.github.io/Logging_2380/fåglar/A 18114-2026 prioriterade fågelarter.docx", "A 18114-2026")</f>
        <v/>
      </c>
    </row>
    <row r="51" ht="15" customHeight="1">
      <c r="A51" t="inlineStr">
        <is>
          <t>A 49056-2025</t>
        </is>
      </c>
      <c r="B51" s="1" t="n">
        <v>45937</v>
      </c>
      <c r="C51" s="1" t="n">
        <v>46200</v>
      </c>
      <c r="D51" t="inlineStr">
        <is>
          <t>JÄMTLANDS LÄN</t>
        </is>
      </c>
      <c r="E51" t="inlineStr">
        <is>
          <t>ÖSTERSUND</t>
        </is>
      </c>
      <c r="G51" t="n">
        <v>6.1</v>
      </c>
      <c r="H51" t="n">
        <v>5</v>
      </c>
      <c r="I51" t="n">
        <v>3</v>
      </c>
      <c r="J51" t="n">
        <v>2</v>
      </c>
      <c r="K51" t="n">
        <v>2</v>
      </c>
      <c r="L51" t="n">
        <v>0</v>
      </c>
      <c r="M51" t="n">
        <v>0</v>
      </c>
      <c r="N51" t="n">
        <v>0</v>
      </c>
      <c r="O51" t="n">
        <v>4</v>
      </c>
      <c r="P51" t="n">
        <v>2</v>
      </c>
      <c r="Q51" t="n">
        <v>9</v>
      </c>
      <c r="R51" s="2" t="inlineStr">
        <is>
          <t>Garnlav
Knärot
Harticka
Tretåig hackspett
Grönkulla
Kransrams
Norrlandslav
Blåsippa
Spillkråka</t>
        </is>
      </c>
      <c r="S51">
        <f>HYPERLINK("https://klasma.github.io/Logging_2380/artfynd/A 49056-2025 artfynd.xlsx", "A 49056-2025")</f>
        <v/>
      </c>
      <c r="T51">
        <f>HYPERLINK("https://klasma.github.io/Logging_2380/kartor/A 49056-2025 karta.png", "A 49056-2025")</f>
        <v/>
      </c>
      <c r="U51">
        <f>HYPERLINK("https://klasma.github.io/Logging_2380/knärot/A 49056-2025 karta knärot.png", "A 49056-2025")</f>
        <v/>
      </c>
      <c r="V51">
        <f>HYPERLINK("https://klasma.github.io/Logging_2380/klagomål/A 49056-2025 FSC-klagomål.docx", "A 49056-2025")</f>
        <v/>
      </c>
      <c r="W51">
        <f>HYPERLINK("https://klasma.github.io/Logging_2380/klagomålsmail/A 49056-2025 FSC-klagomål mail.docx", "A 49056-2025")</f>
        <v/>
      </c>
      <c r="X51">
        <f>HYPERLINK("https://klasma.github.io/Logging_2380/tillsyn/A 49056-2025 tillsynsbegäran.docx", "A 49056-2025")</f>
        <v/>
      </c>
      <c r="Y51">
        <f>HYPERLINK("https://klasma.github.io/Logging_2380/tillsynsmail/A 49056-2025 tillsynsbegäran mail.docx", "A 49056-2025")</f>
        <v/>
      </c>
      <c r="Z51">
        <f>HYPERLINK("https://klasma.github.io/Logging_2380/fåglar/A 49056-2025 prioriterade fågelarter.docx", "A 49056-2025")</f>
        <v/>
      </c>
    </row>
    <row r="52" ht="15" customHeight="1">
      <c r="A52" t="inlineStr">
        <is>
          <t>A 49928-2025</t>
        </is>
      </c>
      <c r="B52" s="1" t="n">
        <v>45940</v>
      </c>
      <c r="C52" s="1" t="n">
        <v>46200</v>
      </c>
      <c r="D52" t="inlineStr">
        <is>
          <t>JÄMTLANDS LÄN</t>
        </is>
      </c>
      <c r="E52" t="inlineStr">
        <is>
          <t>ÖSTERSUND</t>
        </is>
      </c>
      <c r="G52" t="n">
        <v>6.4</v>
      </c>
      <c r="H52" t="n">
        <v>3</v>
      </c>
      <c r="I52" t="n">
        <v>2</v>
      </c>
      <c r="J52" t="n">
        <v>4</v>
      </c>
      <c r="K52" t="n">
        <v>2</v>
      </c>
      <c r="L52" t="n">
        <v>0</v>
      </c>
      <c r="M52" t="n">
        <v>0</v>
      </c>
      <c r="N52" t="n">
        <v>0</v>
      </c>
      <c r="O52" t="n">
        <v>6</v>
      </c>
      <c r="P52" t="n">
        <v>2</v>
      </c>
      <c r="Q52" t="n">
        <v>9</v>
      </c>
      <c r="R52" s="2" t="inlineStr">
        <is>
          <t>Garnlav
Knärot
Doftskinn
Harticka
Tretåig hackspett
Ullticka
Rödgul trumpetsvamp
Trådticka
Revlummer</t>
        </is>
      </c>
      <c r="S52">
        <f>HYPERLINK("https://klasma.github.io/Logging_2380/artfynd/A 49928-2025 artfynd.xlsx", "A 49928-2025")</f>
        <v/>
      </c>
      <c r="T52">
        <f>HYPERLINK("https://klasma.github.io/Logging_2380/kartor/A 49928-2025 karta.png", "A 49928-2025")</f>
        <v/>
      </c>
      <c r="U52">
        <f>HYPERLINK("https://klasma.github.io/Logging_2380/knärot/A 49928-2025 karta knärot.png", "A 49928-2025")</f>
        <v/>
      </c>
      <c r="V52">
        <f>HYPERLINK("https://klasma.github.io/Logging_2380/klagomål/A 49928-2025 FSC-klagomål.docx", "A 49928-2025")</f>
        <v/>
      </c>
      <c r="W52">
        <f>HYPERLINK("https://klasma.github.io/Logging_2380/klagomålsmail/A 49928-2025 FSC-klagomål mail.docx", "A 49928-2025")</f>
        <v/>
      </c>
      <c r="X52">
        <f>HYPERLINK("https://klasma.github.io/Logging_2380/tillsyn/A 49928-2025 tillsynsbegäran.docx", "A 49928-2025")</f>
        <v/>
      </c>
      <c r="Y52">
        <f>HYPERLINK("https://klasma.github.io/Logging_2380/tillsynsmail/A 49928-2025 tillsynsbegäran mail.docx", "A 49928-2025")</f>
        <v/>
      </c>
      <c r="Z52">
        <f>HYPERLINK("https://klasma.github.io/Logging_2380/fåglar/A 49928-2025 prioriterade fågelarter.docx", "A 49928-2025")</f>
        <v/>
      </c>
    </row>
    <row r="53" ht="15" customHeight="1">
      <c r="A53" t="inlineStr">
        <is>
          <t>A 40777-2023</t>
        </is>
      </c>
      <c r="B53" s="1" t="n">
        <v>45170</v>
      </c>
      <c r="C53" s="1" t="n">
        <v>46200</v>
      </c>
      <c r="D53" t="inlineStr">
        <is>
          <t>JÄMTLANDS LÄN</t>
        </is>
      </c>
      <c r="E53" t="inlineStr">
        <is>
          <t>ÖSTERSUND</t>
        </is>
      </c>
      <c r="F53" t="inlineStr">
        <is>
          <t>SCA</t>
        </is>
      </c>
      <c r="G53" t="n">
        <v>16.4</v>
      </c>
      <c r="H53" t="n">
        <v>3</v>
      </c>
      <c r="I53" t="n">
        <v>1</v>
      </c>
      <c r="J53" t="n">
        <v>5</v>
      </c>
      <c r="K53" t="n">
        <v>1</v>
      </c>
      <c r="L53" t="n">
        <v>0</v>
      </c>
      <c r="M53" t="n">
        <v>0</v>
      </c>
      <c r="N53" t="n">
        <v>0</v>
      </c>
      <c r="O53" t="n">
        <v>6</v>
      </c>
      <c r="P53" t="n">
        <v>1</v>
      </c>
      <c r="Q53" t="n">
        <v>8</v>
      </c>
      <c r="R53" s="2" t="inlineStr">
        <is>
          <t>Doftticka
Kungsörn
Lunglav
Stiftgelélav
Veckticka
Vedtrappmossa
Korallblylav
Blåsippa</t>
        </is>
      </c>
      <c r="S53">
        <f>HYPERLINK("https://klasma.github.io/Logging_2380/artfynd/A 40777-2023 artfynd.xlsx", "A 40777-2023")</f>
        <v/>
      </c>
      <c r="T53">
        <f>HYPERLINK("https://klasma.github.io/Logging_2380/kartor/A 40777-2023 karta.png", "A 40777-2023")</f>
        <v/>
      </c>
      <c r="V53">
        <f>HYPERLINK("https://klasma.github.io/Logging_2380/klagomål/A 40777-2023 FSC-klagomål.docx", "A 40777-2023")</f>
        <v/>
      </c>
      <c r="W53">
        <f>HYPERLINK("https://klasma.github.io/Logging_2380/klagomålsmail/A 40777-2023 FSC-klagomål mail.docx", "A 40777-2023")</f>
        <v/>
      </c>
      <c r="X53">
        <f>HYPERLINK("https://klasma.github.io/Logging_2380/tillsyn/A 40777-2023 tillsynsbegäran.docx", "A 40777-2023")</f>
        <v/>
      </c>
      <c r="Y53">
        <f>HYPERLINK("https://klasma.github.io/Logging_2380/tillsynsmail/A 40777-2023 tillsynsbegäran mail.docx", "A 40777-2023")</f>
        <v/>
      </c>
      <c r="Z53">
        <f>HYPERLINK("https://klasma.github.io/Logging_2380/fåglar/A 40777-2023 prioriterade fågelarter.docx", "A 40777-2023")</f>
        <v/>
      </c>
    </row>
    <row r="54" ht="15" customHeight="1">
      <c r="A54" t="inlineStr">
        <is>
          <t>A 7710-2024</t>
        </is>
      </c>
      <c r="B54" s="1" t="n">
        <v>45349</v>
      </c>
      <c r="C54" s="1" t="n">
        <v>46200</v>
      </c>
      <c r="D54" t="inlineStr">
        <is>
          <t>JÄMTLANDS LÄN</t>
        </is>
      </c>
      <c r="E54" t="inlineStr">
        <is>
          <t>ÖSTERSUND</t>
        </is>
      </c>
      <c r="F54" t="inlineStr">
        <is>
          <t>Övriga Aktiebolag</t>
        </is>
      </c>
      <c r="G54" t="n">
        <v>0.7</v>
      </c>
      <c r="H54" t="n">
        <v>7</v>
      </c>
      <c r="I54" t="n">
        <v>3</v>
      </c>
      <c r="J54" t="n">
        <v>1</v>
      </c>
      <c r="K54" t="n">
        <v>1</v>
      </c>
      <c r="L54" t="n">
        <v>0</v>
      </c>
      <c r="M54" t="n">
        <v>0</v>
      </c>
      <c r="N54" t="n">
        <v>0</v>
      </c>
      <c r="O54" t="n">
        <v>2</v>
      </c>
      <c r="P54" t="n">
        <v>1</v>
      </c>
      <c r="Q54" t="n">
        <v>8</v>
      </c>
      <c r="R54" s="2" t="inlineStr">
        <is>
          <t>Garnlav
Talltita
Guckusko
Spindelblomster
Tvåblad
Brudsporre
Fläcknycklar
Revlummer</t>
        </is>
      </c>
      <c r="S54">
        <f>HYPERLINK("https://klasma.github.io/Logging_2380/artfynd/A 7710-2024 artfynd.xlsx", "A 7710-2024")</f>
        <v/>
      </c>
      <c r="T54">
        <f>HYPERLINK("https://klasma.github.io/Logging_2380/kartor/A 7710-2024 karta.png", "A 7710-2024")</f>
        <v/>
      </c>
      <c r="V54">
        <f>HYPERLINK("https://klasma.github.io/Logging_2380/klagomål/A 7710-2024 FSC-klagomål.docx", "A 7710-2024")</f>
        <v/>
      </c>
      <c r="W54">
        <f>HYPERLINK("https://klasma.github.io/Logging_2380/klagomålsmail/A 7710-2024 FSC-klagomål mail.docx", "A 7710-2024")</f>
        <v/>
      </c>
      <c r="X54">
        <f>HYPERLINK("https://klasma.github.io/Logging_2380/tillsyn/A 7710-2024 tillsynsbegäran.docx", "A 7710-2024")</f>
        <v/>
      </c>
      <c r="Y54">
        <f>HYPERLINK("https://klasma.github.io/Logging_2380/tillsynsmail/A 7710-2024 tillsynsbegäran mail.docx", "A 7710-2024")</f>
        <v/>
      </c>
      <c r="Z54">
        <f>HYPERLINK("https://klasma.github.io/Logging_2380/fåglar/A 7710-2024 prioriterade fågelarter.docx", "A 7710-2024")</f>
        <v/>
      </c>
    </row>
    <row r="55" ht="15" customHeight="1">
      <c r="A55" t="inlineStr">
        <is>
          <t>A 40815-2025</t>
        </is>
      </c>
      <c r="B55" s="1" t="n">
        <v>45897</v>
      </c>
      <c r="C55" s="1" t="n">
        <v>46200</v>
      </c>
      <c r="D55" t="inlineStr">
        <is>
          <t>JÄMTLANDS LÄN</t>
        </is>
      </c>
      <c r="E55" t="inlineStr">
        <is>
          <t>ÖSTERSUND</t>
        </is>
      </c>
      <c r="F55" t="inlineStr">
        <is>
          <t>Kommuner</t>
        </is>
      </c>
      <c r="G55" t="n">
        <v>0.8</v>
      </c>
      <c r="H55" t="n">
        <v>3</v>
      </c>
      <c r="I55" t="n">
        <v>4</v>
      </c>
      <c r="J55" t="n">
        <v>1</v>
      </c>
      <c r="K55" t="n">
        <v>1</v>
      </c>
      <c r="L55" t="n">
        <v>0</v>
      </c>
      <c r="M55" t="n">
        <v>0</v>
      </c>
      <c r="N55" t="n">
        <v>0</v>
      </c>
      <c r="O55" t="n">
        <v>2</v>
      </c>
      <c r="P55" t="n">
        <v>1</v>
      </c>
      <c r="Q55" t="n">
        <v>8</v>
      </c>
      <c r="R55" s="2" t="inlineStr">
        <is>
          <t>Blackticka
Lunglav
Kransrams
Spindelblomster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60614-2022</t>
        </is>
      </c>
      <c r="B56" s="1" t="n">
        <v>44911</v>
      </c>
      <c r="C56" s="1" t="n">
        <v>46200</v>
      </c>
      <c r="D56" t="inlineStr">
        <is>
          <t>JÄMTLANDS LÄN</t>
        </is>
      </c>
      <c r="E56" t="inlineStr">
        <is>
          <t>ÖSTERSUND</t>
        </is>
      </c>
      <c r="G56" t="n">
        <v>17.6</v>
      </c>
      <c r="H56" t="n">
        <v>3</v>
      </c>
      <c r="I56" t="n">
        <v>0</v>
      </c>
      <c r="J56" t="n">
        <v>5</v>
      </c>
      <c r="K56" t="n">
        <v>2</v>
      </c>
      <c r="L56" t="n">
        <v>0</v>
      </c>
      <c r="M56" t="n">
        <v>0</v>
      </c>
      <c r="N56" t="n">
        <v>0</v>
      </c>
      <c r="O56" t="n">
        <v>7</v>
      </c>
      <c r="P56" t="n">
        <v>2</v>
      </c>
      <c r="Q56" t="n">
        <v>8</v>
      </c>
      <c r="R56" s="2" t="inlineStr">
        <is>
          <t>Garnlav
Violett guldvinge
Barrfagerspindling
Dropptaggsvamp
Kolflarnlav
Orange taggsvamp
Tretåig hackspett
Blåsippa</t>
        </is>
      </c>
      <c r="S56">
        <f>HYPERLINK("https://klasma.github.io/Logging_2380/artfynd/A 60614-2022 artfynd.xlsx", "A 60614-2022")</f>
        <v/>
      </c>
      <c r="T56">
        <f>HYPERLINK("https://klasma.github.io/Logging_2380/kartor/A 60614-2022 karta.png", "A 60614-2022")</f>
        <v/>
      </c>
      <c r="V56">
        <f>HYPERLINK("https://klasma.github.io/Logging_2380/klagomål/A 60614-2022 FSC-klagomål.docx", "A 60614-2022")</f>
        <v/>
      </c>
      <c r="W56">
        <f>HYPERLINK("https://klasma.github.io/Logging_2380/klagomålsmail/A 60614-2022 FSC-klagomål mail.docx", "A 60614-2022")</f>
        <v/>
      </c>
      <c r="X56">
        <f>HYPERLINK("https://klasma.github.io/Logging_2380/tillsyn/A 60614-2022 tillsynsbegäran.docx", "A 60614-2022")</f>
        <v/>
      </c>
      <c r="Y56">
        <f>HYPERLINK("https://klasma.github.io/Logging_2380/tillsynsmail/A 60614-2022 tillsynsbegäran mail.docx", "A 60614-2022")</f>
        <v/>
      </c>
      <c r="Z56">
        <f>HYPERLINK("https://klasma.github.io/Logging_2380/fåglar/A 60614-2022 prioriterade fågelarter.docx", "A 60614-2022")</f>
        <v/>
      </c>
    </row>
    <row r="57" ht="15" customHeight="1">
      <c r="A57" t="inlineStr">
        <is>
          <t>A 17267-2026</t>
        </is>
      </c>
      <c r="B57" s="1" t="n">
        <v>46119</v>
      </c>
      <c r="C57" s="1" t="n">
        <v>46200</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46200</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46200</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46200</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46200</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2962-2023</t>
        </is>
      </c>
      <c r="B62" s="1" t="n">
        <v>44945</v>
      </c>
      <c r="C62" s="1" t="n">
        <v>46200</v>
      </c>
      <c r="D62" t="inlineStr">
        <is>
          <t>JÄMTLANDS LÄN</t>
        </is>
      </c>
      <c r="E62" t="inlineStr">
        <is>
          <t>ÖSTERSUND</t>
        </is>
      </c>
      <c r="F62" t="inlineStr">
        <is>
          <t>Övriga Aktiebolag</t>
        </is>
      </c>
      <c r="G62" t="n">
        <v>14.4</v>
      </c>
      <c r="H62" t="n">
        <v>3</v>
      </c>
      <c r="I62" t="n">
        <v>2</v>
      </c>
      <c r="J62" t="n">
        <v>2</v>
      </c>
      <c r="K62" t="n">
        <v>1</v>
      </c>
      <c r="L62" t="n">
        <v>0</v>
      </c>
      <c r="M62" t="n">
        <v>0</v>
      </c>
      <c r="N62" t="n">
        <v>0</v>
      </c>
      <c r="O62" t="n">
        <v>3</v>
      </c>
      <c r="P62" t="n">
        <v>1</v>
      </c>
      <c r="Q62" t="n">
        <v>7</v>
      </c>
      <c r="R62" s="2" t="inlineStr">
        <is>
          <t>Garnlav
Lunglav
Tretåig hackspett
Norrlandslav
Stuplav
Tjäder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16369-2023</t>
        </is>
      </c>
      <c r="B63" s="1" t="n">
        <v>45028</v>
      </c>
      <c r="C63" s="1" t="n">
        <v>46200</v>
      </c>
      <c r="D63" t="inlineStr">
        <is>
          <t>JÄMTLANDS LÄN</t>
        </is>
      </c>
      <c r="E63" t="inlineStr">
        <is>
          <t>ÖSTERSUND</t>
        </is>
      </c>
      <c r="F63" t="inlineStr">
        <is>
          <t>SCA</t>
        </is>
      </c>
      <c r="G63" t="n">
        <v>4.6</v>
      </c>
      <c r="H63" t="n">
        <v>2</v>
      </c>
      <c r="I63" t="n">
        <v>1</v>
      </c>
      <c r="J63" t="n">
        <v>4</v>
      </c>
      <c r="K63" t="n">
        <v>1</v>
      </c>
      <c r="L63" t="n">
        <v>0</v>
      </c>
      <c r="M63" t="n">
        <v>0</v>
      </c>
      <c r="N63" t="n">
        <v>0</v>
      </c>
      <c r="O63" t="n">
        <v>5</v>
      </c>
      <c r="P63" t="n">
        <v>1</v>
      </c>
      <c r="Q63" t="n">
        <v>7</v>
      </c>
      <c r="R63" s="2" t="inlineStr">
        <is>
          <t>Gränsticka
Flattoppad klubbsvamp
Lavskrika
Rynkskinn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c r="Z63">
        <f>HYPERLINK("https://klasma.github.io/Logging_2380/fåglar/A 16369-2023 prioriterade fågelarter.docx", "A 16369-2023")</f>
        <v/>
      </c>
    </row>
    <row r="64" ht="15" customHeight="1">
      <c r="A64" t="inlineStr">
        <is>
          <t>A 26372-2025</t>
        </is>
      </c>
      <c r="B64" s="1" t="n">
        <v>45806</v>
      </c>
      <c r="C64" s="1" t="n">
        <v>46200</v>
      </c>
      <c r="D64" t="inlineStr">
        <is>
          <t>JÄMTLANDS LÄN</t>
        </is>
      </c>
      <c r="E64" t="inlineStr">
        <is>
          <t>ÖSTERSUND</t>
        </is>
      </c>
      <c r="G64" t="n">
        <v>4.3</v>
      </c>
      <c r="H64" t="n">
        <v>4</v>
      </c>
      <c r="I64" t="n">
        <v>2</v>
      </c>
      <c r="J64" t="n">
        <v>2</v>
      </c>
      <c r="K64" t="n">
        <v>2</v>
      </c>
      <c r="L64" t="n">
        <v>0</v>
      </c>
      <c r="M64" t="n">
        <v>0</v>
      </c>
      <c r="N64" t="n">
        <v>0</v>
      </c>
      <c r="O64" t="n">
        <v>4</v>
      </c>
      <c r="P64" t="n">
        <v>2</v>
      </c>
      <c r="Q64" t="n">
        <v>7</v>
      </c>
      <c r="R64" s="2" t="inlineStr">
        <is>
          <t>Garnlav
Knärot
Harticka
Tretåig hackspett
Luddlav
Spindelblomster
Kungsfågel</t>
        </is>
      </c>
      <c r="S64">
        <f>HYPERLINK("https://klasma.github.io/Logging_2380/artfynd/A 26372-2025 artfynd.xlsx", "A 26372-2025")</f>
        <v/>
      </c>
      <c r="T64">
        <f>HYPERLINK("https://klasma.github.io/Logging_2380/kartor/A 26372-2025 karta.png", "A 26372-2025")</f>
        <v/>
      </c>
      <c r="U64">
        <f>HYPERLINK("https://klasma.github.io/Logging_2380/knärot/A 26372-2025 karta knärot.png", "A 26372-2025")</f>
        <v/>
      </c>
      <c r="V64">
        <f>HYPERLINK("https://klasma.github.io/Logging_2380/klagomål/A 26372-2025 FSC-klagomål.docx", "A 26372-2025")</f>
        <v/>
      </c>
      <c r="W64">
        <f>HYPERLINK("https://klasma.github.io/Logging_2380/klagomålsmail/A 26372-2025 FSC-klagomål mail.docx", "A 26372-2025")</f>
        <v/>
      </c>
      <c r="X64">
        <f>HYPERLINK("https://klasma.github.io/Logging_2380/tillsyn/A 26372-2025 tillsynsbegäran.docx", "A 26372-2025")</f>
        <v/>
      </c>
      <c r="Y64">
        <f>HYPERLINK("https://klasma.github.io/Logging_2380/tillsynsmail/A 26372-2025 tillsynsbegäran mail.docx", "A 26372-2025")</f>
        <v/>
      </c>
      <c r="Z64">
        <f>HYPERLINK("https://klasma.github.io/Logging_2380/fåglar/A 26372-2025 prioriterade fågelarter.docx", "A 26372-2025")</f>
        <v/>
      </c>
    </row>
    <row r="65" ht="15" customHeight="1">
      <c r="A65" t="inlineStr">
        <is>
          <t>A 3894-2026</t>
        </is>
      </c>
      <c r="B65" s="1" t="n">
        <v>46043</v>
      </c>
      <c r="C65" s="1" t="n">
        <v>46200</v>
      </c>
      <c r="D65" t="inlineStr">
        <is>
          <t>JÄMTLANDS LÄN</t>
        </is>
      </c>
      <c r="E65" t="inlineStr">
        <is>
          <t>ÖSTERSUND</t>
        </is>
      </c>
      <c r="G65" t="n">
        <v>3.5</v>
      </c>
      <c r="H65" t="n">
        <v>2</v>
      </c>
      <c r="I65" t="n">
        <v>1</v>
      </c>
      <c r="J65" t="n">
        <v>5</v>
      </c>
      <c r="K65" t="n">
        <v>1</v>
      </c>
      <c r="L65" t="n">
        <v>0</v>
      </c>
      <c r="M65" t="n">
        <v>0</v>
      </c>
      <c r="N65" t="n">
        <v>0</v>
      </c>
      <c r="O65" t="n">
        <v>6</v>
      </c>
      <c r="P65" t="n">
        <v>1</v>
      </c>
      <c r="Q65" t="n">
        <v>7</v>
      </c>
      <c r="R65" s="2" t="inlineStr">
        <is>
          <t>Garnlav
Lunglav
Rynkskinn
Talltita
Tretåig hackspett
Vitgrynig nållav
Trådticka</t>
        </is>
      </c>
      <c r="S65">
        <f>HYPERLINK("https://klasma.github.io/Logging_2380/artfynd/A 3894-2026 artfynd.xlsx", "A 3894-2026")</f>
        <v/>
      </c>
      <c r="T65">
        <f>HYPERLINK("https://klasma.github.io/Logging_2380/kartor/A 3894-2026 karta.png", "A 3894-2026")</f>
        <v/>
      </c>
      <c r="V65">
        <f>HYPERLINK("https://klasma.github.io/Logging_2380/klagomål/A 3894-2026 FSC-klagomål.docx", "A 3894-2026")</f>
        <v/>
      </c>
      <c r="W65">
        <f>HYPERLINK("https://klasma.github.io/Logging_2380/klagomålsmail/A 3894-2026 FSC-klagomål mail.docx", "A 3894-2026")</f>
        <v/>
      </c>
      <c r="X65">
        <f>HYPERLINK("https://klasma.github.io/Logging_2380/tillsyn/A 3894-2026 tillsynsbegäran.docx", "A 3894-2026")</f>
        <v/>
      </c>
      <c r="Y65">
        <f>HYPERLINK("https://klasma.github.io/Logging_2380/tillsynsmail/A 3894-2026 tillsynsbegäran mail.docx", "A 3894-2026")</f>
        <v/>
      </c>
      <c r="Z65">
        <f>HYPERLINK("https://klasma.github.io/Logging_2380/fåglar/A 3894-2026 prioriterade fågelarter.docx", "A 3894-2026")</f>
        <v/>
      </c>
    </row>
    <row r="66" ht="15" customHeight="1">
      <c r="A66" t="inlineStr">
        <is>
          <t>A 17456-2026</t>
        </is>
      </c>
      <c r="B66" s="1" t="n">
        <v>46119</v>
      </c>
      <c r="C66" s="1" t="n">
        <v>46200</v>
      </c>
      <c r="D66" t="inlineStr">
        <is>
          <t>JÄMTLANDS LÄN</t>
        </is>
      </c>
      <c r="E66" t="inlineStr">
        <is>
          <t>ÖSTERSUND</t>
        </is>
      </c>
      <c r="F66" t="inlineStr">
        <is>
          <t>Kommuner</t>
        </is>
      </c>
      <c r="G66" t="n">
        <v>0.4</v>
      </c>
      <c r="H66" t="n">
        <v>1</v>
      </c>
      <c r="I66" t="n">
        <v>1</v>
      </c>
      <c r="J66" t="n">
        <v>0</v>
      </c>
      <c r="K66" t="n">
        <v>0</v>
      </c>
      <c r="L66" t="n">
        <v>0</v>
      </c>
      <c r="M66" t="n">
        <v>0</v>
      </c>
      <c r="N66" t="n">
        <v>0</v>
      </c>
      <c r="O66" t="n">
        <v>0</v>
      </c>
      <c r="P66" t="n">
        <v>0</v>
      </c>
      <c r="Q66" t="n">
        <v>7</v>
      </c>
      <c r="R66" s="2" t="inlineStr">
        <is>
          <t>Korallrot
Bergsslok
Brudborste
Fjällskära
Humleblomster
Kattfot
Liljekonvalj</t>
        </is>
      </c>
      <c r="S66">
        <f>HYPERLINK("https://klasma.github.io/Logging_2380/artfynd/A 17456-2026 artfynd.xlsx", "A 17456-2026")</f>
        <v/>
      </c>
      <c r="T66">
        <f>HYPERLINK("https://klasma.github.io/Logging_2380/kartor/A 17456-2026 karta.png", "A 17456-2026")</f>
        <v/>
      </c>
      <c r="V66">
        <f>HYPERLINK("https://klasma.github.io/Logging_2380/klagomål/A 17456-2026 FSC-klagomål.docx", "A 17456-2026")</f>
        <v/>
      </c>
      <c r="W66">
        <f>HYPERLINK("https://klasma.github.io/Logging_2380/klagomålsmail/A 17456-2026 FSC-klagomål mail.docx", "A 17456-2026")</f>
        <v/>
      </c>
      <c r="X66">
        <f>HYPERLINK("https://klasma.github.io/Logging_2380/tillsyn/A 17456-2026 tillsynsbegäran.docx", "A 17456-2026")</f>
        <v/>
      </c>
      <c r="Y66">
        <f>HYPERLINK("https://klasma.github.io/Logging_2380/tillsynsmail/A 17456-2026 tillsynsbegäran mail.docx", "A 17456-2026")</f>
        <v/>
      </c>
    </row>
    <row r="67" ht="15" customHeight="1">
      <c r="A67" t="inlineStr">
        <is>
          <t>A 45979-2023</t>
        </is>
      </c>
      <c r="B67" s="1" t="n">
        <v>45189</v>
      </c>
      <c r="C67" s="1" t="n">
        <v>46200</v>
      </c>
      <c r="D67" t="inlineStr">
        <is>
          <t>JÄMTLANDS LÄN</t>
        </is>
      </c>
      <c r="E67" t="inlineStr">
        <is>
          <t>ÖSTERSUND</t>
        </is>
      </c>
      <c r="G67" t="n">
        <v>3.3</v>
      </c>
      <c r="H67" t="n">
        <v>5</v>
      </c>
      <c r="I67" t="n">
        <v>3</v>
      </c>
      <c r="J67" t="n">
        <v>0</v>
      </c>
      <c r="K67" t="n">
        <v>1</v>
      </c>
      <c r="L67" t="n">
        <v>1</v>
      </c>
      <c r="M67" t="n">
        <v>0</v>
      </c>
      <c r="N67" t="n">
        <v>0</v>
      </c>
      <c r="O67" t="n">
        <v>2</v>
      </c>
      <c r="P67" t="n">
        <v>2</v>
      </c>
      <c r="Q67" t="n">
        <v>7</v>
      </c>
      <c r="R67" s="2" t="inlineStr">
        <is>
          <t>Trolldruvemätare
Violett guldvinge
Flugblomster
Svart trolldruva
Tvåblad
Vanliga ängsnycklar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52297-2025</t>
        </is>
      </c>
      <c r="B68" s="1" t="n">
        <v>45953</v>
      </c>
      <c r="C68" s="1" t="n">
        <v>46200</v>
      </c>
      <c r="D68" t="inlineStr">
        <is>
          <t>JÄMTLANDS LÄN</t>
        </is>
      </c>
      <c r="E68" t="inlineStr">
        <is>
          <t>ÖSTERSUND</t>
        </is>
      </c>
      <c r="G68" t="n">
        <v>2.3</v>
      </c>
      <c r="H68" t="n">
        <v>3</v>
      </c>
      <c r="I68" t="n">
        <v>1</v>
      </c>
      <c r="J68" t="n">
        <v>4</v>
      </c>
      <c r="K68" t="n">
        <v>2</v>
      </c>
      <c r="L68" t="n">
        <v>0</v>
      </c>
      <c r="M68" t="n">
        <v>0</v>
      </c>
      <c r="N68" t="n">
        <v>0</v>
      </c>
      <c r="O68" t="n">
        <v>6</v>
      </c>
      <c r="P68" t="n">
        <v>2</v>
      </c>
      <c r="Q68" t="n">
        <v>7</v>
      </c>
      <c r="R68" s="2" t="inlineStr">
        <is>
          <t>Garnlav
Knärot
Harticka
Rosenticka
Talltita
Tretåig hackspett
Gullgröppa</t>
        </is>
      </c>
      <c r="S68">
        <f>HYPERLINK("https://klasma.github.io/Logging_2380/artfynd/A 52297-2025 artfynd.xlsx", "A 52297-2025")</f>
        <v/>
      </c>
      <c r="T68">
        <f>HYPERLINK("https://klasma.github.io/Logging_2380/kartor/A 52297-2025 karta.png", "A 52297-2025")</f>
        <v/>
      </c>
      <c r="U68">
        <f>HYPERLINK("https://klasma.github.io/Logging_2380/knärot/A 52297-2025 karta knärot.png", "A 52297-2025")</f>
        <v/>
      </c>
      <c r="V68">
        <f>HYPERLINK("https://klasma.github.io/Logging_2380/klagomål/A 52297-2025 FSC-klagomål.docx", "A 52297-2025")</f>
        <v/>
      </c>
      <c r="W68">
        <f>HYPERLINK("https://klasma.github.io/Logging_2380/klagomålsmail/A 52297-2025 FSC-klagomål mail.docx", "A 52297-2025")</f>
        <v/>
      </c>
      <c r="X68">
        <f>HYPERLINK("https://klasma.github.io/Logging_2380/tillsyn/A 52297-2025 tillsynsbegäran.docx", "A 52297-2025")</f>
        <v/>
      </c>
      <c r="Y68">
        <f>HYPERLINK("https://klasma.github.io/Logging_2380/tillsynsmail/A 52297-2025 tillsynsbegäran mail.docx", "A 52297-2025")</f>
        <v/>
      </c>
      <c r="Z68">
        <f>HYPERLINK("https://klasma.github.io/Logging_2380/fåglar/A 52297-2025 prioriterade fågelarter.docx", "A 52297-2025")</f>
        <v/>
      </c>
    </row>
    <row r="69" ht="15" customHeight="1">
      <c r="A69" t="inlineStr">
        <is>
          <t>A 17248-2026</t>
        </is>
      </c>
      <c r="B69" s="1" t="n">
        <v>46119</v>
      </c>
      <c r="C69" s="1" t="n">
        <v>46200</v>
      </c>
      <c r="D69" t="inlineStr">
        <is>
          <t>JÄMTLANDS LÄN</t>
        </is>
      </c>
      <c r="E69" t="inlineStr">
        <is>
          <t>ÖSTERSUND</t>
        </is>
      </c>
      <c r="G69" t="n">
        <v>14.4</v>
      </c>
      <c r="H69" t="n">
        <v>2</v>
      </c>
      <c r="I69" t="n">
        <v>2</v>
      </c>
      <c r="J69" t="n">
        <v>2</v>
      </c>
      <c r="K69" t="n">
        <v>2</v>
      </c>
      <c r="L69" t="n">
        <v>0</v>
      </c>
      <c r="M69" t="n">
        <v>0</v>
      </c>
      <c r="N69" t="n">
        <v>0</v>
      </c>
      <c r="O69" t="n">
        <v>4</v>
      </c>
      <c r="P69" t="n">
        <v>2</v>
      </c>
      <c r="Q69" t="n">
        <v>7</v>
      </c>
      <c r="R69" s="2" t="inlineStr">
        <is>
          <t>Garnlav
Knärot
Lunglav
Tretåig hackspett
Luddlav
Stuplav
Linnea</t>
        </is>
      </c>
      <c r="S69">
        <f>HYPERLINK("https://klasma.github.io/Logging_2380/artfynd/A 17248-2026 artfynd.xlsx", "A 17248-2026")</f>
        <v/>
      </c>
      <c r="T69">
        <f>HYPERLINK("https://klasma.github.io/Logging_2380/kartor/A 17248-2026 karta.png", "A 17248-2026")</f>
        <v/>
      </c>
      <c r="U69">
        <f>HYPERLINK("https://klasma.github.io/Logging_2380/knärot/A 17248-2026 karta knärot.png", "A 17248-2026")</f>
        <v/>
      </c>
      <c r="V69">
        <f>HYPERLINK("https://klasma.github.io/Logging_2380/klagomål/A 17248-2026 FSC-klagomål.docx", "A 17248-2026")</f>
        <v/>
      </c>
      <c r="W69">
        <f>HYPERLINK("https://klasma.github.io/Logging_2380/klagomålsmail/A 17248-2026 FSC-klagomål mail.docx", "A 17248-2026")</f>
        <v/>
      </c>
      <c r="X69">
        <f>HYPERLINK("https://klasma.github.io/Logging_2380/tillsyn/A 17248-2026 tillsynsbegäran.docx", "A 17248-2026")</f>
        <v/>
      </c>
      <c r="Y69">
        <f>HYPERLINK("https://klasma.github.io/Logging_2380/tillsynsmail/A 17248-2026 tillsynsbegäran mail.docx", "A 17248-2026")</f>
        <v/>
      </c>
      <c r="Z69">
        <f>HYPERLINK("https://klasma.github.io/Logging_2380/fåglar/A 17248-2026 prioriterade fågelarter.docx", "A 17248-2026")</f>
        <v/>
      </c>
    </row>
    <row r="70" ht="15" customHeight="1">
      <c r="A70" t="inlineStr">
        <is>
          <t>A 10058-2026</t>
        </is>
      </c>
      <c r="B70" s="1" t="n">
        <v>46073</v>
      </c>
      <c r="C70" s="1" t="n">
        <v>46200</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10048-2026</t>
        </is>
      </c>
      <c r="B71" s="1" t="n">
        <v>46073</v>
      </c>
      <c r="C71" s="1" t="n">
        <v>46200</v>
      </c>
      <c r="D71" t="inlineStr">
        <is>
          <t>JÄMTLANDS LÄN</t>
        </is>
      </c>
      <c r="E71" t="inlineStr">
        <is>
          <t>ÖSTERSUND</t>
        </is>
      </c>
      <c r="G71" t="n">
        <v>5.7</v>
      </c>
      <c r="H71" t="n">
        <v>3</v>
      </c>
      <c r="I71" t="n">
        <v>1</v>
      </c>
      <c r="J71" t="n">
        <v>4</v>
      </c>
      <c r="K71" t="n">
        <v>2</v>
      </c>
      <c r="L71" t="n">
        <v>0</v>
      </c>
      <c r="M71" t="n">
        <v>0</v>
      </c>
      <c r="N71" t="n">
        <v>0</v>
      </c>
      <c r="O71" t="n">
        <v>6</v>
      </c>
      <c r="P71" t="n">
        <v>2</v>
      </c>
      <c r="Q71" t="n">
        <v>7</v>
      </c>
      <c r="R71" s="2" t="inlineStr">
        <is>
          <t>Garnlav
Knärot
Talltita
Tretåig hackspett
Ullticka
Vitgrynig nållav
Stuplav</t>
        </is>
      </c>
      <c r="S71">
        <f>HYPERLINK("https://klasma.github.io/Logging_2380/artfynd/A 10048-2026 artfynd.xlsx", "A 10048-2026")</f>
        <v/>
      </c>
      <c r="T71">
        <f>HYPERLINK("https://klasma.github.io/Logging_2380/kartor/A 10048-2026 karta.png", "A 10048-2026")</f>
        <v/>
      </c>
      <c r="U71">
        <f>HYPERLINK("https://klasma.github.io/Logging_2380/knärot/A 10048-2026 karta knärot.png", "A 10048-2026")</f>
        <v/>
      </c>
      <c r="V71">
        <f>HYPERLINK("https://klasma.github.io/Logging_2380/klagomål/A 10048-2026 FSC-klagomål.docx", "A 10048-2026")</f>
        <v/>
      </c>
      <c r="W71">
        <f>HYPERLINK("https://klasma.github.io/Logging_2380/klagomålsmail/A 10048-2026 FSC-klagomål mail.docx", "A 10048-2026")</f>
        <v/>
      </c>
      <c r="X71">
        <f>HYPERLINK("https://klasma.github.io/Logging_2380/tillsyn/A 10048-2026 tillsynsbegäran.docx", "A 10048-2026")</f>
        <v/>
      </c>
      <c r="Y71">
        <f>HYPERLINK("https://klasma.github.io/Logging_2380/tillsynsmail/A 10048-2026 tillsynsbegäran mail.docx", "A 10048-2026")</f>
        <v/>
      </c>
      <c r="Z71">
        <f>HYPERLINK("https://klasma.github.io/Logging_2380/fåglar/A 10048-2026 prioriterade fågelarter.docx", "A 10048-2026")</f>
        <v/>
      </c>
    </row>
    <row r="72" ht="15" customHeight="1">
      <c r="A72" t="inlineStr">
        <is>
          <t>A 15254-2026</t>
        </is>
      </c>
      <c r="B72" s="1" t="n">
        <v>46105</v>
      </c>
      <c r="C72" s="1" t="n">
        <v>46200</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63193-2025</t>
        </is>
      </c>
      <c r="B73" s="1" t="n">
        <v>46010</v>
      </c>
      <c r="C73" s="1" t="n">
        <v>46200</v>
      </c>
      <c r="D73" t="inlineStr">
        <is>
          <t>JÄMTLANDS LÄN</t>
        </is>
      </c>
      <c r="E73" t="inlineStr">
        <is>
          <t>ÖSTERSUND</t>
        </is>
      </c>
      <c r="G73" t="n">
        <v>9</v>
      </c>
      <c r="H73" t="n">
        <v>1</v>
      </c>
      <c r="I73" t="n">
        <v>1</v>
      </c>
      <c r="J73" t="n">
        <v>5</v>
      </c>
      <c r="K73" t="n">
        <v>1</v>
      </c>
      <c r="L73" t="n">
        <v>0</v>
      </c>
      <c r="M73" t="n">
        <v>0</v>
      </c>
      <c r="N73" t="n">
        <v>0</v>
      </c>
      <c r="O73" t="n">
        <v>6</v>
      </c>
      <c r="P73" t="n">
        <v>1</v>
      </c>
      <c r="Q73" t="n">
        <v>7</v>
      </c>
      <c r="R73" s="2" t="inlineStr">
        <is>
          <t>Garnlav
Harticka
Lunglav
Skrovellav
Tretåig hackspett
Ullticka
Kransrams</t>
        </is>
      </c>
      <c r="S73">
        <f>HYPERLINK("https://klasma.github.io/Logging_2380/artfynd/A 63193-2025 artfynd.xlsx", "A 63193-2025")</f>
        <v/>
      </c>
      <c r="T73">
        <f>HYPERLINK("https://klasma.github.io/Logging_2380/kartor/A 63193-2025 karta.png", "A 63193-2025")</f>
        <v/>
      </c>
      <c r="U73">
        <f>HYPERLINK("https://klasma.github.io/Logging_2380/knärot/A 63193-2025 karta knärot.png", "A 63193-2025")</f>
        <v/>
      </c>
      <c r="V73">
        <f>HYPERLINK("https://klasma.github.io/Logging_2380/klagomål/A 63193-2025 FSC-klagomål.docx", "A 63193-2025")</f>
        <v/>
      </c>
      <c r="W73">
        <f>HYPERLINK("https://klasma.github.io/Logging_2380/klagomålsmail/A 63193-2025 FSC-klagomål mail.docx", "A 63193-2025")</f>
        <v/>
      </c>
      <c r="X73">
        <f>HYPERLINK("https://klasma.github.io/Logging_2380/tillsyn/A 63193-2025 tillsynsbegäran.docx", "A 63193-2025")</f>
        <v/>
      </c>
      <c r="Y73">
        <f>HYPERLINK("https://klasma.github.io/Logging_2380/tillsynsmail/A 63193-2025 tillsynsbegäran mail.docx", "A 63193-2025")</f>
        <v/>
      </c>
      <c r="Z73">
        <f>HYPERLINK("https://klasma.github.io/Logging_2380/fåglar/A 63193-2025 prioriterade fågelarter.docx", "A 63193-2025")</f>
        <v/>
      </c>
    </row>
    <row r="74" ht="15" customHeight="1">
      <c r="A74" t="inlineStr">
        <is>
          <t>A 56648-2025</t>
        </is>
      </c>
      <c r="B74" s="1" t="n">
        <v>45975</v>
      </c>
      <c r="C74" s="1" t="n">
        <v>46200</v>
      </c>
      <c r="D74" t="inlineStr">
        <is>
          <t>JÄMTLANDS LÄN</t>
        </is>
      </c>
      <c r="E74" t="inlineStr">
        <is>
          <t>ÖSTERSUND</t>
        </is>
      </c>
      <c r="G74" t="n">
        <v>4.3</v>
      </c>
      <c r="H74" t="n">
        <v>4</v>
      </c>
      <c r="I74" t="n">
        <v>1</v>
      </c>
      <c r="J74" t="n">
        <v>3</v>
      </c>
      <c r="K74" t="n">
        <v>1</v>
      </c>
      <c r="L74" t="n">
        <v>0</v>
      </c>
      <c r="M74" t="n">
        <v>0</v>
      </c>
      <c r="N74" t="n">
        <v>0</v>
      </c>
      <c r="O74" t="n">
        <v>4</v>
      </c>
      <c r="P74" t="n">
        <v>1</v>
      </c>
      <c r="Q74" t="n">
        <v>7</v>
      </c>
      <c r="R74" s="2" t="inlineStr">
        <is>
          <t>Garnlav
Talltita
Tretåig hackspett
Ullticka
Stuplav
Spillkråka
Revlummer</t>
        </is>
      </c>
      <c r="S74">
        <f>HYPERLINK("https://klasma.github.io/Logging_2380/artfynd/A 56648-2025 artfynd.xlsx", "A 56648-2025")</f>
        <v/>
      </c>
      <c r="T74">
        <f>HYPERLINK("https://klasma.github.io/Logging_2380/kartor/A 56648-2025 karta.png", "A 56648-2025")</f>
        <v/>
      </c>
      <c r="V74">
        <f>HYPERLINK("https://klasma.github.io/Logging_2380/klagomål/A 56648-2025 FSC-klagomål.docx", "A 56648-2025")</f>
        <v/>
      </c>
      <c r="W74">
        <f>HYPERLINK("https://klasma.github.io/Logging_2380/klagomålsmail/A 56648-2025 FSC-klagomål mail.docx", "A 56648-2025")</f>
        <v/>
      </c>
      <c r="X74">
        <f>HYPERLINK("https://klasma.github.io/Logging_2380/tillsyn/A 56648-2025 tillsynsbegäran.docx", "A 56648-2025")</f>
        <v/>
      </c>
      <c r="Y74">
        <f>HYPERLINK("https://klasma.github.io/Logging_2380/tillsynsmail/A 56648-2025 tillsynsbegäran mail.docx", "A 56648-2025")</f>
        <v/>
      </c>
      <c r="Z74">
        <f>HYPERLINK("https://klasma.github.io/Logging_2380/fåglar/A 56648-2025 prioriterade fågelarter.docx", "A 56648-2025")</f>
        <v/>
      </c>
    </row>
    <row r="75" ht="15" customHeight="1">
      <c r="A75" t="inlineStr">
        <is>
          <t>A 39586-2025</t>
        </is>
      </c>
      <c r="B75" s="1" t="n">
        <v>45890</v>
      </c>
      <c r="C75" s="1" t="n">
        <v>46200</v>
      </c>
      <c r="D75" t="inlineStr">
        <is>
          <t>JÄMTLANDS LÄN</t>
        </is>
      </c>
      <c r="E75" t="inlineStr">
        <is>
          <t>ÖSTERSUND</t>
        </is>
      </c>
      <c r="G75" t="n">
        <v>4.6</v>
      </c>
      <c r="H75" t="n">
        <v>2</v>
      </c>
      <c r="I75" t="n">
        <v>0</v>
      </c>
      <c r="J75" t="n">
        <v>6</v>
      </c>
      <c r="K75" t="n">
        <v>1</v>
      </c>
      <c r="L75" t="n">
        <v>0</v>
      </c>
      <c r="M75" t="n">
        <v>0</v>
      </c>
      <c r="N75" t="n">
        <v>0</v>
      </c>
      <c r="O75" t="n">
        <v>7</v>
      </c>
      <c r="P75" t="n">
        <v>1</v>
      </c>
      <c r="Q75" t="n">
        <v>7</v>
      </c>
      <c r="R75" s="2" t="inlineStr">
        <is>
          <t>Garnlav
Gammelgransskål
Harticka
Talltita
Tretåig hackspett
Vitgrynig nållav
Äggvaxskivling</t>
        </is>
      </c>
      <c r="S75">
        <f>HYPERLINK("https://klasma.github.io/Logging_2380/artfynd/A 39586-2025 artfynd.xlsx", "A 39586-2025")</f>
        <v/>
      </c>
      <c r="T75">
        <f>HYPERLINK("https://klasma.github.io/Logging_2380/kartor/A 39586-2025 karta.png", "A 39586-2025")</f>
        <v/>
      </c>
      <c r="V75">
        <f>HYPERLINK("https://klasma.github.io/Logging_2380/klagomål/A 39586-2025 FSC-klagomål.docx", "A 39586-2025")</f>
        <v/>
      </c>
      <c r="W75">
        <f>HYPERLINK("https://klasma.github.io/Logging_2380/klagomålsmail/A 39586-2025 FSC-klagomål mail.docx", "A 39586-2025")</f>
        <v/>
      </c>
      <c r="X75">
        <f>HYPERLINK("https://klasma.github.io/Logging_2380/tillsyn/A 39586-2025 tillsynsbegäran.docx", "A 39586-2025")</f>
        <v/>
      </c>
      <c r="Y75">
        <f>HYPERLINK("https://klasma.github.io/Logging_2380/tillsynsmail/A 39586-2025 tillsynsbegäran mail.docx", "A 39586-2025")</f>
        <v/>
      </c>
      <c r="Z75">
        <f>HYPERLINK("https://klasma.github.io/Logging_2380/fåglar/A 39586-2025 prioriterade fågelarter.docx", "A 39586-2025")</f>
        <v/>
      </c>
    </row>
    <row r="76" ht="15" customHeight="1">
      <c r="A76" t="inlineStr">
        <is>
          <t>A 48736-2025</t>
        </is>
      </c>
      <c r="B76" s="1" t="n">
        <v>45936</v>
      </c>
      <c r="C76" s="1" t="n">
        <v>46200</v>
      </c>
      <c r="D76" t="inlineStr">
        <is>
          <t>JÄMTLANDS LÄN</t>
        </is>
      </c>
      <c r="E76" t="inlineStr">
        <is>
          <t>ÖSTERSUND</t>
        </is>
      </c>
      <c r="G76" t="n">
        <v>2.8</v>
      </c>
      <c r="H76" t="n">
        <v>3</v>
      </c>
      <c r="I76" t="n">
        <v>3</v>
      </c>
      <c r="J76" t="n">
        <v>2</v>
      </c>
      <c r="K76" t="n">
        <v>1</v>
      </c>
      <c r="L76" t="n">
        <v>0</v>
      </c>
      <c r="M76" t="n">
        <v>0</v>
      </c>
      <c r="N76" t="n">
        <v>0</v>
      </c>
      <c r="O76" t="n">
        <v>3</v>
      </c>
      <c r="P76" t="n">
        <v>1</v>
      </c>
      <c r="Q76" t="n">
        <v>7</v>
      </c>
      <c r="R76" s="2" t="inlineStr">
        <is>
          <t>Knärot
Harticka
Tretåig hackspett
Rödgul trumpetsvamp
Trådticka
Vedticka
Revlummer</t>
        </is>
      </c>
      <c r="S76">
        <f>HYPERLINK("https://klasma.github.io/Logging_2380/artfynd/A 48736-2025 artfynd.xlsx", "A 48736-2025")</f>
        <v/>
      </c>
      <c r="T76">
        <f>HYPERLINK("https://klasma.github.io/Logging_2380/kartor/A 48736-2025 karta.png", "A 48736-2025")</f>
        <v/>
      </c>
      <c r="U76">
        <f>HYPERLINK("https://klasma.github.io/Logging_2380/knärot/A 48736-2025 karta knärot.png", "A 48736-2025")</f>
        <v/>
      </c>
      <c r="V76">
        <f>HYPERLINK("https://klasma.github.io/Logging_2380/klagomål/A 48736-2025 FSC-klagomål.docx", "A 48736-2025")</f>
        <v/>
      </c>
      <c r="W76">
        <f>HYPERLINK("https://klasma.github.io/Logging_2380/klagomålsmail/A 48736-2025 FSC-klagomål mail.docx", "A 48736-2025")</f>
        <v/>
      </c>
      <c r="X76">
        <f>HYPERLINK("https://klasma.github.io/Logging_2380/tillsyn/A 48736-2025 tillsynsbegäran.docx", "A 48736-2025")</f>
        <v/>
      </c>
      <c r="Y76">
        <f>HYPERLINK("https://klasma.github.io/Logging_2380/tillsynsmail/A 48736-2025 tillsynsbegäran mail.docx", "A 48736-2025")</f>
        <v/>
      </c>
      <c r="Z76">
        <f>HYPERLINK("https://klasma.github.io/Logging_2380/fåglar/A 48736-2025 prioriterade fågelarter.docx", "A 48736-2025")</f>
        <v/>
      </c>
    </row>
    <row r="77" ht="15" customHeight="1">
      <c r="A77" t="inlineStr">
        <is>
          <t>A 376-2023</t>
        </is>
      </c>
      <c r="B77" s="1" t="n">
        <v>44929</v>
      </c>
      <c r="C77" s="1" t="n">
        <v>46200</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18338-2025</t>
        </is>
      </c>
      <c r="B78" s="1" t="n">
        <v>45762</v>
      </c>
      <c r="C78" s="1" t="n">
        <v>46200</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39941-2024</t>
        </is>
      </c>
      <c r="B79" s="1" t="n">
        <v>45553</v>
      </c>
      <c r="C79" s="1" t="n">
        <v>46200</v>
      </c>
      <c r="D79" t="inlineStr">
        <is>
          <t>JÄMTLANDS LÄN</t>
        </is>
      </c>
      <c r="E79" t="inlineStr">
        <is>
          <t>ÖSTERSUND</t>
        </is>
      </c>
      <c r="G79" t="n">
        <v>6</v>
      </c>
      <c r="H79" t="n">
        <v>1</v>
      </c>
      <c r="I79" t="n">
        <v>2</v>
      </c>
      <c r="J79" t="n">
        <v>2</v>
      </c>
      <c r="K79" t="n">
        <v>1</v>
      </c>
      <c r="L79" t="n">
        <v>0</v>
      </c>
      <c r="M79" t="n">
        <v>0</v>
      </c>
      <c r="N79" t="n">
        <v>0</v>
      </c>
      <c r="O79" t="n">
        <v>3</v>
      </c>
      <c r="P79" t="n">
        <v>1</v>
      </c>
      <c r="Q79" t="n">
        <v>6</v>
      </c>
      <c r="R79" s="2" t="inlineStr">
        <is>
          <t>Garnlav
Lunglav
Skrovellav
Bårdlav
Luddlav
Fläcknycklar</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54731-2024</t>
        </is>
      </c>
      <c r="B80" s="1" t="n">
        <v>45618</v>
      </c>
      <c r="C80" s="1" t="n">
        <v>46200</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26605-2025</t>
        </is>
      </c>
      <c r="B81" s="1" t="n">
        <v>45809</v>
      </c>
      <c r="C81" s="1" t="n">
        <v>46200</v>
      </c>
      <c r="D81" t="inlineStr">
        <is>
          <t>JÄMTLANDS LÄN</t>
        </is>
      </c>
      <c r="E81" t="inlineStr">
        <is>
          <t>ÖSTERSUND</t>
        </is>
      </c>
      <c r="G81" t="n">
        <v>1.3</v>
      </c>
      <c r="H81" t="n">
        <v>3</v>
      </c>
      <c r="I81" t="n">
        <v>0</v>
      </c>
      <c r="J81" t="n">
        <v>3</v>
      </c>
      <c r="K81" t="n">
        <v>1</v>
      </c>
      <c r="L81" t="n">
        <v>0</v>
      </c>
      <c r="M81" t="n">
        <v>0</v>
      </c>
      <c r="N81" t="n">
        <v>0</v>
      </c>
      <c r="O81" t="n">
        <v>4</v>
      </c>
      <c r="P81" t="n">
        <v>1</v>
      </c>
      <c r="Q81" t="n">
        <v>6</v>
      </c>
      <c r="R81" s="2" t="inlineStr">
        <is>
          <t>Garnlav
Harticka
Lavskrika
Vitgrynig nållav
Spillkråka
Revlummer</t>
        </is>
      </c>
      <c r="S81">
        <f>HYPERLINK("https://klasma.github.io/Logging_2380/artfynd/A 26605-2025 artfynd.xlsx", "A 26605-2025")</f>
        <v/>
      </c>
      <c r="T81">
        <f>HYPERLINK("https://klasma.github.io/Logging_2380/kartor/A 26605-2025 karta.png", "A 26605-2025")</f>
        <v/>
      </c>
      <c r="V81">
        <f>HYPERLINK("https://klasma.github.io/Logging_2380/klagomål/A 26605-2025 FSC-klagomål.docx", "A 26605-2025")</f>
        <v/>
      </c>
      <c r="W81">
        <f>HYPERLINK("https://klasma.github.io/Logging_2380/klagomålsmail/A 26605-2025 FSC-klagomål mail.docx", "A 26605-2025")</f>
        <v/>
      </c>
      <c r="X81">
        <f>HYPERLINK("https://klasma.github.io/Logging_2380/tillsyn/A 26605-2025 tillsynsbegäran.docx", "A 26605-2025")</f>
        <v/>
      </c>
      <c r="Y81">
        <f>HYPERLINK("https://klasma.github.io/Logging_2380/tillsynsmail/A 26605-2025 tillsynsbegäran mail.docx", "A 26605-2025")</f>
        <v/>
      </c>
      <c r="Z81">
        <f>HYPERLINK("https://klasma.github.io/Logging_2380/fåglar/A 26605-2025 prioriterade fågelarter.docx", "A 26605-2025")</f>
        <v/>
      </c>
    </row>
    <row r="82" ht="15" customHeight="1">
      <c r="A82" t="inlineStr">
        <is>
          <t>A 54608-2023</t>
        </is>
      </c>
      <c r="B82" s="1" t="n">
        <v>45233</v>
      </c>
      <c r="C82" s="1" t="n">
        <v>46200</v>
      </c>
      <c r="D82" t="inlineStr">
        <is>
          <t>JÄMTLANDS LÄN</t>
        </is>
      </c>
      <c r="E82" t="inlineStr">
        <is>
          <t>ÖSTERSUND</t>
        </is>
      </c>
      <c r="F82" t="inlineStr">
        <is>
          <t>SCA</t>
        </is>
      </c>
      <c r="G82" t="n">
        <v>4.3</v>
      </c>
      <c r="H82" t="n">
        <v>1</v>
      </c>
      <c r="I82" t="n">
        <v>5</v>
      </c>
      <c r="J82" t="n">
        <v>1</v>
      </c>
      <c r="K82" t="n">
        <v>0</v>
      </c>
      <c r="L82" t="n">
        <v>0</v>
      </c>
      <c r="M82" t="n">
        <v>0</v>
      </c>
      <c r="N82" t="n">
        <v>0</v>
      </c>
      <c r="O82" t="n">
        <v>1</v>
      </c>
      <c r="P82" t="n">
        <v>0</v>
      </c>
      <c r="Q82" t="n">
        <v>6</v>
      </c>
      <c r="R82" s="2" t="inlineStr">
        <is>
          <t>Ullticka
Guckusko
Svavelriska
Trådfräken
Trådticka
Underviol</t>
        </is>
      </c>
      <c r="S82">
        <f>HYPERLINK("https://klasma.github.io/Logging_2380/artfynd/A 54608-2023 artfynd.xlsx", "A 54608-2023")</f>
        <v/>
      </c>
      <c r="T82">
        <f>HYPERLINK("https://klasma.github.io/Logging_2380/kartor/A 54608-2023 karta.png", "A 54608-2023")</f>
        <v/>
      </c>
      <c r="V82">
        <f>HYPERLINK("https://klasma.github.io/Logging_2380/klagomål/A 54608-2023 FSC-klagomål.docx", "A 54608-2023")</f>
        <v/>
      </c>
      <c r="W82">
        <f>HYPERLINK("https://klasma.github.io/Logging_2380/klagomålsmail/A 54608-2023 FSC-klagomål mail.docx", "A 54608-2023")</f>
        <v/>
      </c>
      <c r="X82">
        <f>HYPERLINK("https://klasma.github.io/Logging_2380/tillsyn/A 54608-2023 tillsynsbegäran.docx", "A 54608-2023")</f>
        <v/>
      </c>
      <c r="Y82">
        <f>HYPERLINK("https://klasma.github.io/Logging_2380/tillsynsmail/A 54608-2023 tillsynsbegäran mail.docx", "A 54608-2023")</f>
        <v/>
      </c>
    </row>
    <row r="83" ht="15" customHeight="1">
      <c r="A83" t="inlineStr">
        <is>
          <t>A 62060-2025</t>
        </is>
      </c>
      <c r="B83" s="1" t="n">
        <v>46006</v>
      </c>
      <c r="C83" s="1" t="n">
        <v>46200</v>
      </c>
      <c r="D83" t="inlineStr">
        <is>
          <t>JÄMTLANDS LÄN</t>
        </is>
      </c>
      <c r="E83" t="inlineStr">
        <is>
          <t>ÖSTERSUND</t>
        </is>
      </c>
      <c r="F83" t="inlineStr">
        <is>
          <t>SCA</t>
        </is>
      </c>
      <c r="G83" t="n">
        <v>6</v>
      </c>
      <c r="H83" t="n">
        <v>1</v>
      </c>
      <c r="I83" t="n">
        <v>0</v>
      </c>
      <c r="J83" t="n">
        <v>4</v>
      </c>
      <c r="K83" t="n">
        <v>2</v>
      </c>
      <c r="L83" t="n">
        <v>0</v>
      </c>
      <c r="M83" t="n">
        <v>0</v>
      </c>
      <c r="N83" t="n">
        <v>0</v>
      </c>
      <c r="O83" t="n">
        <v>6</v>
      </c>
      <c r="P83" t="n">
        <v>2</v>
      </c>
      <c r="Q83" t="n">
        <v>6</v>
      </c>
      <c r="R83" s="2" t="inlineStr">
        <is>
          <t>Fläckporing
Skrovlig taggsvamp
Dropptaggsvamp
Fjällig taggsvamp s.str.
Skarp dropptaggsvamp
Tretåig hackspett</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13767-2026</t>
        </is>
      </c>
      <c r="B84" s="1" t="n">
        <v>46097</v>
      </c>
      <c r="C84" s="1" t="n">
        <v>46200</v>
      </c>
      <c r="D84" t="inlineStr">
        <is>
          <t>JÄMTLANDS LÄN</t>
        </is>
      </c>
      <c r="E84" t="inlineStr">
        <is>
          <t>ÖSTERSUND</t>
        </is>
      </c>
      <c r="G84" t="n">
        <v>1.5</v>
      </c>
      <c r="H84" t="n">
        <v>1</v>
      </c>
      <c r="I84" t="n">
        <v>3</v>
      </c>
      <c r="J84" t="n">
        <v>0</v>
      </c>
      <c r="K84" t="n">
        <v>1</v>
      </c>
      <c r="L84" t="n">
        <v>1</v>
      </c>
      <c r="M84" t="n">
        <v>0</v>
      </c>
      <c r="N84" t="n">
        <v>0</v>
      </c>
      <c r="O84" t="n">
        <v>2</v>
      </c>
      <c r="P84" t="n">
        <v>2</v>
      </c>
      <c r="Q84" t="n">
        <v>6</v>
      </c>
      <c r="R84" s="2" t="inlineStr">
        <is>
          <t>Fjällfotad fingersvamp
Läderdoftande fingersvamp
Kransrams
Stuplav
Svavelriska
Blåsippa</t>
        </is>
      </c>
      <c r="S84">
        <f>HYPERLINK("https://klasma.github.io/Logging_2380/artfynd/A 13767-2026 artfynd.xlsx", "A 13767-2026")</f>
        <v/>
      </c>
      <c r="T84">
        <f>HYPERLINK("https://klasma.github.io/Logging_2380/kartor/A 13767-2026 karta.png", "A 13767-2026")</f>
        <v/>
      </c>
      <c r="V84">
        <f>HYPERLINK("https://klasma.github.io/Logging_2380/klagomål/A 13767-2026 FSC-klagomål.docx", "A 13767-2026")</f>
        <v/>
      </c>
      <c r="W84">
        <f>HYPERLINK("https://klasma.github.io/Logging_2380/klagomålsmail/A 13767-2026 FSC-klagomål mail.docx", "A 13767-2026")</f>
        <v/>
      </c>
      <c r="X84">
        <f>HYPERLINK("https://klasma.github.io/Logging_2380/tillsyn/A 13767-2026 tillsynsbegäran.docx", "A 13767-2026")</f>
        <v/>
      </c>
      <c r="Y84">
        <f>HYPERLINK("https://klasma.github.io/Logging_2380/tillsynsmail/A 13767-2026 tillsynsbegäran mail.docx", "A 13767-2026")</f>
        <v/>
      </c>
    </row>
    <row r="85" ht="15" customHeight="1">
      <c r="A85" t="inlineStr">
        <is>
          <t>A 8610-2026</t>
        </is>
      </c>
      <c r="B85" s="1" t="n">
        <v>46065</v>
      </c>
      <c r="C85" s="1" t="n">
        <v>46200</v>
      </c>
      <c r="D85" t="inlineStr">
        <is>
          <t>JÄMTLANDS LÄN</t>
        </is>
      </c>
      <c r="E85" t="inlineStr">
        <is>
          <t>ÖSTERSUND</t>
        </is>
      </c>
      <c r="G85" t="n">
        <v>2.1</v>
      </c>
      <c r="H85" t="n">
        <v>4</v>
      </c>
      <c r="I85" t="n">
        <v>0</v>
      </c>
      <c r="J85" t="n">
        <v>2</v>
      </c>
      <c r="K85" t="n">
        <v>0</v>
      </c>
      <c r="L85" t="n">
        <v>0</v>
      </c>
      <c r="M85" t="n">
        <v>0</v>
      </c>
      <c r="N85" t="n">
        <v>0</v>
      </c>
      <c r="O85" t="n">
        <v>2</v>
      </c>
      <c r="P85" t="n">
        <v>0</v>
      </c>
      <c r="Q85" t="n">
        <v>6</v>
      </c>
      <c r="R85" s="2" t="inlineStr">
        <is>
          <t>Björktrast
Rödvingetrast
Kransmossa
Ormbär
Kungsfågel
Svartvit flugsnappare</t>
        </is>
      </c>
      <c r="S85">
        <f>HYPERLINK("https://klasma.github.io/Logging_2380/artfynd/A 8610-2026 artfynd.xlsx", "A 8610-2026")</f>
        <v/>
      </c>
      <c r="T85">
        <f>HYPERLINK("https://klasma.github.io/Logging_2380/kartor/A 8610-2026 karta.png", "A 8610-2026")</f>
        <v/>
      </c>
      <c r="V85">
        <f>HYPERLINK("https://klasma.github.io/Logging_2380/klagomål/A 8610-2026 FSC-klagomål.docx", "A 8610-2026")</f>
        <v/>
      </c>
      <c r="W85">
        <f>HYPERLINK("https://klasma.github.io/Logging_2380/klagomålsmail/A 8610-2026 FSC-klagomål mail.docx", "A 8610-2026")</f>
        <v/>
      </c>
      <c r="X85">
        <f>HYPERLINK("https://klasma.github.io/Logging_2380/tillsyn/A 8610-2026 tillsynsbegäran.docx", "A 8610-2026")</f>
        <v/>
      </c>
      <c r="Y85">
        <f>HYPERLINK("https://klasma.github.io/Logging_2380/tillsynsmail/A 8610-2026 tillsynsbegäran mail.docx", "A 8610-2026")</f>
        <v/>
      </c>
      <c r="Z85">
        <f>HYPERLINK("https://klasma.github.io/Logging_2380/fåglar/A 8610-2026 prioriterade fågelarter.docx", "A 8610-2026")</f>
        <v/>
      </c>
    </row>
    <row r="86" ht="15" customHeight="1">
      <c r="A86" t="inlineStr">
        <is>
          <t>A 62696-2025</t>
        </is>
      </c>
      <c r="B86" s="1" t="n">
        <v>46008</v>
      </c>
      <c r="C86" s="1" t="n">
        <v>46200</v>
      </c>
      <c r="D86" t="inlineStr">
        <is>
          <t>JÄMTLANDS LÄN</t>
        </is>
      </c>
      <c r="E86" t="inlineStr">
        <is>
          <t>ÖSTERSUND</t>
        </is>
      </c>
      <c r="G86" t="n">
        <v>11.3</v>
      </c>
      <c r="H86" t="n">
        <v>3</v>
      </c>
      <c r="I86" t="n">
        <v>1</v>
      </c>
      <c r="J86" t="n">
        <v>2</v>
      </c>
      <c r="K86" t="n">
        <v>1</v>
      </c>
      <c r="L86" t="n">
        <v>0</v>
      </c>
      <c r="M86" t="n">
        <v>0</v>
      </c>
      <c r="N86" t="n">
        <v>0</v>
      </c>
      <c r="O86" t="n">
        <v>3</v>
      </c>
      <c r="P86" t="n">
        <v>1</v>
      </c>
      <c r="Q86" t="n">
        <v>6</v>
      </c>
      <c r="R86" s="2" t="inlineStr">
        <is>
          <t>Garnlav
Tretåig hackspett
Ullticka
Stuplav
Spillkråka
Revlummer</t>
        </is>
      </c>
      <c r="S86">
        <f>HYPERLINK("https://klasma.github.io/Logging_2380/artfynd/A 62696-2025 artfynd.xlsx", "A 62696-2025")</f>
        <v/>
      </c>
      <c r="T86">
        <f>HYPERLINK("https://klasma.github.io/Logging_2380/kartor/A 62696-2025 karta.png", "A 62696-2025")</f>
        <v/>
      </c>
      <c r="V86">
        <f>HYPERLINK("https://klasma.github.io/Logging_2380/klagomål/A 62696-2025 FSC-klagomål.docx", "A 62696-2025")</f>
        <v/>
      </c>
      <c r="W86">
        <f>HYPERLINK("https://klasma.github.io/Logging_2380/klagomålsmail/A 62696-2025 FSC-klagomål mail.docx", "A 62696-2025")</f>
        <v/>
      </c>
      <c r="X86">
        <f>HYPERLINK("https://klasma.github.io/Logging_2380/tillsyn/A 62696-2025 tillsynsbegäran.docx", "A 62696-2025")</f>
        <v/>
      </c>
      <c r="Y86">
        <f>HYPERLINK("https://klasma.github.io/Logging_2380/tillsynsmail/A 62696-2025 tillsynsbegäran mail.docx", "A 62696-2025")</f>
        <v/>
      </c>
      <c r="Z86">
        <f>HYPERLINK("https://klasma.github.io/Logging_2380/fåglar/A 62696-2025 prioriterade fågelarter.docx", "A 62696-2025")</f>
        <v/>
      </c>
    </row>
    <row r="87" ht="15" customHeight="1">
      <c r="A87" t="inlineStr">
        <is>
          <t>A 50529-2025</t>
        </is>
      </c>
      <c r="B87" s="1" t="n">
        <v>45945</v>
      </c>
      <c r="C87" s="1" t="n">
        <v>46200</v>
      </c>
      <c r="D87" t="inlineStr">
        <is>
          <t>JÄMTLANDS LÄN</t>
        </is>
      </c>
      <c r="E87" t="inlineStr">
        <is>
          <t>ÖSTERSUND</t>
        </is>
      </c>
      <c r="G87" t="n">
        <v>7</v>
      </c>
      <c r="H87" t="n">
        <v>3</v>
      </c>
      <c r="I87" t="n">
        <v>2</v>
      </c>
      <c r="J87" t="n">
        <v>2</v>
      </c>
      <c r="K87" t="n">
        <v>2</v>
      </c>
      <c r="L87" t="n">
        <v>0</v>
      </c>
      <c r="M87" t="n">
        <v>0</v>
      </c>
      <c r="N87" t="n">
        <v>0</v>
      </c>
      <c r="O87" t="n">
        <v>4</v>
      </c>
      <c r="P87" t="n">
        <v>2</v>
      </c>
      <c r="Q87" t="n">
        <v>6</v>
      </c>
      <c r="R87" s="2" t="inlineStr">
        <is>
          <t>Garnlav
Knärot
Harticka
Tretåig hackspett
Korallrot
Ögonpyrola</t>
        </is>
      </c>
      <c r="S87">
        <f>HYPERLINK("https://klasma.github.io/Logging_2380/artfynd/A 50529-2025 artfynd.xlsx", "A 50529-2025")</f>
        <v/>
      </c>
      <c r="T87">
        <f>HYPERLINK("https://klasma.github.io/Logging_2380/kartor/A 50529-2025 karta.png", "A 50529-2025")</f>
        <v/>
      </c>
      <c r="U87">
        <f>HYPERLINK("https://klasma.github.io/Logging_2380/knärot/A 50529-2025 karta knärot.png", "A 50529-2025")</f>
        <v/>
      </c>
      <c r="V87">
        <f>HYPERLINK("https://klasma.github.io/Logging_2380/klagomål/A 50529-2025 FSC-klagomål.docx", "A 50529-2025")</f>
        <v/>
      </c>
      <c r="W87">
        <f>HYPERLINK("https://klasma.github.io/Logging_2380/klagomålsmail/A 50529-2025 FSC-klagomål mail.docx", "A 50529-2025")</f>
        <v/>
      </c>
      <c r="X87">
        <f>HYPERLINK("https://klasma.github.io/Logging_2380/tillsyn/A 50529-2025 tillsynsbegäran.docx", "A 50529-2025")</f>
        <v/>
      </c>
      <c r="Y87">
        <f>HYPERLINK("https://klasma.github.io/Logging_2380/tillsynsmail/A 50529-2025 tillsynsbegäran mail.docx", "A 50529-2025")</f>
        <v/>
      </c>
      <c r="Z87">
        <f>HYPERLINK("https://klasma.github.io/Logging_2380/fåglar/A 50529-2025 prioriterade fågelarter.docx", "A 50529-2025")</f>
        <v/>
      </c>
    </row>
    <row r="88" ht="15" customHeight="1">
      <c r="A88" t="inlineStr">
        <is>
          <t>A 7439-2026</t>
        </is>
      </c>
      <c r="B88" s="1" t="n">
        <v>46059</v>
      </c>
      <c r="C88" s="1" t="n">
        <v>46200</v>
      </c>
      <c r="D88" t="inlineStr">
        <is>
          <t>JÄMTLANDS LÄN</t>
        </is>
      </c>
      <c r="E88" t="inlineStr">
        <is>
          <t>ÖSTERSUND</t>
        </is>
      </c>
      <c r="G88" t="n">
        <v>4.7</v>
      </c>
      <c r="H88" t="n">
        <v>4</v>
      </c>
      <c r="I88" t="n">
        <v>0</v>
      </c>
      <c r="J88" t="n">
        <v>1</v>
      </c>
      <c r="K88" t="n">
        <v>4</v>
      </c>
      <c r="L88" t="n">
        <v>0</v>
      </c>
      <c r="M88" t="n">
        <v>0</v>
      </c>
      <c r="N88" t="n">
        <v>0</v>
      </c>
      <c r="O88" t="n">
        <v>5</v>
      </c>
      <c r="P88" t="n">
        <v>4</v>
      </c>
      <c r="Q88" t="n">
        <v>6</v>
      </c>
      <c r="R88" s="2" t="inlineStr">
        <is>
          <t>Garnlav
Knärot
Silverblåvinge
Violett guldvinge
Tretåig hackspett
Spillkråka</t>
        </is>
      </c>
      <c r="S88">
        <f>HYPERLINK("https://klasma.github.io/Logging_2380/artfynd/A 7439-2026 artfynd.xlsx", "A 7439-2026")</f>
        <v/>
      </c>
      <c r="T88">
        <f>HYPERLINK("https://klasma.github.io/Logging_2380/kartor/A 7439-2026 karta.png", "A 7439-2026")</f>
        <v/>
      </c>
      <c r="U88">
        <f>HYPERLINK("https://klasma.github.io/Logging_2380/knärot/A 7439-2026 karta knärot.png", "A 7439-2026")</f>
        <v/>
      </c>
      <c r="V88">
        <f>HYPERLINK("https://klasma.github.io/Logging_2380/klagomål/A 7439-2026 FSC-klagomål.docx", "A 7439-2026")</f>
        <v/>
      </c>
      <c r="W88">
        <f>HYPERLINK("https://klasma.github.io/Logging_2380/klagomålsmail/A 7439-2026 FSC-klagomål mail.docx", "A 7439-2026")</f>
        <v/>
      </c>
      <c r="X88">
        <f>HYPERLINK("https://klasma.github.io/Logging_2380/tillsyn/A 7439-2026 tillsynsbegäran.docx", "A 7439-2026")</f>
        <v/>
      </c>
      <c r="Y88">
        <f>HYPERLINK("https://klasma.github.io/Logging_2380/tillsynsmail/A 7439-2026 tillsynsbegäran mail.docx", "A 7439-2026")</f>
        <v/>
      </c>
      <c r="Z88">
        <f>HYPERLINK("https://klasma.github.io/Logging_2380/fåglar/A 7439-2026 prioriterade fågelarter.docx", "A 7439-2026")</f>
        <v/>
      </c>
    </row>
    <row r="89" ht="15" customHeight="1">
      <c r="A89" t="inlineStr">
        <is>
          <t>A 53292-2025</t>
        </is>
      </c>
      <c r="B89" s="1" t="n">
        <v>45958</v>
      </c>
      <c r="C89" s="1" t="n">
        <v>46200</v>
      </c>
      <c r="D89" t="inlineStr">
        <is>
          <t>JÄMTLANDS LÄN</t>
        </is>
      </c>
      <c r="E89" t="inlineStr">
        <is>
          <t>ÖSTERSUND</t>
        </is>
      </c>
      <c r="G89" t="n">
        <v>3</v>
      </c>
      <c r="H89" t="n">
        <v>5</v>
      </c>
      <c r="I89" t="n">
        <v>0</v>
      </c>
      <c r="J89" t="n">
        <v>1</v>
      </c>
      <c r="K89" t="n">
        <v>2</v>
      </c>
      <c r="L89" t="n">
        <v>0</v>
      </c>
      <c r="M89" t="n">
        <v>0</v>
      </c>
      <c r="N89" t="n">
        <v>0</v>
      </c>
      <c r="O89" t="n">
        <v>3</v>
      </c>
      <c r="P89" t="n">
        <v>2</v>
      </c>
      <c r="Q89" t="n">
        <v>6</v>
      </c>
      <c r="R89" s="2" t="inlineStr">
        <is>
          <t>Garnlav
Knärot
Talltita
Blåsippa
Kungsfågel
Revlummer</t>
        </is>
      </c>
      <c r="S89">
        <f>HYPERLINK("https://klasma.github.io/Logging_2380/artfynd/A 53292-2025 artfynd.xlsx", "A 53292-2025")</f>
        <v/>
      </c>
      <c r="T89">
        <f>HYPERLINK("https://klasma.github.io/Logging_2380/kartor/A 53292-2025 karta.png", "A 53292-2025")</f>
        <v/>
      </c>
      <c r="U89">
        <f>HYPERLINK("https://klasma.github.io/Logging_2380/knärot/A 53292-2025 karta knärot.png", "A 53292-2025")</f>
        <v/>
      </c>
      <c r="V89">
        <f>HYPERLINK("https://klasma.github.io/Logging_2380/klagomål/A 53292-2025 FSC-klagomål.docx", "A 53292-2025")</f>
        <v/>
      </c>
      <c r="W89">
        <f>HYPERLINK("https://klasma.github.io/Logging_2380/klagomålsmail/A 53292-2025 FSC-klagomål mail.docx", "A 53292-2025")</f>
        <v/>
      </c>
      <c r="X89">
        <f>HYPERLINK("https://klasma.github.io/Logging_2380/tillsyn/A 53292-2025 tillsynsbegäran.docx", "A 53292-2025")</f>
        <v/>
      </c>
      <c r="Y89">
        <f>HYPERLINK("https://klasma.github.io/Logging_2380/tillsynsmail/A 53292-2025 tillsynsbegäran mail.docx", "A 53292-2025")</f>
        <v/>
      </c>
      <c r="Z89">
        <f>HYPERLINK("https://klasma.github.io/Logging_2380/fåglar/A 53292-2025 prioriterade fågelarter.docx", "A 53292-2025")</f>
        <v/>
      </c>
    </row>
    <row r="90" ht="15" customHeight="1">
      <c r="A90" t="inlineStr">
        <is>
          <t>A 27985-2026</t>
        </is>
      </c>
      <c r="B90" s="1" t="n">
        <v>46195</v>
      </c>
      <c r="C90" s="1" t="n">
        <v>46200</v>
      </c>
      <c r="D90" t="inlineStr">
        <is>
          <t>JÄMTLANDS LÄN</t>
        </is>
      </c>
      <c r="E90" t="inlineStr">
        <is>
          <t>ÖSTERSUND</t>
        </is>
      </c>
      <c r="G90" t="n">
        <v>2.9</v>
      </c>
      <c r="H90" t="n">
        <v>1</v>
      </c>
      <c r="I90" t="n">
        <v>2</v>
      </c>
      <c r="J90" t="n">
        <v>3</v>
      </c>
      <c r="K90" t="n">
        <v>0</v>
      </c>
      <c r="L90" t="n">
        <v>0</v>
      </c>
      <c r="M90" t="n">
        <v>0</v>
      </c>
      <c r="N90" t="n">
        <v>0</v>
      </c>
      <c r="O90" t="n">
        <v>3</v>
      </c>
      <c r="P90" t="n">
        <v>0</v>
      </c>
      <c r="Q90" t="n">
        <v>6</v>
      </c>
      <c r="R90" s="2" t="inlineStr">
        <is>
          <t>Kryddspindling
Vårärt
Äggvaxskivling
Svart trolldruva
Underviol
Blåsippa</t>
        </is>
      </c>
      <c r="S90">
        <f>HYPERLINK("https://klasma.github.io/Logging_2380/artfynd/A 27985-2026 artfynd.xlsx", "A 27985-2026")</f>
        <v/>
      </c>
      <c r="T90">
        <f>HYPERLINK("https://klasma.github.io/Logging_2380/kartor/A 27985-2026 karta.png", "A 27985-2026")</f>
        <v/>
      </c>
      <c r="V90">
        <f>HYPERLINK("https://klasma.github.io/Logging_2380/klagomål/A 27985-2026 FSC-klagomål.docx", "A 27985-2026")</f>
        <v/>
      </c>
      <c r="W90">
        <f>HYPERLINK("https://klasma.github.io/Logging_2380/klagomålsmail/A 27985-2026 FSC-klagomål mail.docx", "A 27985-2026")</f>
        <v/>
      </c>
      <c r="X90">
        <f>HYPERLINK("https://klasma.github.io/Logging_2380/tillsyn/A 27985-2026 tillsynsbegäran.docx", "A 27985-2026")</f>
        <v/>
      </c>
      <c r="Y90">
        <f>HYPERLINK("https://klasma.github.io/Logging_2380/tillsynsmail/A 27985-2026 tillsynsbegäran mail.docx", "A 27985-2026")</f>
        <v/>
      </c>
    </row>
    <row r="91" ht="15" customHeight="1">
      <c r="A91" t="inlineStr">
        <is>
          <t>A 10336-2022</t>
        </is>
      </c>
      <c r="B91" s="1" t="n">
        <v>44623</v>
      </c>
      <c r="C91" s="1" t="n">
        <v>46200</v>
      </c>
      <c r="D91" t="inlineStr">
        <is>
          <t>JÄMTLANDS LÄN</t>
        </is>
      </c>
      <c r="E91" t="inlineStr">
        <is>
          <t>ÖSTERSUND</t>
        </is>
      </c>
      <c r="G91" t="n">
        <v>0.9</v>
      </c>
      <c r="H91" t="n">
        <v>1</v>
      </c>
      <c r="I91" t="n">
        <v>3</v>
      </c>
      <c r="J91" t="n">
        <v>0</v>
      </c>
      <c r="K91" t="n">
        <v>1</v>
      </c>
      <c r="L91" t="n">
        <v>0</v>
      </c>
      <c r="M91" t="n">
        <v>0</v>
      </c>
      <c r="N91" t="n">
        <v>0</v>
      </c>
      <c r="O91" t="n">
        <v>1</v>
      </c>
      <c r="P91" t="n">
        <v>1</v>
      </c>
      <c r="Q91" t="n">
        <v>5</v>
      </c>
      <c r="R91" s="2" t="inlineStr">
        <is>
          <t>Läderdoftande fingersvamp
Strimspindling
Svavelriska
Underviol
Blåsippa</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48947-2021</t>
        </is>
      </c>
      <c r="B92" s="1" t="n">
        <v>44453</v>
      </c>
      <c r="C92" s="1" t="n">
        <v>46200</v>
      </c>
      <c r="D92" t="inlineStr">
        <is>
          <t>JÄMTLANDS LÄN</t>
        </is>
      </c>
      <c r="E92" t="inlineStr">
        <is>
          <t>ÖSTERSUND</t>
        </is>
      </c>
      <c r="G92" t="n">
        <v>22.3</v>
      </c>
      <c r="H92" t="n">
        <v>2</v>
      </c>
      <c r="I92" t="n">
        <v>2</v>
      </c>
      <c r="J92" t="n">
        <v>0</v>
      </c>
      <c r="K92" t="n">
        <v>2</v>
      </c>
      <c r="L92" t="n">
        <v>0</v>
      </c>
      <c r="M92" t="n">
        <v>0</v>
      </c>
      <c r="N92" t="n">
        <v>0</v>
      </c>
      <c r="O92" t="n">
        <v>2</v>
      </c>
      <c r="P92" t="n">
        <v>2</v>
      </c>
      <c r="Q92" t="n">
        <v>5</v>
      </c>
      <c r="R92" s="2" t="inlineStr">
        <is>
          <t>Doftticka
Smalskaftslav
Tibast
Underviol
Blåsippa</t>
        </is>
      </c>
      <c r="S92">
        <f>HYPERLINK("https://klasma.github.io/Logging_2380/artfynd/A 48947-2021 artfynd.xlsx", "A 48947-2021")</f>
        <v/>
      </c>
      <c r="T92">
        <f>HYPERLINK("https://klasma.github.io/Logging_2380/kartor/A 48947-2021 karta.png", "A 48947-2021")</f>
        <v/>
      </c>
      <c r="V92">
        <f>HYPERLINK("https://klasma.github.io/Logging_2380/klagomål/A 48947-2021 FSC-klagomål.docx", "A 48947-2021")</f>
        <v/>
      </c>
      <c r="W92">
        <f>HYPERLINK("https://klasma.github.io/Logging_2380/klagomålsmail/A 48947-2021 FSC-klagomål mail.docx", "A 48947-2021")</f>
        <v/>
      </c>
      <c r="X92">
        <f>HYPERLINK("https://klasma.github.io/Logging_2380/tillsyn/A 48947-2021 tillsynsbegäran.docx", "A 48947-2021")</f>
        <v/>
      </c>
      <c r="Y92">
        <f>HYPERLINK("https://klasma.github.io/Logging_2380/tillsynsmail/A 48947-2021 tillsynsbegäran mail.docx", "A 48947-2021")</f>
        <v/>
      </c>
    </row>
    <row r="93" ht="15" customHeight="1">
      <c r="A93" t="inlineStr">
        <is>
          <t>A 27577-2022</t>
        </is>
      </c>
      <c r="B93" s="1" t="n">
        <v>44742</v>
      </c>
      <c r="C93" s="1" t="n">
        <v>46200</v>
      </c>
      <c r="D93" t="inlineStr">
        <is>
          <t>JÄMTLANDS LÄN</t>
        </is>
      </c>
      <c r="E93" t="inlineStr">
        <is>
          <t>ÖSTERSUND</t>
        </is>
      </c>
      <c r="F93" t="inlineStr">
        <is>
          <t>SCA</t>
        </is>
      </c>
      <c r="G93" t="n">
        <v>12</v>
      </c>
      <c r="H93" t="n">
        <v>3</v>
      </c>
      <c r="I93" t="n">
        <v>4</v>
      </c>
      <c r="J93" t="n">
        <v>0</v>
      </c>
      <c r="K93" t="n">
        <v>0</v>
      </c>
      <c r="L93" t="n">
        <v>0</v>
      </c>
      <c r="M93" t="n">
        <v>0</v>
      </c>
      <c r="N93" t="n">
        <v>0</v>
      </c>
      <c r="O93" t="n">
        <v>0</v>
      </c>
      <c r="P93" t="n">
        <v>0</v>
      </c>
      <c r="Q93" t="n">
        <v>5</v>
      </c>
      <c r="R93" s="2" t="inlineStr">
        <is>
          <t>Guckusko
Tibast
Tvåblad
Underviol
Blåsippa</t>
        </is>
      </c>
      <c r="S93">
        <f>HYPERLINK("https://klasma.github.io/Logging_2380/artfynd/A 27577-2022 artfynd.xlsx", "A 27577-2022")</f>
        <v/>
      </c>
      <c r="T93">
        <f>HYPERLINK("https://klasma.github.io/Logging_2380/kartor/A 27577-2022 karta.png", "A 27577-2022")</f>
        <v/>
      </c>
      <c r="V93">
        <f>HYPERLINK("https://klasma.github.io/Logging_2380/klagomål/A 27577-2022 FSC-klagomål.docx", "A 27577-2022")</f>
        <v/>
      </c>
      <c r="W93">
        <f>HYPERLINK("https://klasma.github.io/Logging_2380/klagomålsmail/A 27577-2022 FSC-klagomål mail.docx", "A 27577-2022")</f>
        <v/>
      </c>
      <c r="X93">
        <f>HYPERLINK("https://klasma.github.io/Logging_2380/tillsyn/A 27577-2022 tillsynsbegäran.docx", "A 27577-2022")</f>
        <v/>
      </c>
      <c r="Y93">
        <f>HYPERLINK("https://klasma.github.io/Logging_2380/tillsynsmail/A 27577-2022 tillsynsbegäran mail.docx", "A 27577-2022")</f>
        <v/>
      </c>
    </row>
    <row r="94" ht="15" customHeight="1">
      <c r="A94" t="inlineStr">
        <is>
          <t>A 7717-2024</t>
        </is>
      </c>
      <c r="B94" s="1" t="n">
        <v>45349</v>
      </c>
      <c r="C94" s="1" t="n">
        <v>46200</v>
      </c>
      <c r="D94" t="inlineStr">
        <is>
          <t>JÄMTLANDS LÄN</t>
        </is>
      </c>
      <c r="E94" t="inlineStr">
        <is>
          <t>ÖSTERSUND</t>
        </is>
      </c>
      <c r="F94" t="inlineStr">
        <is>
          <t>Övriga Aktiebolag</t>
        </is>
      </c>
      <c r="G94" t="n">
        <v>2.5</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HYPERLINK("https://klasma.github.io/Logging_2380/artfynd/A 7717-2024 artfynd.xlsx", "A 7717-2024")</f>
        <v/>
      </c>
      <c r="T94">
        <f>HYPERLINK("https://klasma.github.io/Logging_2380/kartor/A 7717-2024 karta.png", "A 7717-2024")</f>
        <v/>
      </c>
      <c r="V94">
        <f>HYPERLINK("https://klasma.github.io/Logging_2380/klagomål/A 7717-2024 FSC-klagomål.docx", "A 7717-2024")</f>
        <v/>
      </c>
      <c r="W94">
        <f>HYPERLINK("https://klasma.github.io/Logging_2380/klagomålsmail/A 7717-2024 FSC-klagomål mail.docx", "A 7717-2024")</f>
        <v/>
      </c>
      <c r="X94">
        <f>HYPERLINK("https://klasma.github.io/Logging_2380/tillsyn/A 7717-2024 tillsynsbegäran.docx", "A 7717-2024")</f>
        <v/>
      </c>
      <c r="Y94">
        <f>HYPERLINK("https://klasma.github.io/Logging_2380/tillsynsmail/A 7717-2024 tillsynsbegäran mail.docx", "A 7717-2024")</f>
        <v/>
      </c>
      <c r="Z94">
        <f>HYPERLINK("https://klasma.github.io/Logging_2380/fåglar/A 7717-2024 prioriterade fågelarter.docx", "A 7717-2024")</f>
        <v/>
      </c>
    </row>
    <row r="95" ht="15" customHeight="1">
      <c r="A95" t="inlineStr">
        <is>
          <t>A 63930-2023</t>
        </is>
      </c>
      <c r="B95" s="1" t="n">
        <v>45278</v>
      </c>
      <c r="C95" s="1" t="n">
        <v>46200</v>
      </c>
      <c r="D95" t="inlineStr">
        <is>
          <t>JÄMTLANDS LÄN</t>
        </is>
      </c>
      <c r="E95" t="inlineStr">
        <is>
          <t>ÖSTERSUND</t>
        </is>
      </c>
      <c r="G95" t="n">
        <v>2.1</v>
      </c>
      <c r="H95" t="n">
        <v>0</v>
      </c>
      <c r="I95" t="n">
        <v>3</v>
      </c>
      <c r="J95" t="n">
        <v>2</v>
      </c>
      <c r="K95" t="n">
        <v>0</v>
      </c>
      <c r="L95" t="n">
        <v>0</v>
      </c>
      <c r="M95" t="n">
        <v>0</v>
      </c>
      <c r="N95" t="n">
        <v>0</v>
      </c>
      <c r="O95" t="n">
        <v>2</v>
      </c>
      <c r="P95" t="n">
        <v>0</v>
      </c>
      <c r="Q95" t="n">
        <v>5</v>
      </c>
      <c r="R95" s="2" t="inlineStr">
        <is>
          <t>Gultoppig fingersvamp
Lunglav
Strimspindling
Svart trolldruva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19520-2023</t>
        </is>
      </c>
      <c r="B96" s="1" t="n">
        <v>45049</v>
      </c>
      <c r="C96" s="1" t="n">
        <v>46200</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7698-2024</t>
        </is>
      </c>
      <c r="B97" s="1" t="n">
        <v>45349</v>
      </c>
      <c r="C97" s="1" t="n">
        <v>46200</v>
      </c>
      <c r="D97" t="inlineStr">
        <is>
          <t>JÄMTLANDS LÄN</t>
        </is>
      </c>
      <c r="E97" t="inlineStr">
        <is>
          <t>ÖSTERSUND</t>
        </is>
      </c>
      <c r="F97" t="inlineStr">
        <is>
          <t>Övriga Aktiebolag</t>
        </is>
      </c>
      <c r="G97" t="n">
        <v>4.5</v>
      </c>
      <c r="H97" t="n">
        <v>2</v>
      </c>
      <c r="I97" t="n">
        <v>1</v>
      </c>
      <c r="J97" t="n">
        <v>3</v>
      </c>
      <c r="K97" t="n">
        <v>0</v>
      </c>
      <c r="L97" t="n">
        <v>0</v>
      </c>
      <c r="M97" t="n">
        <v>0</v>
      </c>
      <c r="N97" t="n">
        <v>0</v>
      </c>
      <c r="O97" t="n">
        <v>3</v>
      </c>
      <c r="P97" t="n">
        <v>0</v>
      </c>
      <c r="Q97" t="n">
        <v>5</v>
      </c>
      <c r="R97" s="2" t="inlineStr">
        <is>
          <t>Brunklöver
Månlåsbräken
Vitfläckig guldvinge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41493-2025</t>
        </is>
      </c>
      <c r="B98" s="1" t="n">
        <v>45901</v>
      </c>
      <c r="C98" s="1" t="n">
        <v>46200</v>
      </c>
      <c r="D98" t="inlineStr">
        <is>
          <t>JÄMTLANDS LÄN</t>
        </is>
      </c>
      <c r="E98" t="inlineStr">
        <is>
          <t>ÖSTERSUND</t>
        </is>
      </c>
      <c r="F98" t="inlineStr">
        <is>
          <t>Övriga Aktiebolag</t>
        </is>
      </c>
      <c r="G98" t="n">
        <v>0.8</v>
      </c>
      <c r="H98" t="n">
        <v>3</v>
      </c>
      <c r="I98" t="n">
        <v>1</v>
      </c>
      <c r="J98" t="n">
        <v>2</v>
      </c>
      <c r="K98" t="n">
        <v>0</v>
      </c>
      <c r="L98" t="n">
        <v>0</v>
      </c>
      <c r="M98" t="n">
        <v>0</v>
      </c>
      <c r="N98" t="n">
        <v>0</v>
      </c>
      <c r="O98" t="n">
        <v>2</v>
      </c>
      <c r="P98" t="n">
        <v>0</v>
      </c>
      <c r="Q98" t="n">
        <v>5</v>
      </c>
      <c r="R98" s="2" t="inlineStr">
        <is>
          <t>Harticka
Talltita
Trådticka
Järpe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c r="Z98">
        <f>HYPERLINK("https://klasma.github.io/Logging_2380/fåglar/A 41493-2025 prioriterade fågelarter.docx", "A 41493-2025")</f>
        <v/>
      </c>
    </row>
    <row r="99" ht="15" customHeight="1">
      <c r="A99" t="inlineStr">
        <is>
          <t>A 56499-2025</t>
        </is>
      </c>
      <c r="B99" s="1" t="n">
        <v>45975</v>
      </c>
      <c r="C99" s="1" t="n">
        <v>46200</v>
      </c>
      <c r="D99" t="inlineStr">
        <is>
          <t>JÄMTLANDS LÄN</t>
        </is>
      </c>
      <c r="E99" t="inlineStr">
        <is>
          <t>ÖSTERSUND</t>
        </is>
      </c>
      <c r="G99" t="n">
        <v>7.4</v>
      </c>
      <c r="H99" t="n">
        <v>2</v>
      </c>
      <c r="I99" t="n">
        <v>1</v>
      </c>
      <c r="J99" t="n">
        <v>2</v>
      </c>
      <c r="K99" t="n">
        <v>1</v>
      </c>
      <c r="L99" t="n">
        <v>0</v>
      </c>
      <c r="M99" t="n">
        <v>0</v>
      </c>
      <c r="N99" t="n">
        <v>0</v>
      </c>
      <c r="O99" t="n">
        <v>3</v>
      </c>
      <c r="P99" t="n">
        <v>1</v>
      </c>
      <c r="Q99" t="n">
        <v>5</v>
      </c>
      <c r="R99" s="2" t="inlineStr">
        <is>
          <t>Garnlav
Lunglav
Tretåig hackspett
Luddlav
Revlummer</t>
        </is>
      </c>
      <c r="S99">
        <f>HYPERLINK("https://klasma.github.io/Logging_2380/artfynd/A 56499-2025 artfynd.xlsx", "A 56499-2025")</f>
        <v/>
      </c>
      <c r="T99">
        <f>HYPERLINK("https://klasma.github.io/Logging_2380/kartor/A 56499-2025 karta.png", "A 56499-2025")</f>
        <v/>
      </c>
      <c r="V99">
        <f>HYPERLINK("https://klasma.github.io/Logging_2380/klagomål/A 56499-2025 FSC-klagomål.docx", "A 56499-2025")</f>
        <v/>
      </c>
      <c r="W99">
        <f>HYPERLINK("https://klasma.github.io/Logging_2380/klagomålsmail/A 56499-2025 FSC-klagomål mail.docx", "A 56499-2025")</f>
        <v/>
      </c>
      <c r="X99">
        <f>HYPERLINK("https://klasma.github.io/Logging_2380/tillsyn/A 56499-2025 tillsynsbegäran.docx", "A 56499-2025")</f>
        <v/>
      </c>
      <c r="Y99">
        <f>HYPERLINK("https://klasma.github.io/Logging_2380/tillsynsmail/A 56499-2025 tillsynsbegäran mail.docx", "A 56499-2025")</f>
        <v/>
      </c>
      <c r="Z99">
        <f>HYPERLINK("https://klasma.github.io/Logging_2380/fåglar/A 56499-2025 prioriterade fågelarter.docx", "A 56499-2025")</f>
        <v/>
      </c>
    </row>
    <row r="100" ht="15" customHeight="1">
      <c r="A100" t="inlineStr">
        <is>
          <t>A 40781-2025</t>
        </is>
      </c>
      <c r="B100" s="1" t="n">
        <v>45897</v>
      </c>
      <c r="C100" s="1" t="n">
        <v>46200</v>
      </c>
      <c r="D100" t="inlineStr">
        <is>
          <t>JÄMTLANDS LÄN</t>
        </is>
      </c>
      <c r="E100" t="inlineStr">
        <is>
          <t>ÖSTERSUND</t>
        </is>
      </c>
      <c r="F100" t="inlineStr">
        <is>
          <t>Övriga Aktiebolag</t>
        </is>
      </c>
      <c r="G100" t="n">
        <v>2.2</v>
      </c>
      <c r="H100" t="n">
        <v>2</v>
      </c>
      <c r="I100" t="n">
        <v>1</v>
      </c>
      <c r="J100" t="n">
        <v>2</v>
      </c>
      <c r="K100" t="n">
        <v>0</v>
      </c>
      <c r="L100" t="n">
        <v>0</v>
      </c>
      <c r="M100" t="n">
        <v>0</v>
      </c>
      <c r="N100" t="n">
        <v>0</v>
      </c>
      <c r="O100" t="n">
        <v>2</v>
      </c>
      <c r="P100" t="n">
        <v>0</v>
      </c>
      <c r="Q100" t="n">
        <v>5</v>
      </c>
      <c r="R100" s="2" t="inlineStr">
        <is>
          <t>Harticka
Ullticka
Tibast
Blåsippa
Revlummer</t>
        </is>
      </c>
      <c r="S100">
        <f>HYPERLINK("https://klasma.github.io/Logging_2380/artfynd/A 40781-2025 artfynd.xlsx", "A 40781-2025")</f>
        <v/>
      </c>
      <c r="T100">
        <f>HYPERLINK("https://klasma.github.io/Logging_2380/kartor/A 40781-2025 karta.png", "A 40781-2025")</f>
        <v/>
      </c>
      <c r="V100">
        <f>HYPERLINK("https://klasma.github.io/Logging_2380/klagomål/A 40781-2025 FSC-klagomål.docx", "A 40781-2025")</f>
        <v/>
      </c>
      <c r="W100">
        <f>HYPERLINK("https://klasma.github.io/Logging_2380/klagomålsmail/A 40781-2025 FSC-klagomål mail.docx", "A 40781-2025")</f>
        <v/>
      </c>
      <c r="X100">
        <f>HYPERLINK("https://klasma.github.io/Logging_2380/tillsyn/A 40781-2025 tillsynsbegäran.docx", "A 40781-2025")</f>
        <v/>
      </c>
      <c r="Y100">
        <f>HYPERLINK("https://klasma.github.io/Logging_2380/tillsynsmail/A 40781-2025 tillsynsbegäran mail.docx", "A 40781-2025")</f>
        <v/>
      </c>
    </row>
    <row r="101" ht="15" customHeight="1">
      <c r="A101" t="inlineStr">
        <is>
          <t>A 5171-2026</t>
        </is>
      </c>
      <c r="B101" s="1" t="n">
        <v>46049</v>
      </c>
      <c r="C101" s="1" t="n">
        <v>46200</v>
      </c>
      <c r="D101" t="inlineStr">
        <is>
          <t>JÄMTLANDS LÄN</t>
        </is>
      </c>
      <c r="E101" t="inlineStr">
        <is>
          <t>ÖSTERSUND</t>
        </is>
      </c>
      <c r="G101" t="n">
        <v>4.1</v>
      </c>
      <c r="H101" t="n">
        <v>2</v>
      </c>
      <c r="I101" t="n">
        <v>4</v>
      </c>
      <c r="J101" t="n">
        <v>1</v>
      </c>
      <c r="K101" t="n">
        <v>0</v>
      </c>
      <c r="L101" t="n">
        <v>0</v>
      </c>
      <c r="M101" t="n">
        <v>0</v>
      </c>
      <c r="N101" t="n">
        <v>0</v>
      </c>
      <c r="O101" t="n">
        <v>1</v>
      </c>
      <c r="P101" t="n">
        <v>0</v>
      </c>
      <c r="Q101" t="n">
        <v>5</v>
      </c>
      <c r="R101" s="2" t="inlineStr">
        <is>
          <t>Fjällig taggsvamp s.str.
Korallblylav
Korallrot
Spindelblomster
Stuplav</t>
        </is>
      </c>
      <c r="S101">
        <f>HYPERLINK("https://klasma.github.io/Logging_2380/artfynd/A 5171-2026 artfynd.xlsx", "A 5171-2026")</f>
        <v/>
      </c>
      <c r="T101">
        <f>HYPERLINK("https://klasma.github.io/Logging_2380/kartor/A 5171-2026 karta.png", "A 5171-2026")</f>
        <v/>
      </c>
      <c r="V101">
        <f>HYPERLINK("https://klasma.github.io/Logging_2380/klagomål/A 5171-2026 FSC-klagomål.docx", "A 5171-2026")</f>
        <v/>
      </c>
      <c r="W101">
        <f>HYPERLINK("https://klasma.github.io/Logging_2380/klagomålsmail/A 5171-2026 FSC-klagomål mail.docx", "A 5171-2026")</f>
        <v/>
      </c>
      <c r="X101">
        <f>HYPERLINK("https://klasma.github.io/Logging_2380/tillsyn/A 5171-2026 tillsynsbegäran.docx", "A 5171-2026")</f>
        <v/>
      </c>
      <c r="Y101">
        <f>HYPERLINK("https://klasma.github.io/Logging_2380/tillsynsmail/A 5171-2026 tillsynsbegäran mail.docx", "A 5171-2026")</f>
        <v/>
      </c>
    </row>
    <row r="102" ht="15" customHeight="1">
      <c r="A102" t="inlineStr">
        <is>
          <t>A 60623-2022</t>
        </is>
      </c>
      <c r="B102" s="1" t="n">
        <v>44911</v>
      </c>
      <c r="C102" s="1" t="n">
        <v>46200</v>
      </c>
      <c r="D102" t="inlineStr">
        <is>
          <t>JÄMTLANDS LÄN</t>
        </is>
      </c>
      <c r="E102" t="inlineStr">
        <is>
          <t>ÖSTERSUND</t>
        </is>
      </c>
      <c r="G102" t="n">
        <v>10.9</v>
      </c>
      <c r="H102" t="n">
        <v>3</v>
      </c>
      <c r="I102" t="n">
        <v>0</v>
      </c>
      <c r="J102" t="n">
        <v>2</v>
      </c>
      <c r="K102" t="n">
        <v>1</v>
      </c>
      <c r="L102" t="n">
        <v>0</v>
      </c>
      <c r="M102" t="n">
        <v>0</v>
      </c>
      <c r="N102" t="n">
        <v>0</v>
      </c>
      <c r="O102" t="n">
        <v>3</v>
      </c>
      <c r="P102" t="n">
        <v>1</v>
      </c>
      <c r="Q102" t="n">
        <v>5</v>
      </c>
      <c r="R102" s="2" t="inlineStr">
        <is>
          <t>Garnlav
Tretåig hackspett
Vitgrynig nållav
Järpe
Spillkråka</t>
        </is>
      </c>
      <c r="S102">
        <f>HYPERLINK("https://klasma.github.io/Logging_2380/artfynd/A 60623-2022 artfynd.xlsx", "A 60623-2022")</f>
        <v/>
      </c>
      <c r="T102">
        <f>HYPERLINK("https://klasma.github.io/Logging_2380/kartor/A 60623-2022 karta.png", "A 60623-2022")</f>
        <v/>
      </c>
      <c r="V102">
        <f>HYPERLINK("https://klasma.github.io/Logging_2380/klagomål/A 60623-2022 FSC-klagomål.docx", "A 60623-2022")</f>
        <v/>
      </c>
      <c r="W102">
        <f>HYPERLINK("https://klasma.github.io/Logging_2380/klagomålsmail/A 60623-2022 FSC-klagomål mail.docx", "A 60623-2022")</f>
        <v/>
      </c>
      <c r="X102">
        <f>HYPERLINK("https://klasma.github.io/Logging_2380/tillsyn/A 60623-2022 tillsynsbegäran.docx", "A 60623-2022")</f>
        <v/>
      </c>
      <c r="Y102">
        <f>HYPERLINK("https://klasma.github.io/Logging_2380/tillsynsmail/A 60623-2022 tillsynsbegäran mail.docx", "A 60623-2022")</f>
        <v/>
      </c>
      <c r="Z102">
        <f>HYPERLINK("https://klasma.github.io/Logging_2380/fåglar/A 60623-2022 prioriterade fågelarter.docx", "A 60623-2022")</f>
        <v/>
      </c>
    </row>
    <row r="103" ht="15" customHeight="1">
      <c r="A103" t="inlineStr">
        <is>
          <t>A 1026-2026</t>
        </is>
      </c>
      <c r="B103" s="1" t="n">
        <v>46030</v>
      </c>
      <c r="C103" s="1" t="n">
        <v>46200</v>
      </c>
      <c r="D103" t="inlineStr">
        <is>
          <t>JÄMTLANDS LÄN</t>
        </is>
      </c>
      <c r="E103" t="inlineStr">
        <is>
          <t>ÖSTERSUND</t>
        </is>
      </c>
      <c r="G103" t="n">
        <v>6.6</v>
      </c>
      <c r="H103" t="n">
        <v>3</v>
      </c>
      <c r="I103" t="n">
        <v>0</v>
      </c>
      <c r="J103" t="n">
        <v>3</v>
      </c>
      <c r="K103" t="n">
        <v>1</v>
      </c>
      <c r="L103" t="n">
        <v>0</v>
      </c>
      <c r="M103" t="n">
        <v>0</v>
      </c>
      <c r="N103" t="n">
        <v>0</v>
      </c>
      <c r="O103" t="n">
        <v>4</v>
      </c>
      <c r="P103" t="n">
        <v>1</v>
      </c>
      <c r="Q103" t="n">
        <v>5</v>
      </c>
      <c r="R103" s="2" t="inlineStr">
        <is>
          <t>Garnlav
Lunglav
Talltita
Tretåig hackspett
Järpe</t>
        </is>
      </c>
      <c r="S103">
        <f>HYPERLINK("https://klasma.github.io/Logging_2380/artfynd/A 1026-2026 artfynd.xlsx", "A 1026-2026")</f>
        <v/>
      </c>
      <c r="T103">
        <f>HYPERLINK("https://klasma.github.io/Logging_2380/kartor/A 1026-2026 karta.png", "A 1026-2026")</f>
        <v/>
      </c>
      <c r="V103">
        <f>HYPERLINK("https://klasma.github.io/Logging_2380/klagomål/A 1026-2026 FSC-klagomål.docx", "A 1026-2026")</f>
        <v/>
      </c>
      <c r="W103">
        <f>HYPERLINK("https://klasma.github.io/Logging_2380/klagomålsmail/A 1026-2026 FSC-klagomål mail.docx", "A 1026-2026")</f>
        <v/>
      </c>
      <c r="X103">
        <f>HYPERLINK("https://klasma.github.io/Logging_2380/tillsyn/A 1026-2026 tillsynsbegäran.docx", "A 1026-2026")</f>
        <v/>
      </c>
      <c r="Y103">
        <f>HYPERLINK("https://klasma.github.io/Logging_2380/tillsynsmail/A 1026-2026 tillsynsbegäran mail.docx", "A 1026-2026")</f>
        <v/>
      </c>
      <c r="Z103">
        <f>HYPERLINK("https://klasma.github.io/Logging_2380/fåglar/A 1026-2026 prioriterade fågelarter.docx", "A 1026-2026")</f>
        <v/>
      </c>
    </row>
    <row r="104" ht="15" customHeight="1">
      <c r="A104" t="inlineStr">
        <is>
          <t>A 20450-2026</t>
        </is>
      </c>
      <c r="B104" s="1" t="n">
        <v>46140</v>
      </c>
      <c r="C104" s="1" t="n">
        <v>46200</v>
      </c>
      <c r="D104" t="inlineStr">
        <is>
          <t>JÄMTLANDS LÄN</t>
        </is>
      </c>
      <c r="E104" t="inlineStr">
        <is>
          <t>ÖSTERSUND</t>
        </is>
      </c>
      <c r="G104" t="n">
        <v>5.7</v>
      </c>
      <c r="H104" t="n">
        <v>2</v>
      </c>
      <c r="I104" t="n">
        <v>1</v>
      </c>
      <c r="J104" t="n">
        <v>1</v>
      </c>
      <c r="K104" t="n">
        <v>1</v>
      </c>
      <c r="L104" t="n">
        <v>0</v>
      </c>
      <c r="M104" t="n">
        <v>0</v>
      </c>
      <c r="N104" t="n">
        <v>0</v>
      </c>
      <c r="O104" t="n">
        <v>2</v>
      </c>
      <c r="P104" t="n">
        <v>1</v>
      </c>
      <c r="Q104" t="n">
        <v>5</v>
      </c>
      <c r="R104" s="2" t="inlineStr">
        <is>
          <t>Garnlav
Lunglav
Tibast
Blåsippa
Kungsfågel</t>
        </is>
      </c>
      <c r="S104">
        <f>HYPERLINK("https://klasma.github.io/Logging_2380/artfynd/A 20450-2026 artfynd.xlsx", "A 20450-2026")</f>
        <v/>
      </c>
      <c r="T104">
        <f>HYPERLINK("https://klasma.github.io/Logging_2380/kartor/A 20450-2026 karta.png", "A 20450-2026")</f>
        <v/>
      </c>
      <c r="V104">
        <f>HYPERLINK("https://klasma.github.io/Logging_2380/klagomål/A 20450-2026 FSC-klagomål.docx", "A 20450-2026")</f>
        <v/>
      </c>
      <c r="W104">
        <f>HYPERLINK("https://klasma.github.io/Logging_2380/klagomålsmail/A 20450-2026 FSC-klagomål mail.docx", "A 20450-2026")</f>
        <v/>
      </c>
      <c r="X104">
        <f>HYPERLINK("https://klasma.github.io/Logging_2380/tillsyn/A 20450-2026 tillsynsbegäran.docx", "A 20450-2026")</f>
        <v/>
      </c>
      <c r="Y104">
        <f>HYPERLINK("https://klasma.github.io/Logging_2380/tillsynsmail/A 20450-2026 tillsynsbegäran mail.docx", "A 20450-2026")</f>
        <v/>
      </c>
    </row>
    <row r="105" ht="15" customHeight="1">
      <c r="A105" t="inlineStr">
        <is>
          <t>A 61212-2025</t>
        </is>
      </c>
      <c r="B105" s="1" t="n">
        <v>46000</v>
      </c>
      <c r="C105" s="1" t="n">
        <v>46200</v>
      </c>
      <c r="D105" t="inlineStr">
        <is>
          <t>JÄMTLANDS LÄN</t>
        </is>
      </c>
      <c r="E105" t="inlineStr">
        <is>
          <t>ÖSTERSUND</t>
        </is>
      </c>
      <c r="G105" t="n">
        <v>7.8</v>
      </c>
      <c r="H105" t="n">
        <v>3</v>
      </c>
      <c r="I105" t="n">
        <v>0</v>
      </c>
      <c r="J105" t="n">
        <v>3</v>
      </c>
      <c r="K105" t="n">
        <v>1</v>
      </c>
      <c r="L105" t="n">
        <v>0</v>
      </c>
      <c r="M105" t="n">
        <v>0</v>
      </c>
      <c r="N105" t="n">
        <v>0</v>
      </c>
      <c r="O105" t="n">
        <v>4</v>
      </c>
      <c r="P105" t="n">
        <v>1</v>
      </c>
      <c r="Q105" t="n">
        <v>5</v>
      </c>
      <c r="R105" s="2" t="inlineStr">
        <is>
          <t>Knärot
Harticka
Talltita
Ullticka
Spillkråka</t>
        </is>
      </c>
      <c r="S105">
        <f>HYPERLINK("https://klasma.github.io/Logging_2380/artfynd/A 61212-2025 artfynd.xlsx", "A 61212-2025")</f>
        <v/>
      </c>
      <c r="T105">
        <f>HYPERLINK("https://klasma.github.io/Logging_2380/kartor/A 61212-2025 karta.png", "A 61212-2025")</f>
        <v/>
      </c>
      <c r="U105">
        <f>HYPERLINK("https://klasma.github.io/Logging_2380/knärot/A 61212-2025 karta knärot.png", "A 61212-2025")</f>
        <v/>
      </c>
      <c r="V105">
        <f>HYPERLINK("https://klasma.github.io/Logging_2380/klagomål/A 61212-2025 FSC-klagomål.docx", "A 61212-2025")</f>
        <v/>
      </c>
      <c r="W105">
        <f>HYPERLINK("https://klasma.github.io/Logging_2380/klagomålsmail/A 61212-2025 FSC-klagomål mail.docx", "A 61212-2025")</f>
        <v/>
      </c>
      <c r="X105">
        <f>HYPERLINK("https://klasma.github.io/Logging_2380/tillsyn/A 61212-2025 tillsynsbegäran.docx", "A 61212-2025")</f>
        <v/>
      </c>
      <c r="Y105">
        <f>HYPERLINK("https://klasma.github.io/Logging_2380/tillsynsmail/A 61212-2025 tillsynsbegäran mail.docx", "A 61212-2025")</f>
        <v/>
      </c>
      <c r="Z105">
        <f>HYPERLINK("https://klasma.github.io/Logging_2380/fåglar/A 61212-2025 prioriterade fågelarter.docx", "A 61212-2025")</f>
        <v/>
      </c>
    </row>
    <row r="106" ht="15" customHeight="1">
      <c r="A106" t="inlineStr">
        <is>
          <t>A 58372-2025</t>
        </is>
      </c>
      <c r="B106" s="1" t="n">
        <v>45985</v>
      </c>
      <c r="C106" s="1" t="n">
        <v>46200</v>
      </c>
      <c r="D106" t="inlineStr">
        <is>
          <t>JÄMTLANDS LÄN</t>
        </is>
      </c>
      <c r="E106" t="inlineStr">
        <is>
          <t>ÖSTERSUND</t>
        </is>
      </c>
      <c r="G106" t="n">
        <v>7.1</v>
      </c>
      <c r="H106" t="n">
        <v>1</v>
      </c>
      <c r="I106" t="n">
        <v>0</v>
      </c>
      <c r="J106" t="n">
        <v>4</v>
      </c>
      <c r="K106" t="n">
        <v>1</v>
      </c>
      <c r="L106" t="n">
        <v>0</v>
      </c>
      <c r="M106" t="n">
        <v>0</v>
      </c>
      <c r="N106" t="n">
        <v>0</v>
      </c>
      <c r="O106" t="n">
        <v>5</v>
      </c>
      <c r="P106" t="n">
        <v>1</v>
      </c>
      <c r="Q106" t="n">
        <v>5</v>
      </c>
      <c r="R106" s="2" t="inlineStr">
        <is>
          <t>Garnlav
Harticka
Lunglav
Tretåig hackspett
Ullticka</t>
        </is>
      </c>
      <c r="S106">
        <f>HYPERLINK("https://klasma.github.io/Logging_2380/artfynd/A 58372-2025 artfynd.xlsx", "A 58372-2025")</f>
        <v/>
      </c>
      <c r="T106">
        <f>HYPERLINK("https://klasma.github.io/Logging_2380/kartor/A 58372-2025 karta.png", "A 58372-2025")</f>
        <v/>
      </c>
      <c r="V106">
        <f>HYPERLINK("https://klasma.github.io/Logging_2380/klagomål/A 58372-2025 FSC-klagomål.docx", "A 58372-2025")</f>
        <v/>
      </c>
      <c r="W106">
        <f>HYPERLINK("https://klasma.github.io/Logging_2380/klagomålsmail/A 58372-2025 FSC-klagomål mail.docx", "A 58372-2025")</f>
        <v/>
      </c>
      <c r="X106">
        <f>HYPERLINK("https://klasma.github.io/Logging_2380/tillsyn/A 58372-2025 tillsynsbegäran.docx", "A 58372-2025")</f>
        <v/>
      </c>
      <c r="Y106">
        <f>HYPERLINK("https://klasma.github.io/Logging_2380/tillsynsmail/A 58372-2025 tillsynsbegäran mail.docx", "A 58372-2025")</f>
        <v/>
      </c>
      <c r="Z106">
        <f>HYPERLINK("https://klasma.github.io/Logging_2380/fåglar/A 58372-2025 prioriterade fågelarter.docx", "A 58372-2025")</f>
        <v/>
      </c>
    </row>
    <row r="107" ht="15" customHeight="1">
      <c r="A107" t="inlineStr">
        <is>
          <t>A 29135-2022</t>
        </is>
      </c>
      <c r="B107" s="1" t="n">
        <v>44750</v>
      </c>
      <c r="C107" s="1" t="n">
        <v>46200</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Blåsippa
Fläcknycklar</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55344-2023</t>
        </is>
      </c>
      <c r="B108" s="1" t="n">
        <v>45237</v>
      </c>
      <c r="C108" s="1" t="n">
        <v>46200</v>
      </c>
      <c r="D108" t="inlineStr">
        <is>
          <t>JÄMTLANDS LÄN</t>
        </is>
      </c>
      <c r="E108" t="inlineStr">
        <is>
          <t>ÖSTERSUND</t>
        </is>
      </c>
      <c r="F108" t="inlineStr">
        <is>
          <t>SCA</t>
        </is>
      </c>
      <c r="G108" t="n">
        <v>1.5</v>
      </c>
      <c r="H108" t="n">
        <v>1</v>
      </c>
      <c r="I108" t="n">
        <v>1</v>
      </c>
      <c r="J108" t="n">
        <v>1</v>
      </c>
      <c r="K108" t="n">
        <v>2</v>
      </c>
      <c r="L108" t="n">
        <v>0</v>
      </c>
      <c r="M108" t="n">
        <v>0</v>
      </c>
      <c r="N108" t="n">
        <v>0</v>
      </c>
      <c r="O108" t="n">
        <v>3</v>
      </c>
      <c r="P108" t="n">
        <v>2</v>
      </c>
      <c r="Q108" t="n">
        <v>4</v>
      </c>
      <c r="R108" s="2" t="inlineStr">
        <is>
          <t>Garnlav
Lappuggla
Lunglav
Stuplav</t>
        </is>
      </c>
      <c r="S108">
        <f>HYPERLINK("https://klasma.github.io/Logging_2380/artfynd/A 55344-2023 artfynd.xlsx", "A 55344-2023")</f>
        <v/>
      </c>
      <c r="T108">
        <f>HYPERLINK("https://klasma.github.io/Logging_2380/kartor/A 55344-2023 karta.png", "A 55344-2023")</f>
        <v/>
      </c>
      <c r="V108">
        <f>HYPERLINK("https://klasma.github.io/Logging_2380/klagomål/A 55344-2023 FSC-klagomål.docx", "A 55344-2023")</f>
        <v/>
      </c>
      <c r="W108">
        <f>HYPERLINK("https://klasma.github.io/Logging_2380/klagomålsmail/A 55344-2023 FSC-klagomål mail.docx", "A 55344-2023")</f>
        <v/>
      </c>
      <c r="X108">
        <f>HYPERLINK("https://klasma.github.io/Logging_2380/tillsyn/A 55344-2023 tillsynsbegäran.docx", "A 55344-2023")</f>
        <v/>
      </c>
      <c r="Y108">
        <f>HYPERLINK("https://klasma.github.io/Logging_2380/tillsynsmail/A 55344-2023 tillsynsbegäran mail.docx", "A 55344-2023")</f>
        <v/>
      </c>
      <c r="Z108">
        <f>HYPERLINK("https://klasma.github.io/Logging_2380/fåglar/A 55344-2023 prioriterade fågelarter.docx", "A 55344-2023")</f>
        <v/>
      </c>
    </row>
    <row r="109" ht="15" customHeight="1">
      <c r="A109" t="inlineStr">
        <is>
          <t>A 47385-2022</t>
        </is>
      </c>
      <c r="B109" s="1" t="n">
        <v>44853</v>
      </c>
      <c r="C109" s="1" t="n">
        <v>46200</v>
      </c>
      <c r="D109" t="inlineStr">
        <is>
          <t>JÄMTLANDS LÄN</t>
        </is>
      </c>
      <c r="E109" t="inlineStr">
        <is>
          <t>ÖSTERSUND</t>
        </is>
      </c>
      <c r="G109" t="n">
        <v>0.9</v>
      </c>
      <c r="H109" t="n">
        <v>1</v>
      </c>
      <c r="I109" t="n">
        <v>0</v>
      </c>
      <c r="J109" t="n">
        <v>2</v>
      </c>
      <c r="K109" t="n">
        <v>2</v>
      </c>
      <c r="L109" t="n">
        <v>0</v>
      </c>
      <c r="M109" t="n">
        <v>0</v>
      </c>
      <c r="N109" t="n">
        <v>0</v>
      </c>
      <c r="O109" t="n">
        <v>4</v>
      </c>
      <c r="P109" t="n">
        <v>2</v>
      </c>
      <c r="Q109" t="n">
        <v>4</v>
      </c>
      <c r="R109" s="2" t="inlineStr">
        <is>
          <t>Garnlav
Knärot
Ullticka
Vitgrynig nållav</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15700-2025</t>
        </is>
      </c>
      <c r="B110" s="1" t="n">
        <v>45748</v>
      </c>
      <c r="C110" s="1" t="n">
        <v>46200</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38334-2023</t>
        </is>
      </c>
      <c r="B111" s="1" t="n">
        <v>45161</v>
      </c>
      <c r="C111" s="1" t="n">
        <v>46200</v>
      </c>
      <c r="D111" t="inlineStr">
        <is>
          <t>JÄMTLANDS LÄN</t>
        </is>
      </c>
      <c r="E111" t="inlineStr">
        <is>
          <t>ÖSTERSUND</t>
        </is>
      </c>
      <c r="G111" t="n">
        <v>10.5</v>
      </c>
      <c r="H111" t="n">
        <v>1</v>
      </c>
      <c r="I111" t="n">
        <v>0</v>
      </c>
      <c r="J111" t="n">
        <v>3</v>
      </c>
      <c r="K111" t="n">
        <v>1</v>
      </c>
      <c r="L111" t="n">
        <v>0</v>
      </c>
      <c r="M111" t="n">
        <v>0</v>
      </c>
      <c r="N111" t="n">
        <v>0</v>
      </c>
      <c r="O111" t="n">
        <v>4</v>
      </c>
      <c r="P111" t="n">
        <v>1</v>
      </c>
      <c r="Q111" t="n">
        <v>4</v>
      </c>
      <c r="R111" s="2" t="inlineStr">
        <is>
          <t>Violett fingersvamp
Harticka
Rynkskinn
Tretåig hackspett</t>
        </is>
      </c>
      <c r="S111">
        <f>HYPERLINK("https://klasma.github.io/Logging_2380/artfynd/A 38334-2023 artfynd.xlsx", "A 38334-2023")</f>
        <v/>
      </c>
      <c r="T111">
        <f>HYPERLINK("https://klasma.github.io/Logging_2380/kartor/A 38334-2023 karta.png", "A 38334-2023")</f>
        <v/>
      </c>
      <c r="V111">
        <f>HYPERLINK("https://klasma.github.io/Logging_2380/klagomål/A 38334-2023 FSC-klagomål.docx", "A 38334-2023")</f>
        <v/>
      </c>
      <c r="W111">
        <f>HYPERLINK("https://klasma.github.io/Logging_2380/klagomålsmail/A 38334-2023 FSC-klagomål mail.docx", "A 38334-2023")</f>
        <v/>
      </c>
      <c r="X111">
        <f>HYPERLINK("https://klasma.github.io/Logging_2380/tillsyn/A 38334-2023 tillsynsbegäran.docx", "A 38334-2023")</f>
        <v/>
      </c>
      <c r="Y111">
        <f>HYPERLINK("https://klasma.github.io/Logging_2380/tillsynsmail/A 38334-2023 tillsynsbegäran mail.docx", "A 38334-2023")</f>
        <v/>
      </c>
      <c r="Z111">
        <f>HYPERLINK("https://klasma.github.io/Logging_2380/fåglar/A 38334-2023 prioriterade fågelarter.docx", "A 38334-2023")</f>
        <v/>
      </c>
    </row>
    <row r="112" ht="15" customHeight="1">
      <c r="A112" t="inlineStr">
        <is>
          <t>A 59291-2022</t>
        </is>
      </c>
      <c r="B112" s="1" t="n">
        <v>44904</v>
      </c>
      <c r="C112" s="1" t="n">
        <v>46200</v>
      </c>
      <c r="D112" t="inlineStr">
        <is>
          <t>JÄMTLANDS LÄN</t>
        </is>
      </c>
      <c r="E112" t="inlineStr">
        <is>
          <t>ÖSTERSUND</t>
        </is>
      </c>
      <c r="G112" t="n">
        <v>9.199999999999999</v>
      </c>
      <c r="H112" t="n">
        <v>1</v>
      </c>
      <c r="I112" t="n">
        <v>0</v>
      </c>
      <c r="J112" t="n">
        <v>2</v>
      </c>
      <c r="K112" t="n">
        <v>1</v>
      </c>
      <c r="L112" t="n">
        <v>0</v>
      </c>
      <c r="M112" t="n">
        <v>0</v>
      </c>
      <c r="N112" t="n">
        <v>0</v>
      </c>
      <c r="O112" t="n">
        <v>3</v>
      </c>
      <c r="P112" t="n">
        <v>1</v>
      </c>
      <c r="Q112" t="n">
        <v>4</v>
      </c>
      <c r="R112" s="2" t="inlineStr">
        <is>
          <t>Garnlav
Lunglav
Skrovellav
Revlummer</t>
        </is>
      </c>
      <c r="S112">
        <f>HYPERLINK("https://klasma.github.io/Logging_2380/artfynd/A 59291-2022 artfynd.xlsx", "A 59291-2022")</f>
        <v/>
      </c>
      <c r="T112">
        <f>HYPERLINK("https://klasma.github.io/Logging_2380/kartor/A 59291-2022 karta.png", "A 59291-2022")</f>
        <v/>
      </c>
      <c r="V112">
        <f>HYPERLINK("https://klasma.github.io/Logging_2380/klagomål/A 59291-2022 FSC-klagomål.docx", "A 59291-2022")</f>
        <v/>
      </c>
      <c r="W112">
        <f>HYPERLINK("https://klasma.github.io/Logging_2380/klagomålsmail/A 59291-2022 FSC-klagomål mail.docx", "A 59291-2022")</f>
        <v/>
      </c>
      <c r="X112">
        <f>HYPERLINK("https://klasma.github.io/Logging_2380/tillsyn/A 59291-2022 tillsynsbegäran.docx", "A 59291-2022")</f>
        <v/>
      </c>
      <c r="Y112">
        <f>HYPERLINK("https://klasma.github.io/Logging_2380/tillsynsmail/A 59291-2022 tillsynsbegäran mail.docx", "A 59291-2022")</f>
        <v/>
      </c>
    </row>
    <row r="113" ht="15" customHeight="1">
      <c r="A113" t="inlineStr">
        <is>
          <t>A 25369-2024</t>
        </is>
      </c>
      <c r="B113" s="1" t="n">
        <v>45462</v>
      </c>
      <c r="C113" s="1" t="n">
        <v>46200</v>
      </c>
      <c r="D113" t="inlineStr">
        <is>
          <t>JÄMTLANDS LÄN</t>
        </is>
      </c>
      <c r="E113" t="inlineStr">
        <is>
          <t>ÖSTERSUND</t>
        </is>
      </c>
      <c r="G113" t="n">
        <v>14.7</v>
      </c>
      <c r="H113" t="n">
        <v>1</v>
      </c>
      <c r="I113" t="n">
        <v>2</v>
      </c>
      <c r="J113" t="n">
        <v>1</v>
      </c>
      <c r="K113" t="n">
        <v>0</v>
      </c>
      <c r="L113" t="n">
        <v>0</v>
      </c>
      <c r="M113" t="n">
        <v>0</v>
      </c>
      <c r="N113" t="n">
        <v>0</v>
      </c>
      <c r="O113" t="n">
        <v>1</v>
      </c>
      <c r="P113" t="n">
        <v>0</v>
      </c>
      <c r="Q113" t="n">
        <v>4</v>
      </c>
      <c r="R113" s="2" t="inlineStr">
        <is>
          <t>Ullticka
Kransrams
Underviol
Blåsippa</t>
        </is>
      </c>
      <c r="S113">
        <f>HYPERLINK("https://klasma.github.io/Logging_2380/artfynd/A 25369-2024 artfynd.xlsx", "A 25369-2024")</f>
        <v/>
      </c>
      <c r="T113">
        <f>HYPERLINK("https://klasma.github.io/Logging_2380/kartor/A 25369-2024 karta.png", "A 25369-2024")</f>
        <v/>
      </c>
      <c r="V113">
        <f>HYPERLINK("https://klasma.github.io/Logging_2380/klagomål/A 25369-2024 FSC-klagomål.docx", "A 25369-2024")</f>
        <v/>
      </c>
      <c r="W113">
        <f>HYPERLINK("https://klasma.github.io/Logging_2380/klagomålsmail/A 25369-2024 FSC-klagomål mail.docx", "A 25369-2024")</f>
        <v/>
      </c>
      <c r="X113">
        <f>HYPERLINK("https://klasma.github.io/Logging_2380/tillsyn/A 25369-2024 tillsynsbegäran.docx", "A 25369-2024")</f>
        <v/>
      </c>
      <c r="Y113">
        <f>HYPERLINK("https://klasma.github.io/Logging_2380/tillsynsmail/A 25369-2024 tillsynsbegäran mail.docx", "A 25369-2024")</f>
        <v/>
      </c>
    </row>
    <row r="114" ht="15" customHeight="1">
      <c r="A114" t="inlineStr">
        <is>
          <t>A 8423-2023</t>
        </is>
      </c>
      <c r="B114" s="1" t="n">
        <v>44977</v>
      </c>
      <c r="C114" s="1" t="n">
        <v>46200</v>
      </c>
      <c r="D114" t="inlineStr">
        <is>
          <t>JÄMTLANDS LÄN</t>
        </is>
      </c>
      <c r="E114" t="inlineStr">
        <is>
          <t>ÖSTERSUND</t>
        </is>
      </c>
      <c r="F114" t="inlineStr">
        <is>
          <t>Övriga Aktiebolag</t>
        </is>
      </c>
      <c r="G114" t="n">
        <v>53.1</v>
      </c>
      <c r="H114" t="n">
        <v>1</v>
      </c>
      <c r="I114" t="n">
        <v>1</v>
      </c>
      <c r="J114" t="n">
        <v>1</v>
      </c>
      <c r="K114" t="n">
        <v>1</v>
      </c>
      <c r="L114" t="n">
        <v>0</v>
      </c>
      <c r="M114" t="n">
        <v>0</v>
      </c>
      <c r="N114" t="n">
        <v>0</v>
      </c>
      <c r="O114" t="n">
        <v>2</v>
      </c>
      <c r="P114" t="n">
        <v>1</v>
      </c>
      <c r="Q114" t="n">
        <v>4</v>
      </c>
      <c r="R114" s="2" t="inlineStr">
        <is>
          <t>Garnlav
Dvärgbägarlav
Stor aspticka
Nattviol</t>
        </is>
      </c>
      <c r="S114">
        <f>HYPERLINK("https://klasma.github.io/Logging_2380/artfynd/A 8423-2023 artfynd.xlsx", "A 8423-2023")</f>
        <v/>
      </c>
      <c r="T114">
        <f>HYPERLINK("https://klasma.github.io/Logging_2380/kartor/A 8423-2023 karta.png", "A 8423-2023")</f>
        <v/>
      </c>
      <c r="V114">
        <f>HYPERLINK("https://klasma.github.io/Logging_2380/klagomål/A 8423-2023 FSC-klagomål.docx", "A 8423-2023")</f>
        <v/>
      </c>
      <c r="W114">
        <f>HYPERLINK("https://klasma.github.io/Logging_2380/klagomålsmail/A 8423-2023 FSC-klagomål mail.docx", "A 8423-2023")</f>
        <v/>
      </c>
      <c r="X114">
        <f>HYPERLINK("https://klasma.github.io/Logging_2380/tillsyn/A 8423-2023 tillsynsbegäran.docx", "A 8423-2023")</f>
        <v/>
      </c>
      <c r="Y114">
        <f>HYPERLINK("https://klasma.github.io/Logging_2380/tillsynsmail/A 8423-2023 tillsynsbegäran mail.docx", "A 8423-2023")</f>
        <v/>
      </c>
    </row>
    <row r="115" ht="15" customHeight="1">
      <c r="A115" t="inlineStr">
        <is>
          <t>A 43883-2024</t>
        </is>
      </c>
      <c r="B115" s="1" t="n">
        <v>45570</v>
      </c>
      <c r="C115" s="1" t="n">
        <v>46200</v>
      </c>
      <c r="D115" t="inlineStr">
        <is>
          <t>JÄMTLANDS LÄN</t>
        </is>
      </c>
      <c r="E115" t="inlineStr">
        <is>
          <t>ÖSTERSUND</t>
        </is>
      </c>
      <c r="G115" t="n">
        <v>3.8</v>
      </c>
      <c r="H115" t="n">
        <v>1</v>
      </c>
      <c r="I115" t="n">
        <v>1</v>
      </c>
      <c r="J115" t="n">
        <v>1</v>
      </c>
      <c r="K115" t="n">
        <v>1</v>
      </c>
      <c r="L115" t="n">
        <v>0</v>
      </c>
      <c r="M115" t="n">
        <v>0</v>
      </c>
      <c r="N115" t="n">
        <v>0</v>
      </c>
      <c r="O115" t="n">
        <v>2</v>
      </c>
      <c r="P115" t="n">
        <v>1</v>
      </c>
      <c r="Q115" t="n">
        <v>4</v>
      </c>
      <c r="R115" s="2" t="inlineStr">
        <is>
          <t>Frösöstarr
Ladlav
Svart trolldruva
Blåsippa</t>
        </is>
      </c>
      <c r="S115">
        <f>HYPERLINK("https://klasma.github.io/Logging_2380/artfynd/A 43883-2024 artfynd.xlsx", "A 43883-2024")</f>
        <v/>
      </c>
      <c r="T115">
        <f>HYPERLINK("https://klasma.github.io/Logging_2380/kartor/A 43883-2024 karta.png", "A 43883-2024")</f>
        <v/>
      </c>
      <c r="V115">
        <f>HYPERLINK("https://klasma.github.io/Logging_2380/klagomål/A 43883-2024 FSC-klagomål.docx", "A 43883-2024")</f>
        <v/>
      </c>
      <c r="W115">
        <f>HYPERLINK("https://klasma.github.io/Logging_2380/klagomålsmail/A 43883-2024 FSC-klagomål mail.docx", "A 43883-2024")</f>
        <v/>
      </c>
      <c r="X115">
        <f>HYPERLINK("https://klasma.github.io/Logging_2380/tillsyn/A 43883-2024 tillsynsbegäran.docx", "A 43883-2024")</f>
        <v/>
      </c>
      <c r="Y115">
        <f>HYPERLINK("https://klasma.github.io/Logging_2380/tillsynsmail/A 43883-2024 tillsynsbegäran mail.docx", "A 43883-2024")</f>
        <v/>
      </c>
    </row>
    <row r="116" ht="15" customHeight="1">
      <c r="A116" t="inlineStr">
        <is>
          <t>A 59793-2022</t>
        </is>
      </c>
      <c r="B116" s="1" t="n">
        <v>44908</v>
      </c>
      <c r="C116" s="1" t="n">
        <v>46200</v>
      </c>
      <c r="D116" t="inlineStr">
        <is>
          <t>JÄMTLANDS LÄN</t>
        </is>
      </c>
      <c r="E116" t="inlineStr">
        <is>
          <t>ÖSTERSUND</t>
        </is>
      </c>
      <c r="G116" t="n">
        <v>23.3</v>
      </c>
      <c r="H116" t="n">
        <v>3</v>
      </c>
      <c r="I116" t="n">
        <v>2</v>
      </c>
      <c r="J116" t="n">
        <v>1</v>
      </c>
      <c r="K116" t="n">
        <v>0</v>
      </c>
      <c r="L116" t="n">
        <v>0</v>
      </c>
      <c r="M116" t="n">
        <v>0</v>
      </c>
      <c r="N116" t="n">
        <v>0</v>
      </c>
      <c r="O116" t="n">
        <v>1</v>
      </c>
      <c r="P116" t="n">
        <v>0</v>
      </c>
      <c r="Q116" t="n">
        <v>4</v>
      </c>
      <c r="R116" s="2" t="inlineStr">
        <is>
          <t>Majviva
Spindelblomster
Tvåblad
Fläcknycklar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56934-2025</t>
        </is>
      </c>
      <c r="B117" s="1" t="n">
        <v>45978</v>
      </c>
      <c r="C117" s="1" t="n">
        <v>46200</v>
      </c>
      <c r="D117" t="inlineStr">
        <is>
          <t>JÄMTLANDS LÄN</t>
        </is>
      </c>
      <c r="E117" t="inlineStr">
        <is>
          <t>ÖSTERSUND</t>
        </is>
      </c>
      <c r="G117" t="n">
        <v>4.3</v>
      </c>
      <c r="H117" t="n">
        <v>2</v>
      </c>
      <c r="I117" t="n">
        <v>0</v>
      </c>
      <c r="J117" t="n">
        <v>2</v>
      </c>
      <c r="K117" t="n">
        <v>1</v>
      </c>
      <c r="L117" t="n">
        <v>0</v>
      </c>
      <c r="M117" t="n">
        <v>0</v>
      </c>
      <c r="N117" t="n">
        <v>0</v>
      </c>
      <c r="O117" t="n">
        <v>3</v>
      </c>
      <c r="P117" t="n">
        <v>1</v>
      </c>
      <c r="Q117" t="n">
        <v>4</v>
      </c>
      <c r="R117" s="2" t="inlineStr">
        <is>
          <t>Garnlav
Harticka
Talltita
Revlummer</t>
        </is>
      </c>
      <c r="S117">
        <f>HYPERLINK("https://klasma.github.io/Logging_2380/artfynd/A 56934-2025 artfynd.xlsx", "A 56934-2025")</f>
        <v/>
      </c>
      <c r="T117">
        <f>HYPERLINK("https://klasma.github.io/Logging_2380/kartor/A 56934-2025 karta.png", "A 56934-2025")</f>
        <v/>
      </c>
      <c r="V117">
        <f>HYPERLINK("https://klasma.github.io/Logging_2380/klagomål/A 56934-2025 FSC-klagomål.docx", "A 56934-2025")</f>
        <v/>
      </c>
      <c r="W117">
        <f>HYPERLINK("https://klasma.github.io/Logging_2380/klagomålsmail/A 56934-2025 FSC-klagomål mail.docx", "A 56934-2025")</f>
        <v/>
      </c>
      <c r="X117">
        <f>HYPERLINK("https://klasma.github.io/Logging_2380/tillsyn/A 56934-2025 tillsynsbegäran.docx", "A 56934-2025")</f>
        <v/>
      </c>
      <c r="Y117">
        <f>HYPERLINK("https://klasma.github.io/Logging_2380/tillsynsmail/A 56934-2025 tillsynsbegäran mail.docx", "A 56934-2025")</f>
        <v/>
      </c>
      <c r="Z117">
        <f>HYPERLINK("https://klasma.github.io/Logging_2380/fåglar/A 56934-2025 prioriterade fågelarter.docx", "A 56934-2025")</f>
        <v/>
      </c>
    </row>
    <row r="118" ht="15" customHeight="1">
      <c r="A118" t="inlineStr">
        <is>
          <t>A 10529-2025</t>
        </is>
      </c>
      <c r="B118" s="1" t="n">
        <v>45721</v>
      </c>
      <c r="C118" s="1" t="n">
        <v>46200</v>
      </c>
      <c r="D118" t="inlineStr">
        <is>
          <t>JÄMTLANDS LÄN</t>
        </is>
      </c>
      <c r="E118" t="inlineStr">
        <is>
          <t>ÖSTERSUND</t>
        </is>
      </c>
      <c r="F118" t="inlineStr">
        <is>
          <t>SCA</t>
        </is>
      </c>
      <c r="G118" t="n">
        <v>1.4</v>
      </c>
      <c r="H118" t="n">
        <v>1</v>
      </c>
      <c r="I118" t="n">
        <v>2</v>
      </c>
      <c r="J118" t="n">
        <v>0</v>
      </c>
      <c r="K118" t="n">
        <v>1</v>
      </c>
      <c r="L118" t="n">
        <v>0</v>
      </c>
      <c r="M118" t="n">
        <v>0</v>
      </c>
      <c r="N118" t="n">
        <v>0</v>
      </c>
      <c r="O118" t="n">
        <v>1</v>
      </c>
      <c r="P118" t="n">
        <v>1</v>
      </c>
      <c r="Q118" t="n">
        <v>4</v>
      </c>
      <c r="R118" s="2" t="inlineStr">
        <is>
          <t>Myrstarr
Gräsull
Ögonpyrola
Ängsnycklar</t>
        </is>
      </c>
      <c r="S118">
        <f>HYPERLINK("https://klasma.github.io/Logging_2380/artfynd/A 10529-2025 artfynd.xlsx", "A 10529-2025")</f>
        <v/>
      </c>
      <c r="T118">
        <f>HYPERLINK("https://klasma.github.io/Logging_2380/kartor/A 10529-2025 karta.png", "A 10529-2025")</f>
        <v/>
      </c>
      <c r="V118">
        <f>HYPERLINK("https://klasma.github.io/Logging_2380/klagomål/A 10529-2025 FSC-klagomål.docx", "A 10529-2025")</f>
        <v/>
      </c>
      <c r="W118">
        <f>HYPERLINK("https://klasma.github.io/Logging_2380/klagomålsmail/A 10529-2025 FSC-klagomål mail.docx", "A 10529-2025")</f>
        <v/>
      </c>
      <c r="X118">
        <f>HYPERLINK("https://klasma.github.io/Logging_2380/tillsyn/A 10529-2025 tillsynsbegäran.docx", "A 10529-2025")</f>
        <v/>
      </c>
      <c r="Y118">
        <f>HYPERLINK("https://klasma.github.io/Logging_2380/tillsynsmail/A 10529-2025 tillsynsbegäran mail.docx", "A 10529-2025")</f>
        <v/>
      </c>
    </row>
    <row r="119" ht="15" customHeight="1">
      <c r="A119" t="inlineStr">
        <is>
          <t>A 22965-2026</t>
        </is>
      </c>
      <c r="B119" s="1" t="n">
        <v>46160</v>
      </c>
      <c r="C119" s="1" t="n">
        <v>46200</v>
      </c>
      <c r="D119" t="inlineStr">
        <is>
          <t>JÄMTLANDS LÄN</t>
        </is>
      </c>
      <c r="E119" t="inlineStr">
        <is>
          <t>ÖSTERSUND</t>
        </is>
      </c>
      <c r="G119" t="n">
        <v>2.4</v>
      </c>
      <c r="H119" t="n">
        <v>3</v>
      </c>
      <c r="I119" t="n">
        <v>1</v>
      </c>
      <c r="J119" t="n">
        <v>0</v>
      </c>
      <c r="K119" t="n">
        <v>1</v>
      </c>
      <c r="L119" t="n">
        <v>0</v>
      </c>
      <c r="M119" t="n">
        <v>0</v>
      </c>
      <c r="N119" t="n">
        <v>0</v>
      </c>
      <c r="O119" t="n">
        <v>1</v>
      </c>
      <c r="P119" t="n">
        <v>1</v>
      </c>
      <c r="Q119" t="n">
        <v>4</v>
      </c>
      <c r="R119" s="2" t="inlineStr">
        <is>
          <t>Knärot
Norrlandslav
Tjäder
Tofsmes</t>
        </is>
      </c>
      <c r="S119">
        <f>HYPERLINK("https://klasma.github.io/Logging_2380/artfynd/A 22965-2026 artfynd.xlsx", "A 22965-2026")</f>
        <v/>
      </c>
      <c r="T119">
        <f>HYPERLINK("https://klasma.github.io/Logging_2380/kartor/A 22965-2026 karta.png", "A 22965-2026")</f>
        <v/>
      </c>
      <c r="U119">
        <f>HYPERLINK("https://klasma.github.io/Logging_2380/knärot/A 22965-2026 karta knärot.png", "A 22965-2026")</f>
        <v/>
      </c>
      <c r="V119">
        <f>HYPERLINK("https://klasma.github.io/Logging_2380/klagomål/A 22965-2026 FSC-klagomål.docx", "A 22965-2026")</f>
        <v/>
      </c>
      <c r="W119">
        <f>HYPERLINK("https://klasma.github.io/Logging_2380/klagomålsmail/A 22965-2026 FSC-klagomål mail.docx", "A 22965-2026")</f>
        <v/>
      </c>
      <c r="X119">
        <f>HYPERLINK("https://klasma.github.io/Logging_2380/tillsyn/A 22965-2026 tillsynsbegäran.docx", "A 22965-2026")</f>
        <v/>
      </c>
      <c r="Y119">
        <f>HYPERLINK("https://klasma.github.io/Logging_2380/tillsynsmail/A 22965-2026 tillsynsbegäran mail.docx", "A 22965-2026")</f>
        <v/>
      </c>
      <c r="Z119">
        <f>HYPERLINK("https://klasma.github.io/Logging_2380/fåglar/A 22965-2026 prioriterade fågelarter.docx", "A 22965-2026")</f>
        <v/>
      </c>
    </row>
    <row r="120" ht="15" customHeight="1">
      <c r="A120" t="inlineStr">
        <is>
          <t>A 60580-2024</t>
        </is>
      </c>
      <c r="B120" s="1" t="n">
        <v>45644</v>
      </c>
      <c r="C120" s="1" t="n">
        <v>46200</v>
      </c>
      <c r="D120" t="inlineStr">
        <is>
          <t>JÄMTLANDS LÄN</t>
        </is>
      </c>
      <c r="E120" t="inlineStr">
        <is>
          <t>ÖSTERSUND</t>
        </is>
      </c>
      <c r="G120" t="n">
        <v>13.5</v>
      </c>
      <c r="H120" t="n">
        <v>2</v>
      </c>
      <c r="I120" t="n">
        <v>0</v>
      </c>
      <c r="J120" t="n">
        <v>2</v>
      </c>
      <c r="K120" t="n">
        <v>0</v>
      </c>
      <c r="L120" t="n">
        <v>0</v>
      </c>
      <c r="M120" t="n">
        <v>0</v>
      </c>
      <c r="N120" t="n">
        <v>0</v>
      </c>
      <c r="O120" t="n">
        <v>2</v>
      </c>
      <c r="P120" t="n">
        <v>0</v>
      </c>
      <c r="Q120" t="n">
        <v>3</v>
      </c>
      <c r="R120" s="2" t="inlineStr">
        <is>
          <t>Lunglav
Tretåig hackspett
Spillkråka</t>
        </is>
      </c>
      <c r="S120">
        <f>HYPERLINK("https://klasma.github.io/Logging_2380/artfynd/A 60580-2024 artfynd.xlsx", "A 60580-2024")</f>
        <v/>
      </c>
      <c r="T120">
        <f>HYPERLINK("https://klasma.github.io/Logging_2380/kartor/A 60580-2024 karta.png", "A 60580-2024")</f>
        <v/>
      </c>
      <c r="V120">
        <f>HYPERLINK("https://klasma.github.io/Logging_2380/klagomål/A 60580-2024 FSC-klagomål.docx", "A 60580-2024")</f>
        <v/>
      </c>
      <c r="W120">
        <f>HYPERLINK("https://klasma.github.io/Logging_2380/klagomålsmail/A 60580-2024 FSC-klagomål mail.docx", "A 60580-2024")</f>
        <v/>
      </c>
      <c r="X120">
        <f>HYPERLINK("https://klasma.github.io/Logging_2380/tillsyn/A 60580-2024 tillsynsbegäran.docx", "A 60580-2024")</f>
        <v/>
      </c>
      <c r="Y120">
        <f>HYPERLINK("https://klasma.github.io/Logging_2380/tillsynsmail/A 60580-2024 tillsynsbegäran mail.docx", "A 60580-2024")</f>
        <v/>
      </c>
      <c r="Z120">
        <f>HYPERLINK("https://klasma.github.io/Logging_2380/fåglar/A 60580-2024 prioriterade fågelarter.docx", "A 60580-2024")</f>
        <v/>
      </c>
    </row>
    <row r="121" ht="15" customHeight="1">
      <c r="A121" t="inlineStr">
        <is>
          <t>A 41279-2024</t>
        </is>
      </c>
      <c r="B121" s="1" t="n">
        <v>45559</v>
      </c>
      <c r="C121" s="1" t="n">
        <v>46200</v>
      </c>
      <c r="D121" t="inlineStr">
        <is>
          <t>JÄMTLANDS LÄN</t>
        </is>
      </c>
      <c r="E121" t="inlineStr">
        <is>
          <t>ÖSTERSUND</t>
        </is>
      </c>
      <c r="F121" t="inlineStr">
        <is>
          <t>SCA</t>
        </is>
      </c>
      <c r="G121" t="n">
        <v>1.6</v>
      </c>
      <c r="H121" t="n">
        <v>0</v>
      </c>
      <c r="I121" t="n">
        <v>0</v>
      </c>
      <c r="J121" t="n">
        <v>3</v>
      </c>
      <c r="K121" t="n">
        <v>0</v>
      </c>
      <c r="L121" t="n">
        <v>0</v>
      </c>
      <c r="M121" t="n">
        <v>0</v>
      </c>
      <c r="N121" t="n">
        <v>0</v>
      </c>
      <c r="O121" t="n">
        <v>3</v>
      </c>
      <c r="P121" t="n">
        <v>0</v>
      </c>
      <c r="Q121" t="n">
        <v>3</v>
      </c>
      <c r="R121" s="2" t="inlineStr">
        <is>
          <t>Dropptaggsvamp
Dvärgbägarlav
Mörk kolflarnlav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43981-2023</t>
        </is>
      </c>
      <c r="B122" s="1" t="n">
        <v>45187</v>
      </c>
      <c r="C122" s="1" t="n">
        <v>46200</v>
      </c>
      <c r="D122" t="inlineStr">
        <is>
          <t>JÄMTLANDS LÄN</t>
        </is>
      </c>
      <c r="E122" t="inlineStr">
        <is>
          <t>ÖSTERSUND</t>
        </is>
      </c>
      <c r="F122" t="inlineStr">
        <is>
          <t>SCA</t>
        </is>
      </c>
      <c r="G122" t="n">
        <v>7.5</v>
      </c>
      <c r="H122" t="n">
        <v>1</v>
      </c>
      <c r="I122" t="n">
        <v>0</v>
      </c>
      <c r="J122" t="n">
        <v>2</v>
      </c>
      <c r="K122" t="n">
        <v>1</v>
      </c>
      <c r="L122" t="n">
        <v>0</v>
      </c>
      <c r="M122" t="n">
        <v>0</v>
      </c>
      <c r="N122" t="n">
        <v>0</v>
      </c>
      <c r="O122" t="n">
        <v>3</v>
      </c>
      <c r="P122" t="n">
        <v>1</v>
      </c>
      <c r="Q122" t="n">
        <v>3</v>
      </c>
      <c r="R122" s="2" t="inlineStr">
        <is>
          <t>Knärot
Lunglav
Ullticka</t>
        </is>
      </c>
      <c r="S122">
        <f>HYPERLINK("https://klasma.github.io/Logging_2380/artfynd/A 43981-2023 artfynd.xlsx", "A 43981-2023")</f>
        <v/>
      </c>
      <c r="T122">
        <f>HYPERLINK("https://klasma.github.io/Logging_2380/kartor/A 43981-2023 karta.png", "A 43981-2023")</f>
        <v/>
      </c>
      <c r="U122">
        <f>HYPERLINK("https://klasma.github.io/Logging_2380/knärot/A 43981-2023 karta knärot.png", "A 43981-2023")</f>
        <v/>
      </c>
      <c r="V122">
        <f>HYPERLINK("https://klasma.github.io/Logging_2380/klagomål/A 43981-2023 FSC-klagomål.docx", "A 43981-2023")</f>
        <v/>
      </c>
      <c r="W122">
        <f>HYPERLINK("https://klasma.github.io/Logging_2380/klagomålsmail/A 43981-2023 FSC-klagomål mail.docx", "A 43981-2023")</f>
        <v/>
      </c>
      <c r="X122">
        <f>HYPERLINK("https://klasma.github.io/Logging_2380/tillsyn/A 43981-2023 tillsynsbegäran.docx", "A 43981-2023")</f>
        <v/>
      </c>
      <c r="Y122">
        <f>HYPERLINK("https://klasma.github.io/Logging_2380/tillsynsmail/A 43981-2023 tillsynsbegäran mail.docx", "A 43981-2023")</f>
        <v/>
      </c>
    </row>
    <row r="123" ht="15" customHeight="1">
      <c r="A123" t="inlineStr">
        <is>
          <t>A 41770-2024</t>
        </is>
      </c>
      <c r="B123" s="1" t="n">
        <v>45561</v>
      </c>
      <c r="C123" s="1" t="n">
        <v>46200</v>
      </c>
      <c r="D123" t="inlineStr">
        <is>
          <t>JÄMTLANDS LÄN</t>
        </is>
      </c>
      <c r="E123" t="inlineStr">
        <is>
          <t>ÖSTERSUND</t>
        </is>
      </c>
      <c r="F123" t="inlineStr">
        <is>
          <t>SCA</t>
        </is>
      </c>
      <c r="G123" t="n">
        <v>4.4</v>
      </c>
      <c r="H123" t="n">
        <v>0</v>
      </c>
      <c r="I123" t="n">
        <v>1</v>
      </c>
      <c r="J123" t="n">
        <v>2</v>
      </c>
      <c r="K123" t="n">
        <v>0</v>
      </c>
      <c r="L123" t="n">
        <v>0</v>
      </c>
      <c r="M123" t="n">
        <v>0</v>
      </c>
      <c r="N123" t="n">
        <v>0</v>
      </c>
      <c r="O123" t="n">
        <v>2</v>
      </c>
      <c r="P123" t="n">
        <v>0</v>
      </c>
      <c r="Q123" t="n">
        <v>3</v>
      </c>
      <c r="R123" s="2" t="inlineStr">
        <is>
          <t>Dvärgbägarlav
Nordtagging
Vedticka</t>
        </is>
      </c>
      <c r="S123">
        <f>HYPERLINK("https://klasma.github.io/Logging_2380/artfynd/A 41770-2024 artfynd.xlsx", "A 41770-2024")</f>
        <v/>
      </c>
      <c r="T123">
        <f>HYPERLINK("https://klasma.github.io/Logging_2380/kartor/A 41770-2024 karta.png", "A 41770-2024")</f>
        <v/>
      </c>
      <c r="V123">
        <f>HYPERLINK("https://klasma.github.io/Logging_2380/klagomål/A 41770-2024 FSC-klagomål.docx", "A 41770-2024")</f>
        <v/>
      </c>
      <c r="W123">
        <f>HYPERLINK("https://klasma.github.io/Logging_2380/klagomålsmail/A 41770-2024 FSC-klagomål mail.docx", "A 41770-2024")</f>
        <v/>
      </c>
      <c r="X123">
        <f>HYPERLINK("https://klasma.github.io/Logging_2380/tillsyn/A 41770-2024 tillsynsbegäran.docx", "A 41770-2024")</f>
        <v/>
      </c>
      <c r="Y123">
        <f>HYPERLINK("https://klasma.github.io/Logging_2380/tillsynsmail/A 41770-2024 tillsynsbegäran mail.docx", "A 41770-2024")</f>
        <v/>
      </c>
    </row>
    <row r="124" ht="15" customHeight="1">
      <c r="A124" t="inlineStr">
        <is>
          <t>A 46705-2023</t>
        </is>
      </c>
      <c r="B124" s="1" t="n">
        <v>45198</v>
      </c>
      <c r="C124" s="1" t="n">
        <v>46200</v>
      </c>
      <c r="D124" t="inlineStr">
        <is>
          <t>JÄMTLANDS LÄN</t>
        </is>
      </c>
      <c r="E124" t="inlineStr">
        <is>
          <t>ÖSTERSUND</t>
        </is>
      </c>
      <c r="F124" t="inlineStr">
        <is>
          <t>Sveaskog</t>
        </is>
      </c>
      <c r="G124" t="n">
        <v>7.5</v>
      </c>
      <c r="H124" t="n">
        <v>1</v>
      </c>
      <c r="I124" t="n">
        <v>3</v>
      </c>
      <c r="J124" t="n">
        <v>0</v>
      </c>
      <c r="K124" t="n">
        <v>0</v>
      </c>
      <c r="L124" t="n">
        <v>0</v>
      </c>
      <c r="M124" t="n">
        <v>0</v>
      </c>
      <c r="N124" t="n">
        <v>0</v>
      </c>
      <c r="O124" t="n">
        <v>0</v>
      </c>
      <c r="P124" t="n">
        <v>0</v>
      </c>
      <c r="Q124" t="n">
        <v>3</v>
      </c>
      <c r="R124" s="2" t="inlineStr">
        <is>
          <t>Finbräken
Guckusko
Ögonpyrola</t>
        </is>
      </c>
      <c r="S124">
        <f>HYPERLINK("https://klasma.github.io/Logging_2380/artfynd/A 46705-2023 artfynd.xlsx", "A 46705-2023")</f>
        <v/>
      </c>
      <c r="T124">
        <f>HYPERLINK("https://klasma.github.io/Logging_2380/kartor/A 46705-2023 karta.png", "A 46705-2023")</f>
        <v/>
      </c>
      <c r="V124">
        <f>HYPERLINK("https://klasma.github.io/Logging_2380/klagomål/A 46705-2023 FSC-klagomål.docx", "A 46705-2023")</f>
        <v/>
      </c>
      <c r="W124">
        <f>HYPERLINK("https://klasma.github.io/Logging_2380/klagomålsmail/A 46705-2023 FSC-klagomål mail.docx", "A 46705-2023")</f>
        <v/>
      </c>
      <c r="X124">
        <f>HYPERLINK("https://klasma.github.io/Logging_2380/tillsyn/A 46705-2023 tillsynsbegäran.docx", "A 46705-2023")</f>
        <v/>
      </c>
      <c r="Y124">
        <f>HYPERLINK("https://klasma.github.io/Logging_2380/tillsynsmail/A 46705-2023 tillsynsbegäran mail.docx", "A 46705-2023")</f>
        <v/>
      </c>
    </row>
    <row r="125" ht="15" customHeight="1">
      <c r="A125" t="inlineStr">
        <is>
          <t>A 56006-2023</t>
        </is>
      </c>
      <c r="B125" s="1" t="n">
        <v>45233</v>
      </c>
      <c r="C125" s="1" t="n">
        <v>46200</v>
      </c>
      <c r="D125" t="inlineStr">
        <is>
          <t>JÄMTLANDS LÄN</t>
        </is>
      </c>
      <c r="E125" t="inlineStr">
        <is>
          <t>ÖSTERSUND</t>
        </is>
      </c>
      <c r="G125" t="n">
        <v>2.3</v>
      </c>
      <c r="H125" t="n">
        <v>0</v>
      </c>
      <c r="I125" t="n">
        <v>3</v>
      </c>
      <c r="J125" t="n">
        <v>0</v>
      </c>
      <c r="K125" t="n">
        <v>0</v>
      </c>
      <c r="L125" t="n">
        <v>0</v>
      </c>
      <c r="M125" t="n">
        <v>0</v>
      </c>
      <c r="N125" t="n">
        <v>0</v>
      </c>
      <c r="O125" t="n">
        <v>0</v>
      </c>
      <c r="P125" t="n">
        <v>0</v>
      </c>
      <c r="Q125" t="n">
        <v>3</v>
      </c>
      <c r="R125" s="2" t="inlineStr">
        <is>
          <t>Korallblylav
Skinnlav
Stuplav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52129-2023</t>
        </is>
      </c>
      <c r="B126" s="1" t="n">
        <v>45223</v>
      </c>
      <c r="C126" s="1" t="n">
        <v>46200</v>
      </c>
      <c r="D126" t="inlineStr">
        <is>
          <t>JÄMTLANDS LÄN</t>
        </is>
      </c>
      <c r="E126" t="inlineStr">
        <is>
          <t>ÖSTERSUND</t>
        </is>
      </c>
      <c r="F126" t="inlineStr">
        <is>
          <t>SCA</t>
        </is>
      </c>
      <c r="G126" t="n">
        <v>2</v>
      </c>
      <c r="H126" t="n">
        <v>0</v>
      </c>
      <c r="I126" t="n">
        <v>0</v>
      </c>
      <c r="J126" t="n">
        <v>3</v>
      </c>
      <c r="K126" t="n">
        <v>0</v>
      </c>
      <c r="L126" t="n">
        <v>0</v>
      </c>
      <c r="M126" t="n">
        <v>0</v>
      </c>
      <c r="N126" t="n">
        <v>0</v>
      </c>
      <c r="O126" t="n">
        <v>3</v>
      </c>
      <c r="P126" t="n">
        <v>0</v>
      </c>
      <c r="Q126" t="n">
        <v>3</v>
      </c>
      <c r="R126" s="2" t="inlineStr">
        <is>
          <t>Dvärgbägarlav
Kolflarnlav
Lunglav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53652-2024</t>
        </is>
      </c>
      <c r="B127" s="1" t="n">
        <v>45615</v>
      </c>
      <c r="C127" s="1" t="n">
        <v>46200</v>
      </c>
      <c r="D127" t="inlineStr">
        <is>
          <t>JÄMTLANDS LÄN</t>
        </is>
      </c>
      <c r="E127" t="inlineStr">
        <is>
          <t>ÖSTERSUND</t>
        </is>
      </c>
      <c r="G127" t="n">
        <v>4.2</v>
      </c>
      <c r="H127" t="n">
        <v>1</v>
      </c>
      <c r="I127" t="n">
        <v>1</v>
      </c>
      <c r="J127" t="n">
        <v>1</v>
      </c>
      <c r="K127" t="n">
        <v>0</v>
      </c>
      <c r="L127" t="n">
        <v>0</v>
      </c>
      <c r="M127" t="n">
        <v>0</v>
      </c>
      <c r="N127" t="n">
        <v>0</v>
      </c>
      <c r="O127" t="n">
        <v>1</v>
      </c>
      <c r="P127" t="n">
        <v>0</v>
      </c>
      <c r="Q127" t="n">
        <v>3</v>
      </c>
      <c r="R127" s="2" t="inlineStr">
        <is>
          <t>Flattoppad klubbsvamp
Kransrams
Revlummer</t>
        </is>
      </c>
      <c r="S127">
        <f>HYPERLINK("https://klasma.github.io/Logging_2380/artfynd/A 53652-2024 artfynd.xlsx", "A 53652-2024")</f>
        <v/>
      </c>
      <c r="T127">
        <f>HYPERLINK("https://klasma.github.io/Logging_2380/kartor/A 53652-2024 karta.png", "A 53652-2024")</f>
        <v/>
      </c>
      <c r="V127">
        <f>HYPERLINK("https://klasma.github.io/Logging_2380/klagomål/A 53652-2024 FSC-klagomål.docx", "A 53652-2024")</f>
        <v/>
      </c>
      <c r="W127">
        <f>HYPERLINK("https://klasma.github.io/Logging_2380/klagomålsmail/A 53652-2024 FSC-klagomål mail.docx", "A 53652-2024")</f>
        <v/>
      </c>
      <c r="X127">
        <f>HYPERLINK("https://klasma.github.io/Logging_2380/tillsyn/A 53652-2024 tillsynsbegäran.docx", "A 53652-2024")</f>
        <v/>
      </c>
      <c r="Y127">
        <f>HYPERLINK("https://klasma.github.io/Logging_2380/tillsynsmail/A 53652-2024 tillsynsbegäran mail.docx", "A 53652-2024")</f>
        <v/>
      </c>
    </row>
    <row r="128" ht="15" customHeight="1">
      <c r="A128" t="inlineStr">
        <is>
          <t>A 60565-2022</t>
        </is>
      </c>
      <c r="B128" s="1" t="n">
        <v>44904</v>
      </c>
      <c r="C128" s="1" t="n">
        <v>46200</v>
      </c>
      <c r="D128" t="inlineStr">
        <is>
          <t>JÄMTLANDS LÄN</t>
        </is>
      </c>
      <c r="E128" t="inlineStr">
        <is>
          <t>ÖSTERSUND</t>
        </is>
      </c>
      <c r="G128" t="n">
        <v>2.5</v>
      </c>
      <c r="H128" t="n">
        <v>2</v>
      </c>
      <c r="I128" t="n">
        <v>0</v>
      </c>
      <c r="J128" t="n">
        <v>1</v>
      </c>
      <c r="K128" t="n">
        <v>1</v>
      </c>
      <c r="L128" t="n">
        <v>0</v>
      </c>
      <c r="M128" t="n">
        <v>0</v>
      </c>
      <c r="N128" t="n">
        <v>0</v>
      </c>
      <c r="O128" t="n">
        <v>2</v>
      </c>
      <c r="P128" t="n">
        <v>1</v>
      </c>
      <c r="Q128" t="n">
        <v>3</v>
      </c>
      <c r="R128" s="2" t="inlineStr">
        <is>
          <t>Garnlav
Talltita
Revlummer</t>
        </is>
      </c>
      <c r="S128">
        <f>HYPERLINK("https://klasma.github.io/Logging_2380/artfynd/A 60565-2022 artfynd.xlsx", "A 60565-2022")</f>
        <v/>
      </c>
      <c r="T128">
        <f>HYPERLINK("https://klasma.github.io/Logging_2380/kartor/A 60565-2022 karta.png", "A 60565-2022")</f>
        <v/>
      </c>
      <c r="V128">
        <f>HYPERLINK("https://klasma.github.io/Logging_2380/klagomål/A 60565-2022 FSC-klagomål.docx", "A 60565-2022")</f>
        <v/>
      </c>
      <c r="W128">
        <f>HYPERLINK("https://klasma.github.io/Logging_2380/klagomålsmail/A 60565-2022 FSC-klagomål mail.docx", "A 60565-2022")</f>
        <v/>
      </c>
      <c r="X128">
        <f>HYPERLINK("https://klasma.github.io/Logging_2380/tillsyn/A 60565-2022 tillsynsbegäran.docx", "A 60565-2022")</f>
        <v/>
      </c>
      <c r="Y128">
        <f>HYPERLINK("https://klasma.github.io/Logging_2380/tillsynsmail/A 60565-2022 tillsynsbegäran mail.docx", "A 60565-2022")</f>
        <v/>
      </c>
      <c r="Z128">
        <f>HYPERLINK("https://klasma.github.io/Logging_2380/fåglar/A 60565-2022 prioriterade fågelarter.docx", "A 60565-2022")</f>
        <v/>
      </c>
    </row>
    <row r="129" ht="15" customHeight="1">
      <c r="A129" t="inlineStr">
        <is>
          <t>A 60565-2022</t>
        </is>
      </c>
      <c r="B129" s="1" t="n">
        <v>44904</v>
      </c>
      <c r="C129" s="1" t="n">
        <v>46200</v>
      </c>
      <c r="D129" t="inlineStr">
        <is>
          <t>JÄMTLANDS LÄN</t>
        </is>
      </c>
      <c r="E129" t="inlineStr">
        <is>
          <t>ÖSTERSUND</t>
        </is>
      </c>
      <c r="G129" t="n">
        <v>2.5</v>
      </c>
      <c r="H129" t="n">
        <v>2</v>
      </c>
      <c r="I129" t="n">
        <v>0</v>
      </c>
      <c r="J129" t="n">
        <v>1</v>
      </c>
      <c r="K129" t="n">
        <v>1</v>
      </c>
      <c r="L129" t="n">
        <v>0</v>
      </c>
      <c r="M129" t="n">
        <v>0</v>
      </c>
      <c r="N129" t="n">
        <v>0</v>
      </c>
      <c r="O129" t="n">
        <v>2</v>
      </c>
      <c r="P129" t="n">
        <v>1</v>
      </c>
      <c r="Q129" t="n">
        <v>3</v>
      </c>
      <c r="R129" s="2" t="inlineStr">
        <is>
          <t>Garnlav
Talltita
Revlummer</t>
        </is>
      </c>
      <c r="S129">
        <f>HYPERLINK("https://klasma.github.io/Logging_2380/artfynd/A 60565-2022 artfynd.xlsx", "A 60565-2022")</f>
        <v/>
      </c>
      <c r="T129">
        <f>HYPERLINK("https://klasma.github.io/Logging_2380/kartor/A 60565-2022 karta.png", "A 60565-2022")</f>
        <v/>
      </c>
      <c r="V129">
        <f>HYPERLINK("https://klasma.github.io/Logging_2380/klagomål/A 60565-2022 FSC-klagomål.docx", "A 60565-2022")</f>
        <v/>
      </c>
      <c r="W129">
        <f>HYPERLINK("https://klasma.github.io/Logging_2380/klagomålsmail/A 60565-2022 FSC-klagomål mail.docx", "A 60565-2022")</f>
        <v/>
      </c>
      <c r="X129">
        <f>HYPERLINK("https://klasma.github.io/Logging_2380/tillsyn/A 60565-2022 tillsynsbegäran.docx", "A 60565-2022")</f>
        <v/>
      </c>
      <c r="Y129">
        <f>HYPERLINK("https://klasma.github.io/Logging_2380/tillsynsmail/A 60565-2022 tillsynsbegäran mail.docx", "A 60565-2022")</f>
        <v/>
      </c>
      <c r="Z129">
        <f>HYPERLINK("https://klasma.github.io/Logging_2380/fåglar/A 60565-2022 prioriterade fågelarter.docx", "A 60565-2022")</f>
        <v/>
      </c>
    </row>
    <row r="130" ht="15" customHeight="1">
      <c r="A130" t="inlineStr">
        <is>
          <t>A 13795-2025</t>
        </is>
      </c>
      <c r="B130" s="1" t="n">
        <v>45737</v>
      </c>
      <c r="C130" s="1" t="n">
        <v>46200</v>
      </c>
      <c r="D130" t="inlineStr">
        <is>
          <t>JÄMTLANDS LÄN</t>
        </is>
      </c>
      <c r="E130" t="inlineStr">
        <is>
          <t>ÖSTERSUND</t>
        </is>
      </c>
      <c r="G130" t="n">
        <v>13.4</v>
      </c>
      <c r="H130" t="n">
        <v>2</v>
      </c>
      <c r="I130" t="n">
        <v>0</v>
      </c>
      <c r="J130" t="n">
        <v>2</v>
      </c>
      <c r="K130" t="n">
        <v>1</v>
      </c>
      <c r="L130" t="n">
        <v>0</v>
      </c>
      <c r="M130" t="n">
        <v>0</v>
      </c>
      <c r="N130" t="n">
        <v>0</v>
      </c>
      <c r="O130" t="n">
        <v>3</v>
      </c>
      <c r="P130" t="n">
        <v>1</v>
      </c>
      <c r="Q130" t="n">
        <v>3</v>
      </c>
      <c r="R130" s="2" t="inlineStr">
        <is>
          <t>Knärot
Enkelbeckasin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c r="Z130">
        <f>HYPERLINK("https://klasma.github.io/Logging_2380/fåglar/A 13795-2025 prioriterade fågelarter.docx", "A 13795-2025")</f>
        <v/>
      </c>
    </row>
    <row r="131" ht="15" customHeight="1">
      <c r="A131" t="inlineStr">
        <is>
          <t>A 60534-2022</t>
        </is>
      </c>
      <c r="B131" s="1" t="n">
        <v>44904</v>
      </c>
      <c r="C131" s="1" t="n">
        <v>46200</v>
      </c>
      <c r="D131" t="inlineStr">
        <is>
          <t>JÄMTLANDS LÄN</t>
        </is>
      </c>
      <c r="E131" t="inlineStr">
        <is>
          <t>ÖSTERSUND</t>
        </is>
      </c>
      <c r="G131" t="n">
        <v>9.9</v>
      </c>
      <c r="H131" t="n">
        <v>1</v>
      </c>
      <c r="I131" t="n">
        <v>1</v>
      </c>
      <c r="J131" t="n">
        <v>2</v>
      </c>
      <c r="K131" t="n">
        <v>0</v>
      </c>
      <c r="L131" t="n">
        <v>0</v>
      </c>
      <c r="M131" t="n">
        <v>0</v>
      </c>
      <c r="N131" t="n">
        <v>0</v>
      </c>
      <c r="O131" t="n">
        <v>2</v>
      </c>
      <c r="P131" t="n">
        <v>0</v>
      </c>
      <c r="Q131" t="n">
        <v>3</v>
      </c>
      <c r="R131" s="2" t="inlineStr">
        <is>
          <t>Rosenticka
Ullticka
Spindelblomster</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45237-2025</t>
        </is>
      </c>
      <c r="B132" s="1" t="n">
        <v>45919</v>
      </c>
      <c r="C132" s="1" t="n">
        <v>46200</v>
      </c>
      <c r="D132" t="inlineStr">
        <is>
          <t>JÄMTLANDS LÄN</t>
        </is>
      </c>
      <c r="E132" t="inlineStr">
        <is>
          <t>ÖSTERSUND</t>
        </is>
      </c>
      <c r="F132" t="inlineStr">
        <is>
          <t>SCA</t>
        </is>
      </c>
      <c r="G132" t="n">
        <v>1.5</v>
      </c>
      <c r="H132" t="n">
        <v>0</v>
      </c>
      <c r="I132" t="n">
        <v>0</v>
      </c>
      <c r="J132" t="n">
        <v>3</v>
      </c>
      <c r="K132" t="n">
        <v>0</v>
      </c>
      <c r="L132" t="n">
        <v>0</v>
      </c>
      <c r="M132" t="n">
        <v>0</v>
      </c>
      <c r="N132" t="n">
        <v>0</v>
      </c>
      <c r="O132" t="n">
        <v>3</v>
      </c>
      <c r="P132" t="n">
        <v>0</v>
      </c>
      <c r="Q132" t="n">
        <v>3</v>
      </c>
      <c r="R132" s="2" t="inlineStr">
        <is>
          <t>Blågrå svartspik
Dvärgbägarlav
Mörk kolflarnlav</t>
        </is>
      </c>
      <c r="S132">
        <f>HYPERLINK("https://klasma.github.io/Logging_2380/artfynd/A 45237-2025 artfynd.xlsx", "A 45237-2025")</f>
        <v/>
      </c>
      <c r="T132">
        <f>HYPERLINK("https://klasma.github.io/Logging_2380/kartor/A 45237-2025 karta.png", "A 45237-2025")</f>
        <v/>
      </c>
      <c r="V132">
        <f>HYPERLINK("https://klasma.github.io/Logging_2380/klagomål/A 45237-2025 FSC-klagomål.docx", "A 45237-2025")</f>
        <v/>
      </c>
      <c r="W132">
        <f>HYPERLINK("https://klasma.github.io/Logging_2380/klagomålsmail/A 45237-2025 FSC-klagomål mail.docx", "A 45237-2025")</f>
        <v/>
      </c>
      <c r="X132">
        <f>HYPERLINK("https://klasma.github.io/Logging_2380/tillsyn/A 45237-2025 tillsynsbegäran.docx", "A 45237-2025")</f>
        <v/>
      </c>
      <c r="Y132">
        <f>HYPERLINK("https://klasma.github.io/Logging_2380/tillsynsmail/A 45237-2025 tillsynsbegäran mail.docx", "A 45237-2025")</f>
        <v/>
      </c>
    </row>
    <row r="133" ht="15" customHeight="1">
      <c r="A133" t="inlineStr">
        <is>
          <t>A 25604-2026</t>
        </is>
      </c>
      <c r="B133" s="1" t="n">
        <v>46177</v>
      </c>
      <c r="C133" s="1" t="n">
        <v>46200</v>
      </c>
      <c r="D133" t="inlineStr">
        <is>
          <t>JÄMTLANDS LÄN</t>
        </is>
      </c>
      <c r="E133" t="inlineStr">
        <is>
          <t>ÖSTERSUND</t>
        </is>
      </c>
      <c r="G133" t="n">
        <v>2.2</v>
      </c>
      <c r="H133" t="n">
        <v>3</v>
      </c>
      <c r="I133" t="n">
        <v>0</v>
      </c>
      <c r="J133" t="n">
        <v>0</v>
      </c>
      <c r="K133" t="n">
        <v>1</v>
      </c>
      <c r="L133" t="n">
        <v>0</v>
      </c>
      <c r="M133" t="n">
        <v>0</v>
      </c>
      <c r="N133" t="n">
        <v>0</v>
      </c>
      <c r="O133" t="n">
        <v>1</v>
      </c>
      <c r="P133" t="n">
        <v>1</v>
      </c>
      <c r="Q133" t="n">
        <v>3</v>
      </c>
      <c r="R133" s="2" t="inlineStr">
        <is>
          <t>Bredgentiana
Blåsippa
Brudsporre</t>
        </is>
      </c>
      <c r="S133">
        <f>HYPERLINK("https://klasma.github.io/Logging_2380/artfynd/A 25604-2026 artfynd.xlsx", "A 25604-2026")</f>
        <v/>
      </c>
      <c r="T133">
        <f>HYPERLINK("https://klasma.github.io/Logging_2380/kartor/A 25604-2026 karta.png", "A 25604-2026")</f>
        <v/>
      </c>
      <c r="V133">
        <f>HYPERLINK("https://klasma.github.io/Logging_2380/klagomål/A 25604-2026 FSC-klagomål.docx", "A 25604-2026")</f>
        <v/>
      </c>
      <c r="W133">
        <f>HYPERLINK("https://klasma.github.io/Logging_2380/klagomålsmail/A 25604-2026 FSC-klagomål mail.docx", "A 25604-2026")</f>
        <v/>
      </c>
      <c r="X133">
        <f>HYPERLINK("https://klasma.github.io/Logging_2380/tillsyn/A 25604-2026 tillsynsbegäran.docx", "A 25604-2026")</f>
        <v/>
      </c>
      <c r="Y133">
        <f>HYPERLINK("https://klasma.github.io/Logging_2380/tillsynsmail/A 25604-2026 tillsynsbegäran mail.docx", "A 25604-2026")</f>
        <v/>
      </c>
    </row>
    <row r="134" ht="15" customHeight="1">
      <c r="A134" t="inlineStr">
        <is>
          <t>A 25271-2026</t>
        </is>
      </c>
      <c r="B134" s="1" t="n">
        <v>46176</v>
      </c>
      <c r="C134" s="1" t="n">
        <v>46200</v>
      </c>
      <c r="D134" t="inlineStr">
        <is>
          <t>JÄMTLANDS LÄN</t>
        </is>
      </c>
      <c r="E134" t="inlineStr">
        <is>
          <t>ÖSTERSUND</t>
        </is>
      </c>
      <c r="F134" t="inlineStr">
        <is>
          <t>SCA</t>
        </is>
      </c>
      <c r="G134" t="n">
        <v>5.8</v>
      </c>
      <c r="H134" t="n">
        <v>2</v>
      </c>
      <c r="I134" t="n">
        <v>0</v>
      </c>
      <c r="J134" t="n">
        <v>1</v>
      </c>
      <c r="K134" t="n">
        <v>1</v>
      </c>
      <c r="L134" t="n">
        <v>0</v>
      </c>
      <c r="M134" t="n">
        <v>0</v>
      </c>
      <c r="N134" t="n">
        <v>0</v>
      </c>
      <c r="O134" t="n">
        <v>2</v>
      </c>
      <c r="P134" t="n">
        <v>1</v>
      </c>
      <c r="Q134" t="n">
        <v>3</v>
      </c>
      <c r="R134" s="2" t="inlineStr">
        <is>
          <t>Doftticka
Lunglav
Mindre vattensalamander</t>
        </is>
      </c>
      <c r="S134">
        <f>HYPERLINK("https://klasma.github.io/Logging_2380/artfynd/A 25271-2026 artfynd.xlsx", "A 25271-2026")</f>
        <v/>
      </c>
      <c r="T134">
        <f>HYPERLINK("https://klasma.github.io/Logging_2380/kartor/A 25271-2026 karta.png", "A 25271-2026")</f>
        <v/>
      </c>
      <c r="V134">
        <f>HYPERLINK("https://klasma.github.io/Logging_2380/klagomål/A 25271-2026 FSC-klagomål.docx", "A 25271-2026")</f>
        <v/>
      </c>
      <c r="W134">
        <f>HYPERLINK("https://klasma.github.io/Logging_2380/klagomålsmail/A 25271-2026 FSC-klagomål mail.docx", "A 25271-2026")</f>
        <v/>
      </c>
      <c r="X134">
        <f>HYPERLINK("https://klasma.github.io/Logging_2380/tillsyn/A 25271-2026 tillsynsbegäran.docx", "A 25271-2026")</f>
        <v/>
      </c>
      <c r="Y134">
        <f>HYPERLINK("https://klasma.github.io/Logging_2380/tillsynsmail/A 25271-2026 tillsynsbegäran mail.docx", "A 25271-2026")</f>
        <v/>
      </c>
    </row>
    <row r="135" ht="15" customHeight="1">
      <c r="A135" t="inlineStr">
        <is>
          <t>A 5100-2023</t>
        </is>
      </c>
      <c r="B135" s="1" t="n">
        <v>44956</v>
      </c>
      <c r="C135" s="1" t="n">
        <v>46200</v>
      </c>
      <c r="D135" t="inlineStr">
        <is>
          <t>JÄMTLANDS LÄN</t>
        </is>
      </c>
      <c r="E135" t="inlineStr">
        <is>
          <t>ÖSTERSUND</t>
        </is>
      </c>
      <c r="G135" t="n">
        <v>2.6</v>
      </c>
      <c r="H135" t="n">
        <v>0</v>
      </c>
      <c r="I135" t="n">
        <v>2</v>
      </c>
      <c r="J135" t="n">
        <v>0</v>
      </c>
      <c r="K135" t="n">
        <v>0</v>
      </c>
      <c r="L135" t="n">
        <v>1</v>
      </c>
      <c r="M135" t="n">
        <v>0</v>
      </c>
      <c r="N135" t="n">
        <v>0</v>
      </c>
      <c r="O135" t="n">
        <v>1</v>
      </c>
      <c r="P135" t="n">
        <v>1</v>
      </c>
      <c r="Q135" t="n">
        <v>3</v>
      </c>
      <c r="R135" s="2" t="inlineStr">
        <is>
          <t>Trolldruvemätare
Svart trolldruva
Tibast</t>
        </is>
      </c>
      <c r="S135">
        <f>HYPERLINK("https://klasma.github.io/Logging_2380/artfynd/A 5100-2023 artfynd.xlsx", "A 5100-2023")</f>
        <v/>
      </c>
      <c r="T135">
        <f>HYPERLINK("https://klasma.github.io/Logging_2380/kartor/A 5100-2023 karta.png", "A 5100-2023")</f>
        <v/>
      </c>
      <c r="V135">
        <f>HYPERLINK("https://klasma.github.io/Logging_2380/klagomål/A 5100-2023 FSC-klagomål.docx", "A 5100-2023")</f>
        <v/>
      </c>
      <c r="W135">
        <f>HYPERLINK("https://klasma.github.io/Logging_2380/klagomålsmail/A 5100-2023 FSC-klagomål mail.docx", "A 5100-2023")</f>
        <v/>
      </c>
      <c r="X135">
        <f>HYPERLINK("https://klasma.github.io/Logging_2380/tillsyn/A 5100-2023 tillsynsbegäran.docx", "A 5100-2023")</f>
        <v/>
      </c>
      <c r="Y135">
        <f>HYPERLINK("https://klasma.github.io/Logging_2380/tillsynsmail/A 5100-2023 tillsynsbegäran mail.docx", "A 5100-2023")</f>
        <v/>
      </c>
    </row>
    <row r="136" ht="15" customHeight="1">
      <c r="A136" t="inlineStr">
        <is>
          <t>A 20145-2026</t>
        </is>
      </c>
      <c r="B136" s="1" t="n">
        <v>46137</v>
      </c>
      <c r="C136" s="1" t="n">
        <v>46200</v>
      </c>
      <c r="D136" t="inlineStr">
        <is>
          <t>JÄMTLANDS LÄN</t>
        </is>
      </c>
      <c r="E136" t="inlineStr">
        <is>
          <t>ÖSTERSUND</t>
        </is>
      </c>
      <c r="G136" t="n">
        <v>11.1</v>
      </c>
      <c r="H136" t="n">
        <v>2</v>
      </c>
      <c r="I136" t="n">
        <v>2</v>
      </c>
      <c r="J136" t="n">
        <v>0</v>
      </c>
      <c r="K136" t="n">
        <v>0</v>
      </c>
      <c r="L136" t="n">
        <v>0</v>
      </c>
      <c r="M136" t="n">
        <v>0</v>
      </c>
      <c r="N136" t="n">
        <v>0</v>
      </c>
      <c r="O136" t="n">
        <v>0</v>
      </c>
      <c r="P136" t="n">
        <v>0</v>
      </c>
      <c r="Q136" t="n">
        <v>3</v>
      </c>
      <c r="R136" s="2" t="inlineStr">
        <is>
          <t>Gräsull
Tvåblad
Brudsporre</t>
        </is>
      </c>
      <c r="S136">
        <f>HYPERLINK("https://klasma.github.io/Logging_2380/artfynd/A 20145-2026 artfynd.xlsx", "A 20145-2026")</f>
        <v/>
      </c>
      <c r="T136">
        <f>HYPERLINK("https://klasma.github.io/Logging_2380/kartor/A 20145-2026 karta.png", "A 20145-2026")</f>
        <v/>
      </c>
      <c r="V136">
        <f>HYPERLINK("https://klasma.github.io/Logging_2380/klagomål/A 20145-2026 FSC-klagomål.docx", "A 20145-2026")</f>
        <v/>
      </c>
      <c r="W136">
        <f>HYPERLINK("https://klasma.github.io/Logging_2380/klagomålsmail/A 20145-2026 FSC-klagomål mail.docx", "A 20145-2026")</f>
        <v/>
      </c>
      <c r="X136">
        <f>HYPERLINK("https://klasma.github.io/Logging_2380/tillsyn/A 20145-2026 tillsynsbegäran.docx", "A 20145-2026")</f>
        <v/>
      </c>
      <c r="Y136">
        <f>HYPERLINK("https://klasma.github.io/Logging_2380/tillsynsmail/A 20145-2026 tillsynsbegäran mail.docx", "A 20145-2026")</f>
        <v/>
      </c>
    </row>
    <row r="137" ht="15" customHeight="1">
      <c r="A137" t="inlineStr">
        <is>
          <t>A 22491-2026</t>
        </is>
      </c>
      <c r="B137" s="1" t="n">
        <v>46155</v>
      </c>
      <c r="C137" s="1" t="n">
        <v>46200</v>
      </c>
      <c r="D137" t="inlineStr">
        <is>
          <t>JÄMTLANDS LÄN</t>
        </is>
      </c>
      <c r="E137" t="inlineStr">
        <is>
          <t>ÖSTERSUND</t>
        </is>
      </c>
      <c r="G137" t="n">
        <v>6.5</v>
      </c>
      <c r="H137" t="n">
        <v>2</v>
      </c>
      <c r="I137" t="n">
        <v>2</v>
      </c>
      <c r="J137" t="n">
        <v>0</v>
      </c>
      <c r="K137" t="n">
        <v>0</v>
      </c>
      <c r="L137" t="n">
        <v>0</v>
      </c>
      <c r="M137" t="n">
        <v>0</v>
      </c>
      <c r="N137" t="n">
        <v>0</v>
      </c>
      <c r="O137" t="n">
        <v>0</v>
      </c>
      <c r="P137" t="n">
        <v>0</v>
      </c>
      <c r="Q137" t="n">
        <v>3</v>
      </c>
      <c r="R137" s="2" t="inlineStr">
        <is>
          <t>Finbräken
Tvåblad
Blåsippa</t>
        </is>
      </c>
      <c r="S137">
        <f>HYPERLINK("https://klasma.github.io/Logging_2380/artfynd/A 22491-2026 artfynd.xlsx", "A 22491-2026")</f>
        <v/>
      </c>
      <c r="T137">
        <f>HYPERLINK("https://klasma.github.io/Logging_2380/kartor/A 22491-2026 karta.png", "A 22491-2026")</f>
        <v/>
      </c>
      <c r="V137">
        <f>HYPERLINK("https://klasma.github.io/Logging_2380/klagomål/A 22491-2026 FSC-klagomål.docx", "A 22491-2026")</f>
        <v/>
      </c>
      <c r="W137">
        <f>HYPERLINK("https://klasma.github.io/Logging_2380/klagomålsmail/A 22491-2026 FSC-klagomål mail.docx", "A 22491-2026")</f>
        <v/>
      </c>
      <c r="X137">
        <f>HYPERLINK("https://klasma.github.io/Logging_2380/tillsyn/A 22491-2026 tillsynsbegäran.docx", "A 22491-2026")</f>
        <v/>
      </c>
      <c r="Y137">
        <f>HYPERLINK("https://klasma.github.io/Logging_2380/tillsynsmail/A 22491-2026 tillsynsbegäran mail.docx", "A 22491-2026")</f>
        <v/>
      </c>
    </row>
    <row r="138" ht="15" customHeight="1">
      <c r="A138" t="inlineStr">
        <is>
          <t>A 29064-2026</t>
        </is>
      </c>
      <c r="B138" s="1" t="n">
        <v>46199</v>
      </c>
      <c r="C138" s="1" t="n">
        <v>46200</v>
      </c>
      <c r="D138" t="inlineStr">
        <is>
          <t>JÄMTLANDS LÄN</t>
        </is>
      </c>
      <c r="E138" t="inlineStr">
        <is>
          <t>ÖSTERSUND</t>
        </is>
      </c>
      <c r="G138" t="n">
        <v>4.2</v>
      </c>
      <c r="H138" t="n">
        <v>0</v>
      </c>
      <c r="I138" t="n">
        <v>1</v>
      </c>
      <c r="J138" t="n">
        <v>2</v>
      </c>
      <c r="K138" t="n">
        <v>0</v>
      </c>
      <c r="L138" t="n">
        <v>0</v>
      </c>
      <c r="M138" t="n">
        <v>0</v>
      </c>
      <c r="N138" t="n">
        <v>0</v>
      </c>
      <c r="O138" t="n">
        <v>2</v>
      </c>
      <c r="P138" t="n">
        <v>0</v>
      </c>
      <c r="Q138" t="n">
        <v>3</v>
      </c>
      <c r="R138" s="2" t="inlineStr">
        <is>
          <t>Kryddspindling
Äggvaxskivling
Trådticka</t>
        </is>
      </c>
      <c r="S138">
        <f>HYPERLINK("https://klasma.github.io/Logging_2380/artfynd/A 29064-2026 artfynd.xlsx", "A 29064-2026")</f>
        <v/>
      </c>
      <c r="T138">
        <f>HYPERLINK("https://klasma.github.io/Logging_2380/kartor/A 29064-2026 karta.png", "A 29064-2026")</f>
        <v/>
      </c>
      <c r="V138">
        <f>HYPERLINK("https://klasma.github.io/Logging_2380/klagomål/A 29064-2026 FSC-klagomål.docx", "A 29064-2026")</f>
        <v/>
      </c>
      <c r="W138">
        <f>HYPERLINK("https://klasma.github.io/Logging_2380/klagomålsmail/A 29064-2026 FSC-klagomål mail.docx", "A 29064-2026")</f>
        <v/>
      </c>
      <c r="X138">
        <f>HYPERLINK("https://klasma.github.io/Logging_2380/tillsyn/A 29064-2026 tillsynsbegäran.docx", "A 29064-2026")</f>
        <v/>
      </c>
      <c r="Y138">
        <f>HYPERLINK("https://klasma.github.io/Logging_2380/tillsynsmail/A 29064-2026 tillsynsbegäran mail.docx", "A 29064-2026")</f>
        <v/>
      </c>
    </row>
    <row r="139" ht="15" customHeight="1">
      <c r="A139" t="inlineStr">
        <is>
          <t>A 71956-2021</t>
        </is>
      </c>
      <c r="B139" s="1" t="n">
        <v>44544</v>
      </c>
      <c r="C139" s="1" t="n">
        <v>46200</v>
      </c>
      <c r="D139" t="inlineStr">
        <is>
          <t>JÄMTLANDS LÄN</t>
        </is>
      </c>
      <c r="E139" t="inlineStr">
        <is>
          <t>ÖSTERSUND</t>
        </is>
      </c>
      <c r="G139" t="n">
        <v>0.8</v>
      </c>
      <c r="H139" t="n">
        <v>2</v>
      </c>
      <c r="I139" t="n">
        <v>0</v>
      </c>
      <c r="J139" t="n">
        <v>1</v>
      </c>
      <c r="K139" t="n">
        <v>0</v>
      </c>
      <c r="L139" t="n">
        <v>0</v>
      </c>
      <c r="M139" t="n">
        <v>0</v>
      </c>
      <c r="N139" t="n">
        <v>0</v>
      </c>
      <c r="O139" t="n">
        <v>1</v>
      </c>
      <c r="P139" t="n">
        <v>0</v>
      </c>
      <c r="Q139" t="n">
        <v>2</v>
      </c>
      <c r="R139" s="2" t="inlineStr">
        <is>
          <t>Tretåig hackspett
Brudsporre</t>
        </is>
      </c>
      <c r="S139">
        <f>HYPERLINK("https://klasma.github.io/Logging_2380/artfynd/A 71956-2021 artfynd.xlsx", "A 71956-2021")</f>
        <v/>
      </c>
      <c r="T139">
        <f>HYPERLINK("https://klasma.github.io/Logging_2380/kartor/A 71956-2021 karta.png", "A 71956-2021")</f>
        <v/>
      </c>
      <c r="V139">
        <f>HYPERLINK("https://klasma.github.io/Logging_2380/klagomål/A 71956-2021 FSC-klagomål.docx", "A 71956-2021")</f>
        <v/>
      </c>
      <c r="W139">
        <f>HYPERLINK("https://klasma.github.io/Logging_2380/klagomålsmail/A 71956-2021 FSC-klagomål mail.docx", "A 71956-2021")</f>
        <v/>
      </c>
      <c r="X139">
        <f>HYPERLINK("https://klasma.github.io/Logging_2380/tillsyn/A 71956-2021 tillsynsbegäran.docx", "A 71956-2021")</f>
        <v/>
      </c>
      <c r="Y139">
        <f>HYPERLINK("https://klasma.github.io/Logging_2380/tillsynsmail/A 71956-2021 tillsynsbegäran mail.docx", "A 71956-2021")</f>
        <v/>
      </c>
      <c r="Z139">
        <f>HYPERLINK("https://klasma.github.io/Logging_2380/fåglar/A 71956-2021 prioriterade fågelarter.docx", "A 71956-2021")</f>
        <v/>
      </c>
    </row>
    <row r="140" ht="15" customHeight="1">
      <c r="A140" t="inlineStr">
        <is>
          <t>A 61653-2022</t>
        </is>
      </c>
      <c r="B140" s="1" t="n">
        <v>44916</v>
      </c>
      <c r="C140" s="1" t="n">
        <v>46200</v>
      </c>
      <c r="D140" t="inlineStr">
        <is>
          <t>JÄMTLANDS LÄN</t>
        </is>
      </c>
      <c r="E140" t="inlineStr">
        <is>
          <t>ÖSTERSUND</t>
        </is>
      </c>
      <c r="G140" t="n">
        <v>7.6</v>
      </c>
      <c r="H140" t="n">
        <v>0</v>
      </c>
      <c r="I140" t="n">
        <v>0</v>
      </c>
      <c r="J140" t="n">
        <v>0</v>
      </c>
      <c r="K140" t="n">
        <v>0</v>
      </c>
      <c r="L140" t="n">
        <v>0</v>
      </c>
      <c r="M140" t="n">
        <v>0</v>
      </c>
      <c r="N140" t="n">
        <v>0</v>
      </c>
      <c r="O140" t="n">
        <v>0</v>
      </c>
      <c r="P140" t="n">
        <v>0</v>
      </c>
      <c r="Q140" t="n">
        <v>2</v>
      </c>
      <c r="R140" s="2" t="inlineStr">
        <is>
          <t>Hultbräken
Liljekonvalj</t>
        </is>
      </c>
      <c r="S140">
        <f>HYPERLINK("https://klasma.github.io/Logging_2380/artfynd/A 61653-2022 artfynd.xlsx", "A 61653-2022")</f>
        <v/>
      </c>
      <c r="T140">
        <f>HYPERLINK("https://klasma.github.io/Logging_2380/kartor/A 61653-2022 karta.png", "A 61653-2022")</f>
        <v/>
      </c>
      <c r="V140">
        <f>HYPERLINK("https://klasma.github.io/Logging_2380/klagomål/A 61653-2022 FSC-klagomål.docx", "A 61653-2022")</f>
        <v/>
      </c>
      <c r="W140">
        <f>HYPERLINK("https://klasma.github.io/Logging_2380/klagomålsmail/A 61653-2022 FSC-klagomål mail.docx", "A 61653-2022")</f>
        <v/>
      </c>
      <c r="X140">
        <f>HYPERLINK("https://klasma.github.io/Logging_2380/tillsyn/A 61653-2022 tillsynsbegäran.docx", "A 61653-2022")</f>
        <v/>
      </c>
      <c r="Y140">
        <f>HYPERLINK("https://klasma.github.io/Logging_2380/tillsynsmail/A 61653-2022 tillsynsbegäran mail.docx", "A 61653-2022")</f>
        <v/>
      </c>
    </row>
    <row r="141" ht="15" customHeight="1">
      <c r="A141" t="inlineStr">
        <is>
          <t>A 4872-2023</t>
        </is>
      </c>
      <c r="B141" s="1" t="n">
        <v>44957</v>
      </c>
      <c r="C141" s="1" t="n">
        <v>46200</v>
      </c>
      <c r="D141" t="inlineStr">
        <is>
          <t>JÄMTLANDS LÄN</t>
        </is>
      </c>
      <c r="E141" t="inlineStr">
        <is>
          <t>ÖSTERSUND</t>
        </is>
      </c>
      <c r="G141" t="n">
        <v>10.7</v>
      </c>
      <c r="H141" t="n">
        <v>1</v>
      </c>
      <c r="I141" t="n">
        <v>0</v>
      </c>
      <c r="J141" t="n">
        <v>0</v>
      </c>
      <c r="K141" t="n">
        <v>1</v>
      </c>
      <c r="L141" t="n">
        <v>0</v>
      </c>
      <c r="M141" t="n">
        <v>0</v>
      </c>
      <c r="N141" t="n">
        <v>0</v>
      </c>
      <c r="O141" t="n">
        <v>1</v>
      </c>
      <c r="P141" t="n">
        <v>1</v>
      </c>
      <c r="Q141" t="n">
        <v>2</v>
      </c>
      <c r="R141" s="2" t="inlineStr">
        <is>
          <t>Garnlav
Revlummer</t>
        </is>
      </c>
      <c r="S141">
        <f>HYPERLINK("https://klasma.github.io/Logging_2380/artfynd/A 4872-2023 artfynd.xlsx", "A 4872-2023")</f>
        <v/>
      </c>
      <c r="T141">
        <f>HYPERLINK("https://klasma.github.io/Logging_2380/kartor/A 4872-2023 karta.png", "A 4872-2023")</f>
        <v/>
      </c>
      <c r="V141">
        <f>HYPERLINK("https://klasma.github.io/Logging_2380/klagomål/A 4872-2023 FSC-klagomål.docx", "A 4872-2023")</f>
        <v/>
      </c>
      <c r="W141">
        <f>HYPERLINK("https://klasma.github.io/Logging_2380/klagomålsmail/A 4872-2023 FSC-klagomål mail.docx", "A 4872-2023")</f>
        <v/>
      </c>
      <c r="X141">
        <f>HYPERLINK("https://klasma.github.io/Logging_2380/tillsyn/A 4872-2023 tillsynsbegäran.docx", "A 4872-2023")</f>
        <v/>
      </c>
      <c r="Y141">
        <f>HYPERLINK("https://klasma.github.io/Logging_2380/tillsynsmail/A 4872-2023 tillsynsbegäran mail.docx", "A 4872-2023")</f>
        <v/>
      </c>
    </row>
    <row r="142" ht="15" customHeight="1">
      <c r="A142" t="inlineStr">
        <is>
          <t>A 11513-2024</t>
        </is>
      </c>
      <c r="B142" s="1" t="n">
        <v>45372</v>
      </c>
      <c r="C142" s="1" t="n">
        <v>46200</v>
      </c>
      <c r="D142" t="inlineStr">
        <is>
          <t>JÄMTLANDS LÄN</t>
        </is>
      </c>
      <c r="E142" t="inlineStr">
        <is>
          <t>ÖSTERSUND</t>
        </is>
      </c>
      <c r="G142" t="n">
        <v>21.2</v>
      </c>
      <c r="H142" t="n">
        <v>0</v>
      </c>
      <c r="I142" t="n">
        <v>2</v>
      </c>
      <c r="J142" t="n">
        <v>0</v>
      </c>
      <c r="K142" t="n">
        <v>0</v>
      </c>
      <c r="L142" t="n">
        <v>0</v>
      </c>
      <c r="M142" t="n">
        <v>0</v>
      </c>
      <c r="N142" t="n">
        <v>0</v>
      </c>
      <c r="O142" t="n">
        <v>0</v>
      </c>
      <c r="P142" t="n">
        <v>0</v>
      </c>
      <c r="Q142" t="n">
        <v>2</v>
      </c>
      <c r="R142" s="2" t="inlineStr">
        <is>
          <t>Finbräken
Tibast</t>
        </is>
      </c>
      <c r="S142">
        <f>HYPERLINK("https://klasma.github.io/Logging_2380/artfynd/A 11513-2024 artfynd.xlsx", "A 11513-2024")</f>
        <v/>
      </c>
      <c r="T142">
        <f>HYPERLINK("https://klasma.github.io/Logging_2380/kartor/A 11513-2024 karta.png", "A 11513-2024")</f>
        <v/>
      </c>
      <c r="V142">
        <f>HYPERLINK("https://klasma.github.io/Logging_2380/klagomål/A 11513-2024 FSC-klagomål.docx", "A 11513-2024")</f>
        <v/>
      </c>
      <c r="W142">
        <f>HYPERLINK("https://klasma.github.io/Logging_2380/klagomålsmail/A 11513-2024 FSC-klagomål mail.docx", "A 11513-2024")</f>
        <v/>
      </c>
      <c r="X142">
        <f>HYPERLINK("https://klasma.github.io/Logging_2380/tillsyn/A 11513-2024 tillsynsbegäran.docx", "A 11513-2024")</f>
        <v/>
      </c>
      <c r="Y142">
        <f>HYPERLINK("https://klasma.github.io/Logging_2380/tillsynsmail/A 11513-2024 tillsynsbegäran mail.docx", "A 11513-2024")</f>
        <v/>
      </c>
    </row>
    <row r="143" ht="15" customHeight="1">
      <c r="A143" t="inlineStr">
        <is>
          <t>A 60446-2024</t>
        </is>
      </c>
      <c r="B143" s="1" t="n">
        <v>45643</v>
      </c>
      <c r="C143" s="1" t="n">
        <v>46200</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40692-2024</t>
        </is>
      </c>
      <c r="B144" s="1" t="n">
        <v>45558</v>
      </c>
      <c r="C144" s="1" t="n">
        <v>46200</v>
      </c>
      <c r="D144" t="inlineStr">
        <is>
          <t>JÄMTLANDS LÄN</t>
        </is>
      </c>
      <c r="E144" t="inlineStr">
        <is>
          <t>ÖSTERSUND</t>
        </is>
      </c>
      <c r="F144" t="inlineStr">
        <is>
          <t>SCA</t>
        </is>
      </c>
      <c r="G144" t="n">
        <v>0.9</v>
      </c>
      <c r="H144" t="n">
        <v>0</v>
      </c>
      <c r="I144" t="n">
        <v>0</v>
      </c>
      <c r="J144" t="n">
        <v>2</v>
      </c>
      <c r="K144" t="n">
        <v>0</v>
      </c>
      <c r="L144" t="n">
        <v>0</v>
      </c>
      <c r="M144" t="n">
        <v>0</v>
      </c>
      <c r="N144" t="n">
        <v>0</v>
      </c>
      <c r="O144" t="n">
        <v>2</v>
      </c>
      <c r="P144" t="n">
        <v>0</v>
      </c>
      <c r="Q144" t="n">
        <v>2</v>
      </c>
      <c r="R144" s="2" t="inlineStr">
        <is>
          <t>Dvärgbägarlav
Lunglav</t>
        </is>
      </c>
      <c r="S144">
        <f>HYPERLINK("https://klasma.github.io/Logging_2380/artfynd/A 40692-2024 artfynd.xlsx", "A 40692-2024")</f>
        <v/>
      </c>
      <c r="T144">
        <f>HYPERLINK("https://klasma.github.io/Logging_2380/kartor/A 40692-2024 karta.png", "A 40692-2024")</f>
        <v/>
      </c>
      <c r="V144">
        <f>HYPERLINK("https://klasma.github.io/Logging_2380/klagomål/A 40692-2024 FSC-klagomål.docx", "A 40692-2024")</f>
        <v/>
      </c>
      <c r="W144">
        <f>HYPERLINK("https://klasma.github.io/Logging_2380/klagomålsmail/A 40692-2024 FSC-klagomål mail.docx", "A 40692-2024")</f>
        <v/>
      </c>
      <c r="X144">
        <f>HYPERLINK("https://klasma.github.io/Logging_2380/tillsyn/A 40692-2024 tillsynsbegäran.docx", "A 40692-2024")</f>
        <v/>
      </c>
      <c r="Y144">
        <f>HYPERLINK("https://klasma.github.io/Logging_2380/tillsynsmail/A 40692-2024 tillsynsbegäran mail.docx", "A 40692-2024")</f>
        <v/>
      </c>
    </row>
    <row r="145" ht="15" customHeight="1">
      <c r="A145" t="inlineStr">
        <is>
          <t>A 38142-2021</t>
        </is>
      </c>
      <c r="B145" s="1" t="n">
        <v>44405</v>
      </c>
      <c r="C145" s="1" t="n">
        <v>46200</v>
      </c>
      <c r="D145" t="inlineStr">
        <is>
          <t>JÄMTLANDS LÄN</t>
        </is>
      </c>
      <c r="E145" t="inlineStr">
        <is>
          <t>ÖSTERSUND</t>
        </is>
      </c>
      <c r="G145" t="n">
        <v>1.7</v>
      </c>
      <c r="H145" t="n">
        <v>1</v>
      </c>
      <c r="I145" t="n">
        <v>1</v>
      </c>
      <c r="J145" t="n">
        <v>1</v>
      </c>
      <c r="K145" t="n">
        <v>0</v>
      </c>
      <c r="L145" t="n">
        <v>0</v>
      </c>
      <c r="M145" t="n">
        <v>0</v>
      </c>
      <c r="N145" t="n">
        <v>0</v>
      </c>
      <c r="O145" t="n">
        <v>1</v>
      </c>
      <c r="P145" t="n">
        <v>0</v>
      </c>
      <c r="Q145" t="n">
        <v>2</v>
      </c>
      <c r="R145" s="2" t="inlineStr">
        <is>
          <t>Månlåsbräken
Grönkulla</t>
        </is>
      </c>
      <c r="S145">
        <f>HYPERLINK("https://klasma.github.io/Logging_2380/artfynd/A 38142-2021 artfynd.xlsx", "A 38142-2021")</f>
        <v/>
      </c>
      <c r="T145">
        <f>HYPERLINK("https://klasma.github.io/Logging_2380/kartor/A 38142-2021 karta.png", "A 38142-2021")</f>
        <v/>
      </c>
      <c r="V145">
        <f>HYPERLINK("https://klasma.github.io/Logging_2380/klagomål/A 38142-2021 FSC-klagomål.docx", "A 38142-2021")</f>
        <v/>
      </c>
      <c r="W145">
        <f>HYPERLINK("https://klasma.github.io/Logging_2380/klagomålsmail/A 38142-2021 FSC-klagomål mail.docx", "A 38142-2021")</f>
        <v/>
      </c>
      <c r="X145">
        <f>HYPERLINK("https://klasma.github.io/Logging_2380/tillsyn/A 38142-2021 tillsynsbegäran.docx", "A 38142-2021")</f>
        <v/>
      </c>
      <c r="Y145">
        <f>HYPERLINK("https://klasma.github.io/Logging_2380/tillsynsmail/A 38142-2021 tillsynsbegäran mail.docx", "A 38142-2021")</f>
        <v/>
      </c>
    </row>
    <row r="146" ht="15" customHeight="1">
      <c r="A146" t="inlineStr">
        <is>
          <t>A 12-2023</t>
        </is>
      </c>
      <c r="B146" s="1" t="n">
        <v>44927</v>
      </c>
      <c r="C146" s="1" t="n">
        <v>46200</v>
      </c>
      <c r="D146" t="inlineStr">
        <is>
          <t>JÄMTLANDS LÄN</t>
        </is>
      </c>
      <c r="E146" t="inlineStr">
        <is>
          <t>ÖSTERSUND</t>
        </is>
      </c>
      <c r="G146" t="n">
        <v>4.7</v>
      </c>
      <c r="H146" t="n">
        <v>1</v>
      </c>
      <c r="I146" t="n">
        <v>0</v>
      </c>
      <c r="J146" t="n">
        <v>1</v>
      </c>
      <c r="K146" t="n">
        <v>1</v>
      </c>
      <c r="L146" t="n">
        <v>0</v>
      </c>
      <c r="M146" t="n">
        <v>0</v>
      </c>
      <c r="N146" t="n">
        <v>0</v>
      </c>
      <c r="O146" t="n">
        <v>2</v>
      </c>
      <c r="P146" t="n">
        <v>1</v>
      </c>
      <c r="Q146" t="n">
        <v>2</v>
      </c>
      <c r="R146" s="2" t="inlineStr">
        <is>
          <t>Garnlav
Tretåig hackspett</t>
        </is>
      </c>
      <c r="S146">
        <f>HYPERLINK("https://klasma.github.io/Logging_2380/artfynd/A 12-2023 artfynd.xlsx", "A 12-2023")</f>
        <v/>
      </c>
      <c r="T146">
        <f>HYPERLINK("https://klasma.github.io/Logging_2380/kartor/A 12-2023 karta.png", "A 12-2023")</f>
        <v/>
      </c>
      <c r="V146">
        <f>HYPERLINK("https://klasma.github.io/Logging_2380/klagomål/A 12-2023 FSC-klagomål.docx", "A 12-2023")</f>
        <v/>
      </c>
      <c r="W146">
        <f>HYPERLINK("https://klasma.github.io/Logging_2380/klagomålsmail/A 12-2023 FSC-klagomål mail.docx", "A 12-2023")</f>
        <v/>
      </c>
      <c r="X146">
        <f>HYPERLINK("https://klasma.github.io/Logging_2380/tillsyn/A 12-2023 tillsynsbegäran.docx", "A 12-2023")</f>
        <v/>
      </c>
      <c r="Y146">
        <f>HYPERLINK("https://klasma.github.io/Logging_2380/tillsynsmail/A 12-2023 tillsynsbegäran mail.docx", "A 12-2023")</f>
        <v/>
      </c>
      <c r="Z146">
        <f>HYPERLINK("https://klasma.github.io/Logging_2380/fåglar/A 12-2023 prioriterade fågelarter.docx", "A 12-2023")</f>
        <v/>
      </c>
    </row>
    <row r="147" ht="15" customHeight="1">
      <c r="A147" t="inlineStr">
        <is>
          <t>A 35977-2024</t>
        </is>
      </c>
      <c r="B147" s="1" t="n">
        <v>45533</v>
      </c>
      <c r="C147" s="1" t="n">
        <v>46200</v>
      </c>
      <c r="D147" t="inlineStr">
        <is>
          <t>JÄMTLANDS LÄN</t>
        </is>
      </c>
      <c r="E147" t="inlineStr">
        <is>
          <t>ÖSTERSUND</t>
        </is>
      </c>
      <c r="G147" t="n">
        <v>0.7</v>
      </c>
      <c r="H147" t="n">
        <v>0</v>
      </c>
      <c r="I147" t="n">
        <v>2</v>
      </c>
      <c r="J147" t="n">
        <v>0</v>
      </c>
      <c r="K147" t="n">
        <v>0</v>
      </c>
      <c r="L147" t="n">
        <v>0</v>
      </c>
      <c r="M147" t="n">
        <v>0</v>
      </c>
      <c r="N147" t="n">
        <v>0</v>
      </c>
      <c r="O147" t="n">
        <v>0</v>
      </c>
      <c r="P147" t="n">
        <v>0</v>
      </c>
      <c r="Q147" t="n">
        <v>2</v>
      </c>
      <c r="R147" s="2" t="inlineStr">
        <is>
          <t>Tibast
Trådticka</t>
        </is>
      </c>
      <c r="S147">
        <f>HYPERLINK("https://klasma.github.io/Logging_2380/artfynd/A 35977-2024 artfynd.xlsx", "A 35977-2024")</f>
        <v/>
      </c>
      <c r="T147">
        <f>HYPERLINK("https://klasma.github.io/Logging_2380/kartor/A 35977-2024 karta.png", "A 35977-2024")</f>
        <v/>
      </c>
      <c r="V147">
        <f>HYPERLINK("https://klasma.github.io/Logging_2380/klagomål/A 35977-2024 FSC-klagomål.docx", "A 35977-2024")</f>
        <v/>
      </c>
      <c r="W147">
        <f>HYPERLINK("https://klasma.github.io/Logging_2380/klagomålsmail/A 35977-2024 FSC-klagomål mail.docx", "A 35977-2024")</f>
        <v/>
      </c>
      <c r="X147">
        <f>HYPERLINK("https://klasma.github.io/Logging_2380/tillsyn/A 35977-2024 tillsynsbegäran.docx", "A 35977-2024")</f>
        <v/>
      </c>
      <c r="Y147">
        <f>HYPERLINK("https://klasma.github.io/Logging_2380/tillsynsmail/A 35977-2024 tillsynsbegäran mail.docx", "A 35977-2024")</f>
        <v/>
      </c>
    </row>
    <row r="148" ht="15" customHeight="1">
      <c r="A148" t="inlineStr">
        <is>
          <t>A 3846-2024</t>
        </is>
      </c>
      <c r="B148" s="1" t="n">
        <v>45321</v>
      </c>
      <c r="C148" s="1" t="n">
        <v>46200</v>
      </c>
      <c r="D148" t="inlineStr">
        <is>
          <t>JÄMTLANDS LÄN</t>
        </is>
      </c>
      <c r="E148" t="inlineStr">
        <is>
          <t>ÖSTERSUND</t>
        </is>
      </c>
      <c r="G148" t="n">
        <v>2.2</v>
      </c>
      <c r="H148" t="n">
        <v>0</v>
      </c>
      <c r="I148" t="n">
        <v>2</v>
      </c>
      <c r="J148" t="n">
        <v>0</v>
      </c>
      <c r="K148" t="n">
        <v>0</v>
      </c>
      <c r="L148" t="n">
        <v>0</v>
      </c>
      <c r="M148" t="n">
        <v>0</v>
      </c>
      <c r="N148" t="n">
        <v>0</v>
      </c>
      <c r="O148" t="n">
        <v>0</v>
      </c>
      <c r="P148" t="n">
        <v>0</v>
      </c>
      <c r="Q148" t="n">
        <v>2</v>
      </c>
      <c r="R148" s="2" t="inlineStr">
        <is>
          <t>Olivspindling
Svavelriska</t>
        </is>
      </c>
      <c r="S148">
        <f>HYPERLINK("https://klasma.github.io/Logging_2380/artfynd/A 3846-2024 artfynd.xlsx", "A 3846-2024")</f>
        <v/>
      </c>
      <c r="T148">
        <f>HYPERLINK("https://klasma.github.io/Logging_2380/kartor/A 3846-2024 karta.png", "A 3846-2024")</f>
        <v/>
      </c>
      <c r="V148">
        <f>HYPERLINK("https://klasma.github.io/Logging_2380/klagomål/A 3846-2024 FSC-klagomål.docx", "A 3846-2024")</f>
        <v/>
      </c>
      <c r="W148">
        <f>HYPERLINK("https://klasma.github.io/Logging_2380/klagomålsmail/A 3846-2024 FSC-klagomål mail.docx", "A 3846-2024")</f>
        <v/>
      </c>
      <c r="X148">
        <f>HYPERLINK("https://klasma.github.io/Logging_2380/tillsyn/A 3846-2024 tillsynsbegäran.docx", "A 3846-2024")</f>
        <v/>
      </c>
      <c r="Y148">
        <f>HYPERLINK("https://klasma.github.io/Logging_2380/tillsynsmail/A 3846-2024 tillsynsbegäran mail.docx", "A 3846-2024")</f>
        <v/>
      </c>
    </row>
    <row r="149" ht="15" customHeight="1">
      <c r="A149" t="inlineStr">
        <is>
          <t>A 13024-2022</t>
        </is>
      </c>
      <c r="B149" s="1" t="n">
        <v>44643</v>
      </c>
      <c r="C149" s="1" t="n">
        <v>46200</v>
      </c>
      <c r="D149" t="inlineStr">
        <is>
          <t>JÄMTLANDS LÄN</t>
        </is>
      </c>
      <c r="E149" t="inlineStr">
        <is>
          <t>ÖSTERSUND</t>
        </is>
      </c>
      <c r="G149" t="n">
        <v>0.9</v>
      </c>
      <c r="H149" t="n">
        <v>1</v>
      </c>
      <c r="I149" t="n">
        <v>0</v>
      </c>
      <c r="J149" t="n">
        <v>0</v>
      </c>
      <c r="K149" t="n">
        <v>1</v>
      </c>
      <c r="L149" t="n">
        <v>0</v>
      </c>
      <c r="M149" t="n">
        <v>0</v>
      </c>
      <c r="N149" t="n">
        <v>0</v>
      </c>
      <c r="O149" t="n">
        <v>1</v>
      </c>
      <c r="P149" t="n">
        <v>1</v>
      </c>
      <c r="Q149" t="n">
        <v>2</v>
      </c>
      <c r="R149" s="2" t="inlineStr">
        <is>
          <t>Garnlav
Kungsfågel</t>
        </is>
      </c>
      <c r="S149">
        <f>HYPERLINK("https://klasma.github.io/Logging_2380/artfynd/A 13024-2022 artfynd.xlsx", "A 13024-2022")</f>
        <v/>
      </c>
      <c r="T149">
        <f>HYPERLINK("https://klasma.github.io/Logging_2380/kartor/A 13024-2022 karta.png", "A 13024-2022")</f>
        <v/>
      </c>
      <c r="V149">
        <f>HYPERLINK("https://klasma.github.io/Logging_2380/klagomål/A 13024-2022 FSC-klagomål.docx", "A 13024-2022")</f>
        <v/>
      </c>
      <c r="W149">
        <f>HYPERLINK("https://klasma.github.io/Logging_2380/klagomålsmail/A 13024-2022 FSC-klagomål mail.docx", "A 13024-2022")</f>
        <v/>
      </c>
      <c r="X149">
        <f>HYPERLINK("https://klasma.github.io/Logging_2380/tillsyn/A 13024-2022 tillsynsbegäran.docx", "A 13024-2022")</f>
        <v/>
      </c>
      <c r="Y149">
        <f>HYPERLINK("https://klasma.github.io/Logging_2380/tillsynsmail/A 13024-2022 tillsynsbegäran mail.docx", "A 13024-2022")</f>
        <v/>
      </c>
    </row>
    <row r="150" ht="15" customHeight="1">
      <c r="A150" t="inlineStr">
        <is>
          <t>A 36742-2024</t>
        </is>
      </c>
      <c r="B150" s="1" t="n">
        <v>45538</v>
      </c>
      <c r="C150" s="1" t="n">
        <v>46200</v>
      </c>
      <c r="D150" t="inlineStr">
        <is>
          <t>JÄMTLANDS LÄN</t>
        </is>
      </c>
      <c r="E150" t="inlineStr">
        <is>
          <t>ÖSTERSUND</t>
        </is>
      </c>
      <c r="G150" t="n">
        <v>13.6</v>
      </c>
      <c r="H150" t="n">
        <v>0</v>
      </c>
      <c r="I150" t="n">
        <v>2</v>
      </c>
      <c r="J150" t="n">
        <v>0</v>
      </c>
      <c r="K150" t="n">
        <v>0</v>
      </c>
      <c r="L150" t="n">
        <v>0</v>
      </c>
      <c r="M150" t="n">
        <v>0</v>
      </c>
      <c r="N150" t="n">
        <v>0</v>
      </c>
      <c r="O150" t="n">
        <v>0</v>
      </c>
      <c r="P150" t="n">
        <v>0</v>
      </c>
      <c r="Q150" t="n">
        <v>2</v>
      </c>
      <c r="R150" s="2" t="inlineStr">
        <is>
          <t>Skinnlav
Vedticka</t>
        </is>
      </c>
      <c r="S150">
        <f>HYPERLINK("https://klasma.github.io/Logging_2380/artfynd/A 36742-2024 artfynd.xlsx", "A 36742-2024")</f>
        <v/>
      </c>
      <c r="T150">
        <f>HYPERLINK("https://klasma.github.io/Logging_2380/kartor/A 36742-2024 karta.png", "A 36742-2024")</f>
        <v/>
      </c>
      <c r="V150">
        <f>HYPERLINK("https://klasma.github.io/Logging_2380/klagomål/A 36742-2024 FSC-klagomål.docx", "A 36742-2024")</f>
        <v/>
      </c>
      <c r="W150">
        <f>HYPERLINK("https://klasma.github.io/Logging_2380/klagomålsmail/A 36742-2024 FSC-klagomål mail.docx", "A 36742-2024")</f>
        <v/>
      </c>
      <c r="X150">
        <f>HYPERLINK("https://klasma.github.io/Logging_2380/tillsyn/A 36742-2024 tillsynsbegäran.docx", "A 36742-2024")</f>
        <v/>
      </c>
      <c r="Y150">
        <f>HYPERLINK("https://klasma.github.io/Logging_2380/tillsynsmail/A 36742-2024 tillsynsbegäran mail.docx", "A 36742-2024")</f>
        <v/>
      </c>
    </row>
    <row r="151" ht="15" customHeight="1">
      <c r="A151" t="inlineStr">
        <is>
          <t>A 4916-2023</t>
        </is>
      </c>
      <c r="B151" s="1" t="n">
        <v>44956</v>
      </c>
      <c r="C151" s="1" t="n">
        <v>46200</v>
      </c>
      <c r="D151" t="inlineStr">
        <is>
          <t>JÄMTLANDS LÄN</t>
        </is>
      </c>
      <c r="E151" t="inlineStr">
        <is>
          <t>ÖSTERSUND</t>
        </is>
      </c>
      <c r="G151" t="n">
        <v>1.2</v>
      </c>
      <c r="H151" t="n">
        <v>0</v>
      </c>
      <c r="I151" t="n">
        <v>1</v>
      </c>
      <c r="J151" t="n">
        <v>0</v>
      </c>
      <c r="K151" t="n">
        <v>0</v>
      </c>
      <c r="L151" t="n">
        <v>1</v>
      </c>
      <c r="M151" t="n">
        <v>0</v>
      </c>
      <c r="N151" t="n">
        <v>0</v>
      </c>
      <c r="O151" t="n">
        <v>1</v>
      </c>
      <c r="P151" t="n">
        <v>1</v>
      </c>
      <c r="Q151" t="n">
        <v>2</v>
      </c>
      <c r="R151" s="2" t="inlineStr">
        <is>
          <t>Trolldruvemätare
Svart trolldruva</t>
        </is>
      </c>
      <c r="S151">
        <f>HYPERLINK("https://klasma.github.io/Logging_2380/artfynd/A 4916-2023 artfynd.xlsx", "A 4916-2023")</f>
        <v/>
      </c>
      <c r="T151">
        <f>HYPERLINK("https://klasma.github.io/Logging_2380/kartor/A 4916-2023 karta.png", "A 4916-2023")</f>
        <v/>
      </c>
      <c r="V151">
        <f>HYPERLINK("https://klasma.github.io/Logging_2380/klagomål/A 4916-2023 FSC-klagomål.docx", "A 4916-2023")</f>
        <v/>
      </c>
      <c r="W151">
        <f>HYPERLINK("https://klasma.github.io/Logging_2380/klagomålsmail/A 4916-2023 FSC-klagomål mail.docx", "A 4916-2023")</f>
        <v/>
      </c>
      <c r="X151">
        <f>HYPERLINK("https://klasma.github.io/Logging_2380/tillsyn/A 4916-2023 tillsynsbegäran.docx", "A 4916-2023")</f>
        <v/>
      </c>
      <c r="Y151">
        <f>HYPERLINK("https://klasma.github.io/Logging_2380/tillsynsmail/A 4916-2023 tillsynsbegäran mail.docx", "A 4916-2023")</f>
        <v/>
      </c>
    </row>
    <row r="152" ht="15" customHeight="1">
      <c r="A152" t="inlineStr">
        <is>
          <t>A 21615-2024</t>
        </is>
      </c>
      <c r="B152" s="1" t="n">
        <v>45441</v>
      </c>
      <c r="C152" s="1" t="n">
        <v>46200</v>
      </c>
      <c r="D152" t="inlineStr">
        <is>
          <t>JÄMTLANDS LÄN</t>
        </is>
      </c>
      <c r="E152" t="inlineStr">
        <is>
          <t>ÖSTERSUND</t>
        </is>
      </c>
      <c r="F152" t="inlineStr">
        <is>
          <t>SCA</t>
        </is>
      </c>
      <c r="G152" t="n">
        <v>4.9</v>
      </c>
      <c r="H152" t="n">
        <v>2</v>
      </c>
      <c r="I152" t="n">
        <v>0</v>
      </c>
      <c r="J152" t="n">
        <v>0</v>
      </c>
      <c r="K152" t="n">
        <v>1</v>
      </c>
      <c r="L152" t="n">
        <v>0</v>
      </c>
      <c r="M152" t="n">
        <v>0</v>
      </c>
      <c r="N152" t="n">
        <v>0</v>
      </c>
      <c r="O152" t="n">
        <v>1</v>
      </c>
      <c r="P152" t="n">
        <v>1</v>
      </c>
      <c r="Q152" t="n">
        <v>2</v>
      </c>
      <c r="R152" s="2" t="inlineStr">
        <is>
          <t>Lappuggla
Blåsippa</t>
        </is>
      </c>
      <c r="S152">
        <f>HYPERLINK("https://klasma.github.io/Logging_2380/artfynd/A 21615-2024 artfynd.xlsx", "A 21615-2024")</f>
        <v/>
      </c>
      <c r="T152">
        <f>HYPERLINK("https://klasma.github.io/Logging_2380/kartor/A 21615-2024 karta.png", "A 21615-2024")</f>
        <v/>
      </c>
      <c r="V152">
        <f>HYPERLINK("https://klasma.github.io/Logging_2380/klagomål/A 21615-2024 FSC-klagomål.docx", "A 21615-2024")</f>
        <v/>
      </c>
      <c r="W152">
        <f>HYPERLINK("https://klasma.github.io/Logging_2380/klagomålsmail/A 21615-2024 FSC-klagomål mail.docx", "A 21615-2024")</f>
        <v/>
      </c>
      <c r="X152">
        <f>HYPERLINK("https://klasma.github.io/Logging_2380/tillsyn/A 21615-2024 tillsynsbegäran.docx", "A 21615-2024")</f>
        <v/>
      </c>
      <c r="Y152">
        <f>HYPERLINK("https://klasma.github.io/Logging_2380/tillsynsmail/A 21615-2024 tillsynsbegäran mail.docx", "A 21615-2024")</f>
        <v/>
      </c>
      <c r="Z152">
        <f>HYPERLINK("https://klasma.github.io/Logging_2380/fåglar/A 21615-2024 prioriterade fågelarter.docx", "A 21615-2024")</f>
        <v/>
      </c>
    </row>
    <row r="153" ht="15" customHeight="1">
      <c r="A153" t="inlineStr">
        <is>
          <t>A 39968-2024</t>
        </is>
      </c>
      <c r="B153" s="1" t="n">
        <v>45553</v>
      </c>
      <c r="C153" s="1" t="n">
        <v>46200</v>
      </c>
      <c r="D153" t="inlineStr">
        <is>
          <t>JÄMTLANDS LÄN</t>
        </is>
      </c>
      <c r="E153" t="inlineStr">
        <is>
          <t>ÖSTERSUND</t>
        </is>
      </c>
      <c r="G153" t="n">
        <v>1.8</v>
      </c>
      <c r="H153" t="n">
        <v>2</v>
      </c>
      <c r="I153" t="n">
        <v>1</v>
      </c>
      <c r="J153" t="n">
        <v>0</v>
      </c>
      <c r="K153" t="n">
        <v>1</v>
      </c>
      <c r="L153" t="n">
        <v>0</v>
      </c>
      <c r="M153" t="n">
        <v>0</v>
      </c>
      <c r="N153" t="n">
        <v>0</v>
      </c>
      <c r="O153" t="n">
        <v>1</v>
      </c>
      <c r="P153" t="n">
        <v>1</v>
      </c>
      <c r="Q153" t="n">
        <v>2</v>
      </c>
      <c r="R153" s="2" t="inlineStr">
        <is>
          <t>Knärot
Spindelblomster</t>
        </is>
      </c>
      <c r="S153">
        <f>HYPERLINK("https://klasma.github.io/Logging_2380/artfynd/A 39968-2024 artfynd.xlsx", "A 39968-2024")</f>
        <v/>
      </c>
      <c r="T153">
        <f>HYPERLINK("https://klasma.github.io/Logging_2380/kartor/A 39968-2024 karta.png", "A 39968-2024")</f>
        <v/>
      </c>
      <c r="U153">
        <f>HYPERLINK("https://klasma.github.io/Logging_2380/knärot/A 39968-2024 karta knärot.png", "A 39968-2024")</f>
        <v/>
      </c>
      <c r="V153">
        <f>HYPERLINK("https://klasma.github.io/Logging_2380/klagomål/A 39968-2024 FSC-klagomål.docx", "A 39968-2024")</f>
        <v/>
      </c>
      <c r="W153">
        <f>HYPERLINK("https://klasma.github.io/Logging_2380/klagomålsmail/A 39968-2024 FSC-klagomål mail.docx", "A 39968-2024")</f>
        <v/>
      </c>
      <c r="X153">
        <f>HYPERLINK("https://klasma.github.io/Logging_2380/tillsyn/A 39968-2024 tillsynsbegäran.docx", "A 39968-2024")</f>
        <v/>
      </c>
      <c r="Y153">
        <f>HYPERLINK("https://klasma.github.io/Logging_2380/tillsynsmail/A 39968-2024 tillsynsbegäran mail.docx", "A 39968-2024")</f>
        <v/>
      </c>
    </row>
    <row r="154" ht="15" customHeight="1">
      <c r="A154" t="inlineStr">
        <is>
          <t>A 9739-2022</t>
        </is>
      </c>
      <c r="B154" s="1" t="n">
        <v>44617</v>
      </c>
      <c r="C154" s="1" t="n">
        <v>46200</v>
      </c>
      <c r="D154" t="inlineStr">
        <is>
          <t>JÄMTLANDS LÄN</t>
        </is>
      </c>
      <c r="E154" t="inlineStr">
        <is>
          <t>ÖSTERSUND</t>
        </is>
      </c>
      <c r="F154" t="inlineStr">
        <is>
          <t>SCA</t>
        </is>
      </c>
      <c r="G154" t="n">
        <v>13.5</v>
      </c>
      <c r="H154" t="n">
        <v>1</v>
      </c>
      <c r="I154" t="n">
        <v>0</v>
      </c>
      <c r="J154" t="n">
        <v>1</v>
      </c>
      <c r="K154" t="n">
        <v>1</v>
      </c>
      <c r="L154" t="n">
        <v>0</v>
      </c>
      <c r="M154" t="n">
        <v>0</v>
      </c>
      <c r="N154" t="n">
        <v>0</v>
      </c>
      <c r="O154" t="n">
        <v>2</v>
      </c>
      <c r="P154" t="n">
        <v>1</v>
      </c>
      <c r="Q154" t="n">
        <v>2</v>
      </c>
      <c r="R154" s="2" t="inlineStr">
        <is>
          <t>Doftticka
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57513-2025</t>
        </is>
      </c>
      <c r="B155" s="1" t="n">
        <v>45980</v>
      </c>
      <c r="C155" s="1" t="n">
        <v>46200</v>
      </c>
      <c r="D155" t="inlineStr">
        <is>
          <t>JÄMTLANDS LÄN</t>
        </is>
      </c>
      <c r="E155" t="inlineStr">
        <is>
          <t>ÖSTERSUND</t>
        </is>
      </c>
      <c r="G155" t="n">
        <v>3.8</v>
      </c>
      <c r="H155" t="n">
        <v>1</v>
      </c>
      <c r="I155" t="n">
        <v>2</v>
      </c>
      <c r="J155" t="n">
        <v>0</v>
      </c>
      <c r="K155" t="n">
        <v>0</v>
      </c>
      <c r="L155" t="n">
        <v>0</v>
      </c>
      <c r="M155" t="n">
        <v>0</v>
      </c>
      <c r="N155" t="n">
        <v>0</v>
      </c>
      <c r="O155" t="n">
        <v>0</v>
      </c>
      <c r="P155" t="n">
        <v>0</v>
      </c>
      <c r="Q155" t="n">
        <v>2</v>
      </c>
      <c r="R155" s="2" t="inlineStr">
        <is>
          <t>Guckusko
Tibast</t>
        </is>
      </c>
      <c r="S155">
        <f>HYPERLINK("https://klasma.github.io/Logging_2380/artfynd/A 57513-2025 artfynd.xlsx", "A 57513-2025")</f>
        <v/>
      </c>
      <c r="T155">
        <f>HYPERLINK("https://klasma.github.io/Logging_2380/kartor/A 57513-2025 karta.png", "A 57513-2025")</f>
        <v/>
      </c>
      <c r="V155">
        <f>HYPERLINK("https://klasma.github.io/Logging_2380/klagomål/A 57513-2025 FSC-klagomål.docx", "A 57513-2025")</f>
        <v/>
      </c>
      <c r="W155">
        <f>HYPERLINK("https://klasma.github.io/Logging_2380/klagomålsmail/A 57513-2025 FSC-klagomål mail.docx", "A 57513-2025")</f>
        <v/>
      </c>
      <c r="X155">
        <f>HYPERLINK("https://klasma.github.io/Logging_2380/tillsyn/A 57513-2025 tillsynsbegäran.docx", "A 57513-2025")</f>
        <v/>
      </c>
      <c r="Y155">
        <f>HYPERLINK("https://klasma.github.io/Logging_2380/tillsynsmail/A 57513-2025 tillsynsbegäran mail.docx", "A 57513-2025")</f>
        <v/>
      </c>
    </row>
    <row r="156" ht="15" customHeight="1">
      <c r="A156" t="inlineStr">
        <is>
          <t>A 58931-2025</t>
        </is>
      </c>
      <c r="B156" s="1" t="n">
        <v>45987</v>
      </c>
      <c r="C156" s="1" t="n">
        <v>46200</v>
      </c>
      <c r="D156" t="inlineStr">
        <is>
          <t>JÄMTLANDS LÄN</t>
        </is>
      </c>
      <c r="E156" t="inlineStr">
        <is>
          <t>ÖSTERSUND</t>
        </is>
      </c>
      <c r="G156" t="n">
        <v>3.9</v>
      </c>
      <c r="H156" t="n">
        <v>2</v>
      </c>
      <c r="I156" t="n">
        <v>0</v>
      </c>
      <c r="J156" t="n">
        <v>0</v>
      </c>
      <c r="K156" t="n">
        <v>0</v>
      </c>
      <c r="L156" t="n">
        <v>0</v>
      </c>
      <c r="M156" t="n">
        <v>0</v>
      </c>
      <c r="N156" t="n">
        <v>0</v>
      </c>
      <c r="O156" t="n">
        <v>0</v>
      </c>
      <c r="P156" t="n">
        <v>0</v>
      </c>
      <c r="Q156" t="n">
        <v>2</v>
      </c>
      <c r="R156" s="2" t="inlineStr">
        <is>
          <t>Blåsippa
Revlummer</t>
        </is>
      </c>
      <c r="S156">
        <f>HYPERLINK("https://klasma.github.io/Logging_2380/artfynd/A 58931-2025 artfynd.xlsx", "A 58931-2025")</f>
        <v/>
      </c>
      <c r="T156">
        <f>HYPERLINK("https://klasma.github.io/Logging_2380/kartor/A 58931-2025 karta.png", "A 58931-2025")</f>
        <v/>
      </c>
      <c r="V156">
        <f>HYPERLINK("https://klasma.github.io/Logging_2380/klagomål/A 58931-2025 FSC-klagomål.docx", "A 58931-2025")</f>
        <v/>
      </c>
      <c r="W156">
        <f>HYPERLINK("https://klasma.github.io/Logging_2380/klagomålsmail/A 58931-2025 FSC-klagomål mail.docx", "A 58931-2025")</f>
        <v/>
      </c>
      <c r="X156">
        <f>HYPERLINK("https://klasma.github.io/Logging_2380/tillsyn/A 58931-2025 tillsynsbegäran.docx", "A 58931-2025")</f>
        <v/>
      </c>
      <c r="Y156">
        <f>HYPERLINK("https://klasma.github.io/Logging_2380/tillsynsmail/A 58931-2025 tillsynsbegäran mail.docx", "A 58931-2025")</f>
        <v/>
      </c>
    </row>
    <row r="157" ht="15" customHeight="1">
      <c r="A157" t="inlineStr">
        <is>
          <t>A 56750-2025</t>
        </is>
      </c>
      <c r="B157" s="1" t="n">
        <v>45975</v>
      </c>
      <c r="C157" s="1" t="n">
        <v>46200</v>
      </c>
      <c r="D157" t="inlineStr">
        <is>
          <t>JÄMTLANDS LÄN</t>
        </is>
      </c>
      <c r="E157" t="inlineStr">
        <is>
          <t>ÖSTERSUND</t>
        </is>
      </c>
      <c r="G157" t="n">
        <v>5.1</v>
      </c>
      <c r="H157" t="n">
        <v>1</v>
      </c>
      <c r="I157" t="n">
        <v>0</v>
      </c>
      <c r="J157" t="n">
        <v>0</v>
      </c>
      <c r="K157" t="n">
        <v>1</v>
      </c>
      <c r="L157" t="n">
        <v>0</v>
      </c>
      <c r="M157" t="n">
        <v>0</v>
      </c>
      <c r="N157" t="n">
        <v>0</v>
      </c>
      <c r="O157" t="n">
        <v>1</v>
      </c>
      <c r="P157" t="n">
        <v>1</v>
      </c>
      <c r="Q157" t="n">
        <v>2</v>
      </c>
      <c r="R157" s="2" t="inlineStr">
        <is>
          <t>Garnlav
Revlummer</t>
        </is>
      </c>
      <c r="S157">
        <f>HYPERLINK("https://klasma.github.io/Logging_2380/artfynd/A 56750-2025 artfynd.xlsx", "A 56750-2025")</f>
        <v/>
      </c>
      <c r="T157">
        <f>HYPERLINK("https://klasma.github.io/Logging_2380/kartor/A 56750-2025 karta.png", "A 56750-2025")</f>
        <v/>
      </c>
      <c r="V157">
        <f>HYPERLINK("https://klasma.github.io/Logging_2380/klagomål/A 56750-2025 FSC-klagomål.docx", "A 56750-2025")</f>
        <v/>
      </c>
      <c r="W157">
        <f>HYPERLINK("https://klasma.github.io/Logging_2380/klagomålsmail/A 56750-2025 FSC-klagomål mail.docx", "A 56750-2025")</f>
        <v/>
      </c>
      <c r="X157">
        <f>HYPERLINK("https://klasma.github.io/Logging_2380/tillsyn/A 56750-2025 tillsynsbegäran.docx", "A 56750-2025")</f>
        <v/>
      </c>
      <c r="Y157">
        <f>HYPERLINK("https://klasma.github.io/Logging_2380/tillsynsmail/A 56750-2025 tillsynsbegäran mail.docx", "A 56750-2025")</f>
        <v/>
      </c>
    </row>
    <row r="158" ht="15" customHeight="1">
      <c r="A158" t="inlineStr">
        <is>
          <t>A 4226-2026</t>
        </is>
      </c>
      <c r="B158" s="1" t="n">
        <v>46044</v>
      </c>
      <c r="C158" s="1" t="n">
        <v>46200</v>
      </c>
      <c r="D158" t="inlineStr">
        <is>
          <t>JÄMTLANDS LÄN</t>
        </is>
      </c>
      <c r="E158" t="inlineStr">
        <is>
          <t>ÖSTERSUND</t>
        </is>
      </c>
      <c r="G158" t="n">
        <v>2.1</v>
      </c>
      <c r="H158" t="n">
        <v>0</v>
      </c>
      <c r="I158" t="n">
        <v>0</v>
      </c>
      <c r="J158" t="n">
        <v>0</v>
      </c>
      <c r="K158" t="n">
        <v>1</v>
      </c>
      <c r="L158" t="n">
        <v>1</v>
      </c>
      <c r="M158" t="n">
        <v>0</v>
      </c>
      <c r="N158" t="n">
        <v>0</v>
      </c>
      <c r="O158" t="n">
        <v>2</v>
      </c>
      <c r="P158" t="n">
        <v>2</v>
      </c>
      <c r="Q158" t="n">
        <v>2</v>
      </c>
      <c r="R158" s="2" t="inlineStr">
        <is>
          <t>Fjällfotad fingersvamp
Fältgentiana</t>
        </is>
      </c>
      <c r="S158">
        <f>HYPERLINK("https://klasma.github.io/Logging_2380/artfynd/A 4226-2026 artfynd.xlsx", "A 4226-2026")</f>
        <v/>
      </c>
      <c r="T158">
        <f>HYPERLINK("https://klasma.github.io/Logging_2380/kartor/A 4226-2026 karta.png", "A 4226-2026")</f>
        <v/>
      </c>
      <c r="V158">
        <f>HYPERLINK("https://klasma.github.io/Logging_2380/klagomål/A 4226-2026 FSC-klagomål.docx", "A 4226-2026")</f>
        <v/>
      </c>
      <c r="W158">
        <f>HYPERLINK("https://klasma.github.io/Logging_2380/klagomålsmail/A 4226-2026 FSC-klagomål mail.docx", "A 4226-2026")</f>
        <v/>
      </c>
      <c r="X158">
        <f>HYPERLINK("https://klasma.github.io/Logging_2380/tillsyn/A 4226-2026 tillsynsbegäran.docx", "A 4226-2026")</f>
        <v/>
      </c>
      <c r="Y158">
        <f>HYPERLINK("https://klasma.github.io/Logging_2380/tillsynsmail/A 4226-2026 tillsynsbegäran mail.docx", "A 4226-2026")</f>
        <v/>
      </c>
    </row>
    <row r="159" ht="15" customHeight="1">
      <c r="A159" t="inlineStr">
        <is>
          <t>A 13898-2026</t>
        </is>
      </c>
      <c r="B159" s="1" t="n">
        <v>46098</v>
      </c>
      <c r="C159" s="1" t="n">
        <v>46200</v>
      </c>
      <c r="D159" t="inlineStr">
        <is>
          <t>JÄMTLANDS LÄN</t>
        </is>
      </c>
      <c r="E159" t="inlineStr">
        <is>
          <t>ÖSTERSUND</t>
        </is>
      </c>
      <c r="G159" t="n">
        <v>3.4</v>
      </c>
      <c r="H159" t="n">
        <v>1</v>
      </c>
      <c r="I159" t="n">
        <v>0</v>
      </c>
      <c r="J159" t="n">
        <v>2</v>
      </c>
      <c r="K159" t="n">
        <v>0</v>
      </c>
      <c r="L159" t="n">
        <v>0</v>
      </c>
      <c r="M159" t="n">
        <v>0</v>
      </c>
      <c r="N159" t="n">
        <v>0</v>
      </c>
      <c r="O159" t="n">
        <v>2</v>
      </c>
      <c r="P159" t="n">
        <v>0</v>
      </c>
      <c r="Q159" t="n">
        <v>2</v>
      </c>
      <c r="R159" s="2" t="inlineStr">
        <is>
          <t>Jämtlandsmaskros
Slåtterfibbla</t>
        </is>
      </c>
      <c r="S159">
        <f>HYPERLINK("https://klasma.github.io/Logging_2380/artfynd/A 13898-2026 artfynd.xlsx", "A 13898-2026")</f>
        <v/>
      </c>
      <c r="T159">
        <f>HYPERLINK("https://klasma.github.io/Logging_2380/kartor/A 13898-2026 karta.png", "A 13898-2026")</f>
        <v/>
      </c>
      <c r="V159">
        <f>HYPERLINK("https://klasma.github.io/Logging_2380/klagomål/A 13898-2026 FSC-klagomål.docx", "A 13898-2026")</f>
        <v/>
      </c>
      <c r="W159">
        <f>HYPERLINK("https://klasma.github.io/Logging_2380/klagomålsmail/A 13898-2026 FSC-klagomål mail.docx", "A 13898-2026")</f>
        <v/>
      </c>
      <c r="X159">
        <f>HYPERLINK("https://klasma.github.io/Logging_2380/tillsyn/A 13898-2026 tillsynsbegäran.docx", "A 13898-2026")</f>
        <v/>
      </c>
      <c r="Y159">
        <f>HYPERLINK("https://klasma.github.io/Logging_2380/tillsynsmail/A 13898-2026 tillsynsbegäran mail.docx", "A 13898-2026")</f>
        <v/>
      </c>
    </row>
    <row r="160" ht="15" customHeight="1">
      <c r="A160" t="inlineStr">
        <is>
          <t>A 13911-2026</t>
        </is>
      </c>
      <c r="B160" s="1" t="n">
        <v>46098</v>
      </c>
      <c r="C160" s="1" t="n">
        <v>46200</v>
      </c>
      <c r="D160" t="inlineStr">
        <is>
          <t>JÄMTLANDS LÄN</t>
        </is>
      </c>
      <c r="E160" t="inlineStr">
        <is>
          <t>ÖSTERSUND</t>
        </is>
      </c>
      <c r="G160" t="n">
        <v>3.4</v>
      </c>
      <c r="H160" t="n">
        <v>1</v>
      </c>
      <c r="I160" t="n">
        <v>0</v>
      </c>
      <c r="J160" t="n">
        <v>2</v>
      </c>
      <c r="K160" t="n">
        <v>0</v>
      </c>
      <c r="L160" t="n">
        <v>0</v>
      </c>
      <c r="M160" t="n">
        <v>0</v>
      </c>
      <c r="N160" t="n">
        <v>0</v>
      </c>
      <c r="O160" t="n">
        <v>2</v>
      </c>
      <c r="P160" t="n">
        <v>0</v>
      </c>
      <c r="Q160" t="n">
        <v>2</v>
      </c>
      <c r="R160" s="2" t="inlineStr">
        <is>
          <t>Jämtlandsmaskros
Slåtterfibbla</t>
        </is>
      </c>
      <c r="S160">
        <f>HYPERLINK("https://klasma.github.io/Logging_2380/artfynd/A 13911-2026 artfynd.xlsx", "A 13911-2026")</f>
        <v/>
      </c>
      <c r="T160">
        <f>HYPERLINK("https://klasma.github.io/Logging_2380/kartor/A 13911-2026 karta.png", "A 13911-2026")</f>
        <v/>
      </c>
      <c r="V160">
        <f>HYPERLINK("https://klasma.github.io/Logging_2380/klagomål/A 13911-2026 FSC-klagomål.docx", "A 13911-2026")</f>
        <v/>
      </c>
      <c r="W160">
        <f>HYPERLINK("https://klasma.github.io/Logging_2380/klagomålsmail/A 13911-2026 FSC-klagomål mail.docx", "A 13911-2026")</f>
        <v/>
      </c>
      <c r="X160">
        <f>HYPERLINK("https://klasma.github.io/Logging_2380/tillsyn/A 13911-2026 tillsynsbegäran.docx", "A 13911-2026")</f>
        <v/>
      </c>
      <c r="Y160">
        <f>HYPERLINK("https://klasma.github.io/Logging_2380/tillsynsmail/A 13911-2026 tillsynsbegäran mail.docx", "A 13911-2026")</f>
        <v/>
      </c>
    </row>
    <row r="161" ht="15" customHeight="1">
      <c r="A161" t="inlineStr">
        <is>
          <t>A 52003-2025</t>
        </is>
      </c>
      <c r="B161" s="1" t="n">
        <v>45952</v>
      </c>
      <c r="C161" s="1" t="n">
        <v>46200</v>
      </c>
      <c r="D161" t="inlineStr">
        <is>
          <t>JÄMTLANDS LÄN</t>
        </is>
      </c>
      <c r="E161" t="inlineStr">
        <is>
          <t>ÖSTERSUND</t>
        </is>
      </c>
      <c r="G161" t="n">
        <v>5.7</v>
      </c>
      <c r="H161" t="n">
        <v>1</v>
      </c>
      <c r="I161" t="n">
        <v>0</v>
      </c>
      <c r="J161" t="n">
        <v>1</v>
      </c>
      <c r="K161" t="n">
        <v>0</v>
      </c>
      <c r="L161" t="n">
        <v>0</v>
      </c>
      <c r="M161" t="n">
        <v>0</v>
      </c>
      <c r="N161" t="n">
        <v>0</v>
      </c>
      <c r="O161" t="n">
        <v>1</v>
      </c>
      <c r="P161" t="n">
        <v>0</v>
      </c>
      <c r="Q161" t="n">
        <v>2</v>
      </c>
      <c r="R161" s="2" t="inlineStr">
        <is>
          <t>Vårärt
Blåsippa</t>
        </is>
      </c>
      <c r="S161">
        <f>HYPERLINK("https://klasma.github.io/Logging_2380/artfynd/A 52003-2025 artfynd.xlsx", "A 52003-2025")</f>
        <v/>
      </c>
      <c r="T161">
        <f>HYPERLINK("https://klasma.github.io/Logging_2380/kartor/A 52003-2025 karta.png", "A 52003-2025")</f>
        <v/>
      </c>
      <c r="V161">
        <f>HYPERLINK("https://klasma.github.io/Logging_2380/klagomål/A 52003-2025 FSC-klagomål.docx", "A 52003-2025")</f>
        <v/>
      </c>
      <c r="W161">
        <f>HYPERLINK("https://klasma.github.io/Logging_2380/klagomålsmail/A 52003-2025 FSC-klagomål mail.docx", "A 52003-2025")</f>
        <v/>
      </c>
      <c r="X161">
        <f>HYPERLINK("https://klasma.github.io/Logging_2380/tillsyn/A 52003-2025 tillsynsbegäran.docx", "A 52003-2025")</f>
        <v/>
      </c>
      <c r="Y161">
        <f>HYPERLINK("https://klasma.github.io/Logging_2380/tillsynsmail/A 52003-2025 tillsynsbegäran mail.docx", "A 52003-2025")</f>
        <v/>
      </c>
    </row>
    <row r="162" ht="15" customHeight="1">
      <c r="A162" t="inlineStr">
        <is>
          <t>A 28079-2026</t>
        </is>
      </c>
      <c r="B162" s="1" t="n">
        <v>46195</v>
      </c>
      <c r="C162" s="1" t="n">
        <v>46200</v>
      </c>
      <c r="D162" t="inlineStr">
        <is>
          <t>JÄMTLANDS LÄN</t>
        </is>
      </c>
      <c r="E162" t="inlineStr">
        <is>
          <t>ÖSTERSUND</t>
        </is>
      </c>
      <c r="G162" t="n">
        <v>8.300000000000001</v>
      </c>
      <c r="H162" t="n">
        <v>0</v>
      </c>
      <c r="I162" t="n">
        <v>0</v>
      </c>
      <c r="J162" t="n">
        <v>2</v>
      </c>
      <c r="K162" t="n">
        <v>0</v>
      </c>
      <c r="L162" t="n">
        <v>0</v>
      </c>
      <c r="M162" t="n">
        <v>0</v>
      </c>
      <c r="N162" t="n">
        <v>0</v>
      </c>
      <c r="O162" t="n">
        <v>2</v>
      </c>
      <c r="P162" t="n">
        <v>0</v>
      </c>
      <c r="Q162" t="n">
        <v>2</v>
      </c>
      <c r="R162" s="2" t="inlineStr">
        <is>
          <t>Harticka
Ullticka</t>
        </is>
      </c>
      <c r="S162">
        <f>HYPERLINK("https://klasma.github.io/Logging_2380/artfynd/A 28079-2026 artfynd.xlsx", "A 28079-2026")</f>
        <v/>
      </c>
      <c r="T162">
        <f>HYPERLINK("https://klasma.github.io/Logging_2380/kartor/A 28079-2026 karta.png", "A 28079-2026")</f>
        <v/>
      </c>
      <c r="V162">
        <f>HYPERLINK("https://klasma.github.io/Logging_2380/klagomål/A 28079-2026 FSC-klagomål.docx", "A 28079-2026")</f>
        <v/>
      </c>
      <c r="W162">
        <f>HYPERLINK("https://klasma.github.io/Logging_2380/klagomålsmail/A 28079-2026 FSC-klagomål mail.docx", "A 28079-2026")</f>
        <v/>
      </c>
      <c r="X162">
        <f>HYPERLINK("https://klasma.github.io/Logging_2380/tillsyn/A 28079-2026 tillsynsbegäran.docx", "A 28079-2026")</f>
        <v/>
      </c>
      <c r="Y162">
        <f>HYPERLINK("https://klasma.github.io/Logging_2380/tillsynsmail/A 28079-2026 tillsynsbegäran mail.docx", "A 28079-2026")</f>
        <v/>
      </c>
    </row>
    <row r="163" ht="15" customHeight="1">
      <c r="A163" t="inlineStr">
        <is>
          <t>A 28780-2026</t>
        </is>
      </c>
      <c r="B163" s="1" t="n">
        <v>46198</v>
      </c>
      <c r="C163" s="1" t="n">
        <v>46200</v>
      </c>
      <c r="D163" t="inlineStr">
        <is>
          <t>JÄMTLANDS LÄN</t>
        </is>
      </c>
      <c r="E163" t="inlineStr">
        <is>
          <t>ÖSTERSUND</t>
        </is>
      </c>
      <c r="G163" t="n">
        <v>2.8</v>
      </c>
      <c r="H163" t="n">
        <v>1</v>
      </c>
      <c r="I163" t="n">
        <v>2</v>
      </c>
      <c r="J163" t="n">
        <v>0</v>
      </c>
      <c r="K163" t="n">
        <v>0</v>
      </c>
      <c r="L163" t="n">
        <v>0</v>
      </c>
      <c r="M163" t="n">
        <v>0</v>
      </c>
      <c r="N163" t="n">
        <v>0</v>
      </c>
      <c r="O163" t="n">
        <v>0</v>
      </c>
      <c r="P163" t="n">
        <v>0</v>
      </c>
      <c r="Q163" t="n">
        <v>2</v>
      </c>
      <c r="R163" s="2" t="inlineStr">
        <is>
          <t>Grönpyrola
Plattlummer</t>
        </is>
      </c>
      <c r="S163">
        <f>HYPERLINK("https://klasma.github.io/Logging_2380/artfynd/A 28780-2026 artfynd.xlsx", "A 28780-2026")</f>
        <v/>
      </c>
      <c r="T163">
        <f>HYPERLINK("https://klasma.github.io/Logging_2380/kartor/A 28780-2026 karta.png", "A 28780-2026")</f>
        <v/>
      </c>
      <c r="V163">
        <f>HYPERLINK("https://klasma.github.io/Logging_2380/klagomål/A 28780-2026 FSC-klagomål.docx", "A 28780-2026")</f>
        <v/>
      </c>
      <c r="W163">
        <f>HYPERLINK("https://klasma.github.io/Logging_2380/klagomålsmail/A 28780-2026 FSC-klagomål mail.docx", "A 28780-2026")</f>
        <v/>
      </c>
      <c r="X163">
        <f>HYPERLINK("https://klasma.github.io/Logging_2380/tillsyn/A 28780-2026 tillsynsbegäran.docx", "A 28780-2026")</f>
        <v/>
      </c>
      <c r="Y163">
        <f>HYPERLINK("https://klasma.github.io/Logging_2380/tillsynsmail/A 28780-2026 tillsynsbegäran mail.docx", "A 28780-2026")</f>
        <v/>
      </c>
    </row>
    <row r="164" ht="15" customHeight="1">
      <c r="A164" t="inlineStr">
        <is>
          <t>A 19798-2022</t>
        </is>
      </c>
      <c r="B164" s="1" t="n">
        <v>44694</v>
      </c>
      <c r="C164" s="1" t="n">
        <v>46200</v>
      </c>
      <c r="D164" t="inlineStr">
        <is>
          <t>JÄMTLANDS LÄN</t>
        </is>
      </c>
      <c r="E164" t="inlineStr">
        <is>
          <t>ÖSTERSUND</t>
        </is>
      </c>
      <c r="F164" t="inlineStr">
        <is>
          <t>SCA</t>
        </is>
      </c>
      <c r="G164" t="n">
        <v>1</v>
      </c>
      <c r="H164" t="n">
        <v>1</v>
      </c>
      <c r="I164" t="n">
        <v>1</v>
      </c>
      <c r="J164" t="n">
        <v>0</v>
      </c>
      <c r="K164" t="n">
        <v>0</v>
      </c>
      <c r="L164" t="n">
        <v>0</v>
      </c>
      <c r="M164" t="n">
        <v>0</v>
      </c>
      <c r="N164" t="n">
        <v>0</v>
      </c>
      <c r="O164" t="n">
        <v>0</v>
      </c>
      <c r="P164" t="n">
        <v>0</v>
      </c>
      <c r="Q164" t="n">
        <v>1</v>
      </c>
      <c r="R164" s="2" t="inlineStr">
        <is>
          <t>Guckusko</t>
        </is>
      </c>
      <c r="S164">
        <f>HYPERLINK("https://klasma.github.io/Logging_2380/artfynd/A 19798-2022 artfynd.xlsx", "A 19798-2022")</f>
        <v/>
      </c>
      <c r="T164">
        <f>HYPERLINK("https://klasma.github.io/Logging_2380/kartor/A 19798-2022 karta.png", "A 19798-2022")</f>
        <v/>
      </c>
      <c r="V164">
        <f>HYPERLINK("https://klasma.github.io/Logging_2380/klagomål/A 19798-2022 FSC-klagomål.docx", "A 19798-2022")</f>
        <v/>
      </c>
      <c r="W164">
        <f>HYPERLINK("https://klasma.github.io/Logging_2380/klagomålsmail/A 19798-2022 FSC-klagomål mail.docx", "A 19798-2022")</f>
        <v/>
      </c>
      <c r="X164">
        <f>HYPERLINK("https://klasma.github.io/Logging_2380/tillsyn/A 19798-2022 tillsynsbegäran.docx", "A 19798-2022")</f>
        <v/>
      </c>
      <c r="Y164">
        <f>HYPERLINK("https://klasma.github.io/Logging_2380/tillsynsmail/A 19798-2022 tillsynsbegäran mail.docx", "A 19798-2022")</f>
        <v/>
      </c>
    </row>
    <row r="165" ht="15" customHeight="1">
      <c r="A165" t="inlineStr">
        <is>
          <t>A 33137-2021</t>
        </is>
      </c>
      <c r="B165" s="1" t="n">
        <v>44376</v>
      </c>
      <c r="C165" s="1" t="n">
        <v>46200</v>
      </c>
      <c r="D165" t="inlineStr">
        <is>
          <t>JÄMTLANDS LÄN</t>
        </is>
      </c>
      <c r="E165" t="inlineStr">
        <is>
          <t>ÖSTERSUND</t>
        </is>
      </c>
      <c r="F165" t="inlineStr">
        <is>
          <t>Kommuner</t>
        </is>
      </c>
      <c r="G165" t="n">
        <v>3.7</v>
      </c>
      <c r="H165" t="n">
        <v>1</v>
      </c>
      <c r="I165" t="n">
        <v>1</v>
      </c>
      <c r="J165" t="n">
        <v>0</v>
      </c>
      <c r="K165" t="n">
        <v>0</v>
      </c>
      <c r="L165" t="n">
        <v>0</v>
      </c>
      <c r="M165" t="n">
        <v>0</v>
      </c>
      <c r="N165" t="n">
        <v>0</v>
      </c>
      <c r="O165" t="n">
        <v>0</v>
      </c>
      <c r="P165" t="n">
        <v>0</v>
      </c>
      <c r="Q165" t="n">
        <v>1</v>
      </c>
      <c r="R165" s="2" t="inlineStr">
        <is>
          <t>Guckusko</t>
        </is>
      </c>
      <c r="S165">
        <f>HYPERLINK("https://klasma.github.io/Logging_2380/artfynd/A 33137-2021 artfynd.xlsx", "A 33137-2021")</f>
        <v/>
      </c>
      <c r="T165">
        <f>HYPERLINK("https://klasma.github.io/Logging_2380/kartor/A 33137-2021 karta.png", "A 33137-2021")</f>
        <v/>
      </c>
      <c r="V165">
        <f>HYPERLINK("https://klasma.github.io/Logging_2380/klagomål/A 33137-2021 FSC-klagomål.docx", "A 33137-2021")</f>
        <v/>
      </c>
      <c r="W165">
        <f>HYPERLINK("https://klasma.github.io/Logging_2380/klagomålsmail/A 33137-2021 FSC-klagomål mail.docx", "A 33137-2021")</f>
        <v/>
      </c>
      <c r="X165">
        <f>HYPERLINK("https://klasma.github.io/Logging_2380/tillsyn/A 33137-2021 tillsynsbegäran.docx", "A 33137-2021")</f>
        <v/>
      </c>
      <c r="Y165">
        <f>HYPERLINK("https://klasma.github.io/Logging_2380/tillsynsmail/A 33137-2021 tillsynsbegäran mail.docx", "A 33137-2021")</f>
        <v/>
      </c>
    </row>
    <row r="166" ht="15" customHeight="1">
      <c r="A166" t="inlineStr">
        <is>
          <t>A 65428-2021</t>
        </is>
      </c>
      <c r="B166" s="1" t="n">
        <v>44515</v>
      </c>
      <c r="C166" s="1" t="n">
        <v>46200</v>
      </c>
      <c r="D166" t="inlineStr">
        <is>
          <t>JÄMTLANDS LÄN</t>
        </is>
      </c>
      <c r="E166" t="inlineStr">
        <is>
          <t>ÖSTERSUND</t>
        </is>
      </c>
      <c r="F166" t="inlineStr">
        <is>
          <t>SCA</t>
        </is>
      </c>
      <c r="G166" t="n">
        <v>8.800000000000001</v>
      </c>
      <c r="H166" t="n">
        <v>0</v>
      </c>
      <c r="I166" t="n">
        <v>0</v>
      </c>
      <c r="J166" t="n">
        <v>0</v>
      </c>
      <c r="K166" t="n">
        <v>1</v>
      </c>
      <c r="L166" t="n">
        <v>0</v>
      </c>
      <c r="M166" t="n">
        <v>0</v>
      </c>
      <c r="N166" t="n">
        <v>0</v>
      </c>
      <c r="O166" t="n">
        <v>1</v>
      </c>
      <c r="P166" t="n">
        <v>1</v>
      </c>
      <c r="Q166" t="n">
        <v>1</v>
      </c>
      <c r="R166" s="2" t="inlineStr">
        <is>
          <t>Garnlav</t>
        </is>
      </c>
      <c r="S166">
        <f>HYPERLINK("https://klasma.github.io/Logging_2380/artfynd/A 65428-2021 artfynd.xlsx", "A 65428-2021")</f>
        <v/>
      </c>
      <c r="T166">
        <f>HYPERLINK("https://klasma.github.io/Logging_2380/kartor/A 65428-2021 karta.png", "A 65428-2021")</f>
        <v/>
      </c>
      <c r="V166">
        <f>HYPERLINK("https://klasma.github.io/Logging_2380/klagomål/A 65428-2021 FSC-klagomål.docx", "A 65428-2021")</f>
        <v/>
      </c>
      <c r="W166">
        <f>HYPERLINK("https://klasma.github.io/Logging_2380/klagomålsmail/A 65428-2021 FSC-klagomål mail.docx", "A 65428-2021")</f>
        <v/>
      </c>
      <c r="X166">
        <f>HYPERLINK("https://klasma.github.io/Logging_2380/tillsyn/A 65428-2021 tillsynsbegäran.docx", "A 65428-2021")</f>
        <v/>
      </c>
      <c r="Y166">
        <f>HYPERLINK("https://klasma.github.io/Logging_2380/tillsynsmail/A 65428-2021 tillsynsbegäran mail.docx", "A 65428-2021")</f>
        <v/>
      </c>
    </row>
    <row r="167" ht="15" customHeight="1">
      <c r="A167" t="inlineStr">
        <is>
          <t>A 27575-2022</t>
        </is>
      </c>
      <c r="B167" s="1" t="n">
        <v>44742</v>
      </c>
      <c r="C167" s="1" t="n">
        <v>46200</v>
      </c>
      <c r="D167" t="inlineStr">
        <is>
          <t>JÄMTLANDS LÄN</t>
        </is>
      </c>
      <c r="E167" t="inlineStr">
        <is>
          <t>ÖSTERSUND</t>
        </is>
      </c>
      <c r="F167" t="inlineStr">
        <is>
          <t>SCA</t>
        </is>
      </c>
      <c r="G167" t="n">
        <v>2.4</v>
      </c>
      <c r="H167" t="n">
        <v>1</v>
      </c>
      <c r="I167" t="n">
        <v>0</v>
      </c>
      <c r="J167" t="n">
        <v>0</v>
      </c>
      <c r="K167" t="n">
        <v>1</v>
      </c>
      <c r="L167" t="n">
        <v>0</v>
      </c>
      <c r="M167" t="n">
        <v>0</v>
      </c>
      <c r="N167" t="n">
        <v>0</v>
      </c>
      <c r="O167" t="n">
        <v>1</v>
      </c>
      <c r="P167" t="n">
        <v>1</v>
      </c>
      <c r="Q167" t="n">
        <v>1</v>
      </c>
      <c r="R167" s="2" t="inlineStr">
        <is>
          <t>Knärot</t>
        </is>
      </c>
      <c r="S167">
        <f>HYPERLINK("https://klasma.github.io/Logging_2380/artfynd/A 27575-2022 artfynd.xlsx", "A 27575-2022")</f>
        <v/>
      </c>
      <c r="T167">
        <f>HYPERLINK("https://klasma.github.io/Logging_2380/kartor/A 27575-2022 karta.png", "A 27575-2022")</f>
        <v/>
      </c>
      <c r="U167">
        <f>HYPERLINK("https://klasma.github.io/Logging_2380/knärot/A 27575-2022 karta knärot.png", "A 27575-2022")</f>
        <v/>
      </c>
      <c r="V167">
        <f>HYPERLINK("https://klasma.github.io/Logging_2380/klagomål/A 27575-2022 FSC-klagomål.docx", "A 27575-2022")</f>
        <v/>
      </c>
      <c r="W167">
        <f>HYPERLINK("https://klasma.github.io/Logging_2380/klagomålsmail/A 27575-2022 FSC-klagomål mail.docx", "A 27575-2022")</f>
        <v/>
      </c>
      <c r="X167">
        <f>HYPERLINK("https://klasma.github.io/Logging_2380/tillsyn/A 27575-2022 tillsynsbegäran.docx", "A 27575-2022")</f>
        <v/>
      </c>
      <c r="Y167">
        <f>HYPERLINK("https://klasma.github.io/Logging_2380/tillsynsmail/A 27575-2022 tillsynsbegäran mail.docx", "A 27575-2022")</f>
        <v/>
      </c>
    </row>
    <row r="168" ht="15" customHeight="1">
      <c r="A168" t="inlineStr">
        <is>
          <t>A 2627-2024</t>
        </is>
      </c>
      <c r="B168" s="1" t="n">
        <v>45313</v>
      </c>
      <c r="C168" s="1" t="n">
        <v>46200</v>
      </c>
      <c r="D168" t="inlineStr">
        <is>
          <t>JÄMTLANDS LÄN</t>
        </is>
      </c>
      <c r="E168" t="inlineStr">
        <is>
          <t>ÖSTERSUND</t>
        </is>
      </c>
      <c r="F168" t="inlineStr">
        <is>
          <t>SCA</t>
        </is>
      </c>
      <c r="G168" t="n">
        <v>2.3</v>
      </c>
      <c r="H168" t="n">
        <v>0</v>
      </c>
      <c r="I168" t="n">
        <v>0</v>
      </c>
      <c r="J168" t="n">
        <v>1</v>
      </c>
      <c r="K168" t="n">
        <v>0</v>
      </c>
      <c r="L168" t="n">
        <v>0</v>
      </c>
      <c r="M168" t="n">
        <v>0</v>
      </c>
      <c r="N168" t="n">
        <v>0</v>
      </c>
      <c r="O168" t="n">
        <v>1</v>
      </c>
      <c r="P168" t="n">
        <v>0</v>
      </c>
      <c r="Q168" t="n">
        <v>1</v>
      </c>
      <c r="R168" s="2" t="inlineStr">
        <is>
          <t>Lunglav</t>
        </is>
      </c>
      <c r="S168">
        <f>HYPERLINK("https://klasma.github.io/Logging_2380/artfynd/A 2627-2024 artfynd.xlsx", "A 2627-2024")</f>
        <v/>
      </c>
      <c r="T168">
        <f>HYPERLINK("https://klasma.github.io/Logging_2380/kartor/A 2627-2024 karta.png", "A 2627-2024")</f>
        <v/>
      </c>
      <c r="V168">
        <f>HYPERLINK("https://klasma.github.io/Logging_2380/klagomål/A 2627-2024 FSC-klagomål.docx", "A 2627-2024")</f>
        <v/>
      </c>
      <c r="W168">
        <f>HYPERLINK("https://klasma.github.io/Logging_2380/klagomålsmail/A 2627-2024 FSC-klagomål mail.docx", "A 2627-2024")</f>
        <v/>
      </c>
      <c r="X168">
        <f>HYPERLINK("https://klasma.github.io/Logging_2380/tillsyn/A 2627-2024 tillsynsbegäran.docx", "A 2627-2024")</f>
        <v/>
      </c>
      <c r="Y168">
        <f>HYPERLINK("https://klasma.github.io/Logging_2380/tillsynsmail/A 2627-2024 tillsynsbegäran mail.docx", "A 2627-2024")</f>
        <v/>
      </c>
    </row>
    <row r="169" ht="15" customHeight="1">
      <c r="A169" t="inlineStr">
        <is>
          <t>A 5145-2022</t>
        </is>
      </c>
      <c r="B169" s="1" t="n">
        <v>44594</v>
      </c>
      <c r="C169" s="1" t="n">
        <v>46200</v>
      </c>
      <c r="D169" t="inlineStr">
        <is>
          <t>JÄMTLANDS LÄN</t>
        </is>
      </c>
      <c r="E169" t="inlineStr">
        <is>
          <t>ÖSTERSUND</t>
        </is>
      </c>
      <c r="G169" t="n">
        <v>2.6</v>
      </c>
      <c r="H169" t="n">
        <v>1</v>
      </c>
      <c r="I169" t="n">
        <v>1</v>
      </c>
      <c r="J169" t="n">
        <v>0</v>
      </c>
      <c r="K169" t="n">
        <v>0</v>
      </c>
      <c r="L169" t="n">
        <v>0</v>
      </c>
      <c r="M169" t="n">
        <v>0</v>
      </c>
      <c r="N169" t="n">
        <v>0</v>
      </c>
      <c r="O169" t="n">
        <v>0</v>
      </c>
      <c r="P169" t="n">
        <v>0</v>
      </c>
      <c r="Q169" t="n">
        <v>1</v>
      </c>
      <c r="R169" s="2" t="inlineStr">
        <is>
          <t>Tvåblad</t>
        </is>
      </c>
      <c r="S169">
        <f>HYPERLINK("https://klasma.github.io/Logging_2380/artfynd/A 5145-2022 artfynd.xlsx", "A 5145-2022")</f>
        <v/>
      </c>
      <c r="T169">
        <f>HYPERLINK("https://klasma.github.io/Logging_2380/kartor/A 5145-2022 karta.png", "A 5145-2022")</f>
        <v/>
      </c>
      <c r="V169">
        <f>HYPERLINK("https://klasma.github.io/Logging_2380/klagomål/A 5145-2022 FSC-klagomål.docx", "A 5145-2022")</f>
        <v/>
      </c>
      <c r="W169">
        <f>HYPERLINK("https://klasma.github.io/Logging_2380/klagomålsmail/A 5145-2022 FSC-klagomål mail.docx", "A 5145-2022")</f>
        <v/>
      </c>
      <c r="X169">
        <f>HYPERLINK("https://klasma.github.io/Logging_2380/tillsyn/A 5145-2022 tillsynsbegäran.docx", "A 5145-2022")</f>
        <v/>
      </c>
      <c r="Y169">
        <f>HYPERLINK("https://klasma.github.io/Logging_2380/tillsynsmail/A 5145-2022 tillsynsbegäran mail.docx", "A 5145-2022")</f>
        <v/>
      </c>
    </row>
    <row r="170" ht="15" customHeight="1">
      <c r="A170" t="inlineStr">
        <is>
          <t>A 3122-2025</t>
        </is>
      </c>
      <c r="B170" s="1" t="n">
        <v>45678</v>
      </c>
      <c r="C170" s="1" t="n">
        <v>46200</v>
      </c>
      <c r="D170" t="inlineStr">
        <is>
          <t>JÄMTLANDS LÄN</t>
        </is>
      </c>
      <c r="E170" t="inlineStr">
        <is>
          <t>ÖSTERSUND</t>
        </is>
      </c>
      <c r="G170" t="n">
        <v>1.3</v>
      </c>
      <c r="H170" t="n">
        <v>0</v>
      </c>
      <c r="I170" t="n">
        <v>1</v>
      </c>
      <c r="J170" t="n">
        <v>0</v>
      </c>
      <c r="K170" t="n">
        <v>0</v>
      </c>
      <c r="L170" t="n">
        <v>0</v>
      </c>
      <c r="M170" t="n">
        <v>0</v>
      </c>
      <c r="N170" t="n">
        <v>0</v>
      </c>
      <c r="O170" t="n">
        <v>0</v>
      </c>
      <c r="P170" t="n">
        <v>0</v>
      </c>
      <c r="Q170" t="n">
        <v>1</v>
      </c>
      <c r="R170" s="2" t="inlineStr">
        <is>
          <t>Stor aspticka</t>
        </is>
      </c>
      <c r="S170">
        <f>HYPERLINK("https://klasma.github.io/Logging_2380/artfynd/A 3122-2025 artfynd.xlsx", "A 3122-2025")</f>
        <v/>
      </c>
      <c r="T170">
        <f>HYPERLINK("https://klasma.github.io/Logging_2380/kartor/A 3122-2025 karta.png", "A 3122-2025")</f>
        <v/>
      </c>
      <c r="V170">
        <f>HYPERLINK("https://klasma.github.io/Logging_2380/klagomål/A 3122-2025 FSC-klagomål.docx", "A 3122-2025")</f>
        <v/>
      </c>
      <c r="W170">
        <f>HYPERLINK("https://klasma.github.io/Logging_2380/klagomålsmail/A 3122-2025 FSC-klagomål mail.docx", "A 3122-2025")</f>
        <v/>
      </c>
      <c r="X170">
        <f>HYPERLINK("https://klasma.github.io/Logging_2380/tillsyn/A 3122-2025 tillsynsbegäran.docx", "A 3122-2025")</f>
        <v/>
      </c>
      <c r="Y170">
        <f>HYPERLINK("https://klasma.github.io/Logging_2380/tillsynsmail/A 3122-2025 tillsynsbegäran mail.docx", "A 3122-2025")</f>
        <v/>
      </c>
    </row>
    <row r="171" ht="15" customHeight="1">
      <c r="A171" t="inlineStr">
        <is>
          <t>A 12946-2022</t>
        </is>
      </c>
      <c r="B171" s="1" t="n">
        <v>44642</v>
      </c>
      <c r="C171" s="1" t="n">
        <v>46200</v>
      </c>
      <c r="D171" t="inlineStr">
        <is>
          <t>JÄMTLANDS LÄN</t>
        </is>
      </c>
      <c r="E171" t="inlineStr">
        <is>
          <t>ÖSTERSUND</t>
        </is>
      </c>
      <c r="F171" t="inlineStr">
        <is>
          <t>SCA</t>
        </is>
      </c>
      <c r="G171" t="n">
        <v>0.9</v>
      </c>
      <c r="H171" t="n">
        <v>0</v>
      </c>
      <c r="I171" t="n">
        <v>1</v>
      </c>
      <c r="J171" t="n">
        <v>0</v>
      </c>
      <c r="K171" t="n">
        <v>0</v>
      </c>
      <c r="L171" t="n">
        <v>0</v>
      </c>
      <c r="M171" t="n">
        <v>0</v>
      </c>
      <c r="N171" t="n">
        <v>0</v>
      </c>
      <c r="O171" t="n">
        <v>0</v>
      </c>
      <c r="P171" t="n">
        <v>0</v>
      </c>
      <c r="Q171" t="n">
        <v>1</v>
      </c>
      <c r="R171" s="2" t="inlineStr">
        <is>
          <t>Svart trolldruva</t>
        </is>
      </c>
      <c r="S171">
        <f>HYPERLINK("https://klasma.github.io/Logging_2380/artfynd/A 12946-2022 artfynd.xlsx", "A 12946-2022")</f>
        <v/>
      </c>
      <c r="T171">
        <f>HYPERLINK("https://klasma.github.io/Logging_2380/kartor/A 12946-2022 karta.png", "A 12946-2022")</f>
        <v/>
      </c>
      <c r="V171">
        <f>HYPERLINK("https://klasma.github.io/Logging_2380/klagomål/A 12946-2022 FSC-klagomål.docx", "A 12946-2022")</f>
        <v/>
      </c>
      <c r="W171">
        <f>HYPERLINK("https://klasma.github.io/Logging_2380/klagomålsmail/A 12946-2022 FSC-klagomål mail.docx", "A 12946-2022")</f>
        <v/>
      </c>
      <c r="X171">
        <f>HYPERLINK("https://klasma.github.io/Logging_2380/tillsyn/A 12946-2022 tillsynsbegäran.docx", "A 12946-2022")</f>
        <v/>
      </c>
      <c r="Y171">
        <f>HYPERLINK("https://klasma.github.io/Logging_2380/tillsynsmail/A 12946-2022 tillsynsbegäran mail.docx", "A 12946-2022")</f>
        <v/>
      </c>
    </row>
    <row r="172" ht="15" customHeight="1">
      <c r="A172" t="inlineStr">
        <is>
          <t>A 56201-2024</t>
        </is>
      </c>
      <c r="B172" s="1" t="n">
        <v>45624</v>
      </c>
      <c r="C172" s="1" t="n">
        <v>46200</v>
      </c>
      <c r="D172" t="inlineStr">
        <is>
          <t>JÄMTLANDS LÄN</t>
        </is>
      </c>
      <c r="E172" t="inlineStr">
        <is>
          <t>ÖSTERSUND</t>
        </is>
      </c>
      <c r="F172" t="inlineStr">
        <is>
          <t>SCA</t>
        </is>
      </c>
      <c r="G172" t="n">
        <v>5.9</v>
      </c>
      <c r="H172" t="n">
        <v>1</v>
      </c>
      <c r="I172" t="n">
        <v>0</v>
      </c>
      <c r="J172" t="n">
        <v>0</v>
      </c>
      <c r="K172" t="n">
        <v>1</v>
      </c>
      <c r="L172" t="n">
        <v>0</v>
      </c>
      <c r="M172" t="n">
        <v>0</v>
      </c>
      <c r="N172" t="n">
        <v>0</v>
      </c>
      <c r="O172" t="n">
        <v>1</v>
      </c>
      <c r="P172" t="n">
        <v>1</v>
      </c>
      <c r="Q172" t="n">
        <v>1</v>
      </c>
      <c r="R172" s="2" t="inlineStr">
        <is>
          <t>Doftticka</t>
        </is>
      </c>
      <c r="S172">
        <f>HYPERLINK("https://klasma.github.io/Logging_2380/artfynd/A 56201-2024 artfynd.xlsx", "A 56201-2024")</f>
        <v/>
      </c>
      <c r="T172">
        <f>HYPERLINK("https://klasma.github.io/Logging_2380/kartor/A 56201-2024 karta.png", "A 56201-2024")</f>
        <v/>
      </c>
      <c r="V172">
        <f>HYPERLINK("https://klasma.github.io/Logging_2380/klagomål/A 56201-2024 FSC-klagomål.docx", "A 56201-2024")</f>
        <v/>
      </c>
      <c r="W172">
        <f>HYPERLINK("https://klasma.github.io/Logging_2380/klagomålsmail/A 56201-2024 FSC-klagomål mail.docx", "A 56201-2024")</f>
        <v/>
      </c>
      <c r="X172">
        <f>HYPERLINK("https://klasma.github.io/Logging_2380/tillsyn/A 56201-2024 tillsynsbegäran.docx", "A 56201-2024")</f>
        <v/>
      </c>
      <c r="Y172">
        <f>HYPERLINK("https://klasma.github.io/Logging_2380/tillsynsmail/A 56201-2024 tillsynsbegäran mail.docx", "A 56201-2024")</f>
        <v/>
      </c>
    </row>
    <row r="173" ht="15" customHeight="1">
      <c r="A173" t="inlineStr">
        <is>
          <t>A 27578-2022</t>
        </is>
      </c>
      <c r="B173" s="1" t="n">
        <v>44742</v>
      </c>
      <c r="C173" s="1" t="n">
        <v>46200</v>
      </c>
      <c r="D173" t="inlineStr">
        <is>
          <t>JÄMTLANDS LÄN</t>
        </is>
      </c>
      <c r="E173" t="inlineStr">
        <is>
          <t>ÖSTERSUND</t>
        </is>
      </c>
      <c r="F173" t="inlineStr">
        <is>
          <t>SCA</t>
        </is>
      </c>
      <c r="G173" t="n">
        <v>2</v>
      </c>
      <c r="H173" t="n">
        <v>1</v>
      </c>
      <c r="I173" t="n">
        <v>0</v>
      </c>
      <c r="J173" t="n">
        <v>0</v>
      </c>
      <c r="K173" t="n">
        <v>0</v>
      </c>
      <c r="L173" t="n">
        <v>0</v>
      </c>
      <c r="M173" t="n">
        <v>0</v>
      </c>
      <c r="N173" t="n">
        <v>0</v>
      </c>
      <c r="O173" t="n">
        <v>0</v>
      </c>
      <c r="P173" t="n">
        <v>0</v>
      </c>
      <c r="Q173" t="n">
        <v>1</v>
      </c>
      <c r="R173" s="2" t="inlineStr">
        <is>
          <t>Blåsippa</t>
        </is>
      </c>
      <c r="S173">
        <f>HYPERLINK("https://klasma.github.io/Logging_2380/artfynd/A 27578-2022 artfynd.xlsx", "A 27578-2022")</f>
        <v/>
      </c>
      <c r="T173">
        <f>HYPERLINK("https://klasma.github.io/Logging_2380/kartor/A 27578-2022 karta.png", "A 27578-2022")</f>
        <v/>
      </c>
      <c r="V173">
        <f>HYPERLINK("https://klasma.github.io/Logging_2380/klagomål/A 27578-2022 FSC-klagomål.docx", "A 27578-2022")</f>
        <v/>
      </c>
      <c r="W173">
        <f>HYPERLINK("https://klasma.github.io/Logging_2380/klagomålsmail/A 27578-2022 FSC-klagomål mail.docx", "A 27578-2022")</f>
        <v/>
      </c>
      <c r="X173">
        <f>HYPERLINK("https://klasma.github.io/Logging_2380/tillsyn/A 27578-2022 tillsynsbegäran.docx", "A 27578-2022")</f>
        <v/>
      </c>
      <c r="Y173">
        <f>HYPERLINK("https://klasma.github.io/Logging_2380/tillsynsmail/A 27578-2022 tillsynsbegäran mail.docx", "A 27578-2022")</f>
        <v/>
      </c>
    </row>
    <row r="174" ht="15" customHeight="1">
      <c r="A174" t="inlineStr">
        <is>
          <t>A 4311-2025</t>
        </is>
      </c>
      <c r="B174" s="1" t="n">
        <v>45685</v>
      </c>
      <c r="C174" s="1" t="n">
        <v>46200</v>
      </c>
      <c r="D174" t="inlineStr">
        <is>
          <t>JÄMTLANDS LÄN</t>
        </is>
      </c>
      <c r="E174" t="inlineStr">
        <is>
          <t>ÖSTERSUND</t>
        </is>
      </c>
      <c r="G174" t="n">
        <v>0.7</v>
      </c>
      <c r="H174" t="n">
        <v>0</v>
      </c>
      <c r="I174" t="n">
        <v>0</v>
      </c>
      <c r="J174" t="n">
        <v>1</v>
      </c>
      <c r="K174" t="n">
        <v>0</v>
      </c>
      <c r="L174" t="n">
        <v>0</v>
      </c>
      <c r="M174" t="n">
        <v>0</v>
      </c>
      <c r="N174" t="n">
        <v>0</v>
      </c>
      <c r="O174" t="n">
        <v>1</v>
      </c>
      <c r="P174" t="n">
        <v>0</v>
      </c>
      <c r="Q174" t="n">
        <v>1</v>
      </c>
      <c r="R174" s="2" t="inlineStr">
        <is>
          <t>Åsstarr</t>
        </is>
      </c>
      <c r="S174">
        <f>HYPERLINK("https://klasma.github.io/Logging_2380/artfynd/A 4311-2025 artfynd.xlsx", "A 4311-2025")</f>
        <v/>
      </c>
      <c r="T174">
        <f>HYPERLINK("https://klasma.github.io/Logging_2380/kartor/A 4311-2025 karta.png", "A 4311-2025")</f>
        <v/>
      </c>
      <c r="V174">
        <f>HYPERLINK("https://klasma.github.io/Logging_2380/klagomål/A 4311-2025 FSC-klagomål.docx", "A 4311-2025")</f>
        <v/>
      </c>
      <c r="W174">
        <f>HYPERLINK("https://klasma.github.io/Logging_2380/klagomålsmail/A 4311-2025 FSC-klagomål mail.docx", "A 4311-2025")</f>
        <v/>
      </c>
      <c r="X174">
        <f>HYPERLINK("https://klasma.github.io/Logging_2380/tillsyn/A 4311-2025 tillsynsbegäran.docx", "A 4311-2025")</f>
        <v/>
      </c>
      <c r="Y174">
        <f>HYPERLINK("https://klasma.github.io/Logging_2380/tillsynsmail/A 4311-2025 tillsynsbegäran mail.docx", "A 4311-2025")</f>
        <v/>
      </c>
    </row>
    <row r="175" ht="15" customHeight="1">
      <c r="A175" t="inlineStr">
        <is>
          <t>A 28980-2023</t>
        </is>
      </c>
      <c r="B175" s="1" t="n">
        <v>45096</v>
      </c>
      <c r="C175" s="1" t="n">
        <v>46200</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59108-2024</t>
        </is>
      </c>
      <c r="B176" s="1" t="n">
        <v>45637</v>
      </c>
      <c r="C176" s="1" t="n">
        <v>46200</v>
      </c>
      <c r="D176" t="inlineStr">
        <is>
          <t>JÄMTLANDS LÄN</t>
        </is>
      </c>
      <c r="E176" t="inlineStr">
        <is>
          <t>ÖSTERSUND</t>
        </is>
      </c>
      <c r="F176" t="inlineStr">
        <is>
          <t>SCA</t>
        </is>
      </c>
      <c r="G176" t="n">
        <v>10.6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59108-2024 artfynd.xlsx", "A 59108-2024")</f>
        <v/>
      </c>
      <c r="T176">
        <f>HYPERLINK("https://klasma.github.io/Logging_2380/kartor/A 59108-2024 karta.png", "A 59108-2024")</f>
        <v/>
      </c>
      <c r="V176">
        <f>HYPERLINK("https://klasma.github.io/Logging_2380/klagomål/A 59108-2024 FSC-klagomål.docx", "A 59108-2024")</f>
        <v/>
      </c>
      <c r="W176">
        <f>HYPERLINK("https://klasma.github.io/Logging_2380/klagomålsmail/A 59108-2024 FSC-klagomål mail.docx", "A 59108-2024")</f>
        <v/>
      </c>
      <c r="X176">
        <f>HYPERLINK("https://klasma.github.io/Logging_2380/tillsyn/A 59108-2024 tillsynsbegäran.docx", "A 59108-2024")</f>
        <v/>
      </c>
      <c r="Y176">
        <f>HYPERLINK("https://klasma.github.io/Logging_2380/tillsynsmail/A 59108-2024 tillsynsbegäran mail.docx", "A 59108-2024")</f>
        <v/>
      </c>
      <c r="Z176">
        <f>HYPERLINK("https://klasma.github.io/Logging_2380/fåglar/A 59108-2024 prioriterade fågelarter.docx", "A 59108-2024")</f>
        <v/>
      </c>
    </row>
    <row r="177" ht="15" customHeight="1">
      <c r="A177" t="inlineStr">
        <is>
          <t>A 51865-2024</t>
        </is>
      </c>
      <c r="B177" s="1" t="n">
        <v>45607</v>
      </c>
      <c r="C177" s="1" t="n">
        <v>46200</v>
      </c>
      <c r="D177" t="inlineStr">
        <is>
          <t>JÄMTLANDS LÄN</t>
        </is>
      </c>
      <c r="E177" t="inlineStr">
        <is>
          <t>ÖSTERSUND</t>
        </is>
      </c>
      <c r="F177" t="inlineStr">
        <is>
          <t>SCA</t>
        </is>
      </c>
      <c r="G177" t="n">
        <v>5.4</v>
      </c>
      <c r="H177" t="n">
        <v>0</v>
      </c>
      <c r="I177" t="n">
        <v>0</v>
      </c>
      <c r="J177" t="n">
        <v>1</v>
      </c>
      <c r="K177" t="n">
        <v>0</v>
      </c>
      <c r="L177" t="n">
        <v>0</v>
      </c>
      <c r="M177" t="n">
        <v>0</v>
      </c>
      <c r="N177" t="n">
        <v>0</v>
      </c>
      <c r="O177" t="n">
        <v>1</v>
      </c>
      <c r="P177" t="n">
        <v>0</v>
      </c>
      <c r="Q177" t="n">
        <v>1</v>
      </c>
      <c r="R177" s="2" t="inlineStr">
        <is>
          <t>Ullticka</t>
        </is>
      </c>
      <c r="S177">
        <f>HYPERLINK("https://klasma.github.io/Logging_2380/artfynd/A 51865-2024 artfynd.xlsx", "A 51865-2024")</f>
        <v/>
      </c>
      <c r="T177">
        <f>HYPERLINK("https://klasma.github.io/Logging_2380/kartor/A 51865-2024 karta.png", "A 51865-2024")</f>
        <v/>
      </c>
      <c r="V177">
        <f>HYPERLINK("https://klasma.github.io/Logging_2380/klagomål/A 51865-2024 FSC-klagomål.docx", "A 51865-2024")</f>
        <v/>
      </c>
      <c r="W177">
        <f>HYPERLINK("https://klasma.github.io/Logging_2380/klagomålsmail/A 51865-2024 FSC-klagomål mail.docx", "A 51865-2024")</f>
        <v/>
      </c>
      <c r="X177">
        <f>HYPERLINK("https://klasma.github.io/Logging_2380/tillsyn/A 51865-2024 tillsynsbegäran.docx", "A 51865-2024")</f>
        <v/>
      </c>
      <c r="Y177">
        <f>HYPERLINK("https://klasma.github.io/Logging_2380/tillsynsmail/A 51865-2024 tillsynsbegäran mail.docx", "A 51865-2024")</f>
        <v/>
      </c>
    </row>
    <row r="178" ht="15" customHeight="1">
      <c r="A178" t="inlineStr">
        <is>
          <t>A 3255-2025</t>
        </is>
      </c>
      <c r="B178" s="1" t="n">
        <v>45679</v>
      </c>
      <c r="C178" s="1" t="n">
        <v>46200</v>
      </c>
      <c r="D178" t="inlineStr">
        <is>
          <t>JÄMTLANDS LÄN</t>
        </is>
      </c>
      <c r="E178" t="inlineStr">
        <is>
          <t>ÖSTERSUND</t>
        </is>
      </c>
      <c r="F178" t="inlineStr">
        <is>
          <t>SCA</t>
        </is>
      </c>
      <c r="G178" t="n">
        <v>16.7</v>
      </c>
      <c r="H178" t="n">
        <v>0</v>
      </c>
      <c r="I178" t="n">
        <v>0</v>
      </c>
      <c r="J178" t="n">
        <v>1</v>
      </c>
      <c r="K178" t="n">
        <v>0</v>
      </c>
      <c r="L178" t="n">
        <v>0</v>
      </c>
      <c r="M178" t="n">
        <v>0</v>
      </c>
      <c r="N178" t="n">
        <v>0</v>
      </c>
      <c r="O178" t="n">
        <v>1</v>
      </c>
      <c r="P178" t="n">
        <v>0</v>
      </c>
      <c r="Q178" t="n">
        <v>1</v>
      </c>
      <c r="R178" s="2" t="inlineStr">
        <is>
          <t>Harticka</t>
        </is>
      </c>
      <c r="S178">
        <f>HYPERLINK("https://klasma.github.io/Logging_2380/artfynd/A 3255-2025 artfynd.xlsx", "A 3255-2025")</f>
        <v/>
      </c>
      <c r="T178">
        <f>HYPERLINK("https://klasma.github.io/Logging_2380/kartor/A 3255-2025 karta.png", "A 3255-2025")</f>
        <v/>
      </c>
      <c r="V178">
        <f>HYPERLINK("https://klasma.github.io/Logging_2380/klagomål/A 3255-2025 FSC-klagomål.docx", "A 3255-2025")</f>
        <v/>
      </c>
      <c r="W178">
        <f>HYPERLINK("https://klasma.github.io/Logging_2380/klagomålsmail/A 3255-2025 FSC-klagomål mail.docx", "A 3255-2025")</f>
        <v/>
      </c>
      <c r="X178">
        <f>HYPERLINK("https://klasma.github.io/Logging_2380/tillsyn/A 3255-2025 tillsynsbegäran.docx", "A 3255-2025")</f>
        <v/>
      </c>
      <c r="Y178">
        <f>HYPERLINK("https://klasma.github.io/Logging_2380/tillsynsmail/A 3255-2025 tillsynsbegäran mail.docx", "A 3255-2025")</f>
        <v/>
      </c>
    </row>
    <row r="179" ht="15" customHeight="1">
      <c r="A179" t="inlineStr">
        <is>
          <t>A 55821-2021</t>
        </is>
      </c>
      <c r="B179" s="1" t="n">
        <v>44476</v>
      </c>
      <c r="C179" s="1" t="n">
        <v>46200</v>
      </c>
      <c r="D179" t="inlineStr">
        <is>
          <t>JÄMTLANDS LÄN</t>
        </is>
      </c>
      <c r="E179" t="inlineStr">
        <is>
          <t>ÖSTERSUND</t>
        </is>
      </c>
      <c r="G179" t="n">
        <v>7.2</v>
      </c>
      <c r="H179" t="n">
        <v>0</v>
      </c>
      <c r="I179" t="n">
        <v>0</v>
      </c>
      <c r="J179" t="n">
        <v>1</v>
      </c>
      <c r="K179" t="n">
        <v>0</v>
      </c>
      <c r="L179" t="n">
        <v>0</v>
      </c>
      <c r="M179" t="n">
        <v>0</v>
      </c>
      <c r="N179" t="n">
        <v>0</v>
      </c>
      <c r="O179" t="n">
        <v>1</v>
      </c>
      <c r="P179" t="n">
        <v>0</v>
      </c>
      <c r="Q179" t="n">
        <v>1</v>
      </c>
      <c r="R179" s="2" t="inlineStr">
        <is>
          <t>Harticka</t>
        </is>
      </c>
      <c r="S179">
        <f>HYPERLINK("https://klasma.github.io/Logging_2380/artfynd/A 55821-2021 artfynd.xlsx", "A 55821-2021")</f>
        <v/>
      </c>
      <c r="T179">
        <f>HYPERLINK("https://klasma.github.io/Logging_2380/kartor/A 55821-2021 karta.png", "A 55821-2021")</f>
        <v/>
      </c>
      <c r="V179">
        <f>HYPERLINK("https://klasma.github.io/Logging_2380/klagomål/A 55821-2021 FSC-klagomål.docx", "A 55821-2021")</f>
        <v/>
      </c>
      <c r="W179">
        <f>HYPERLINK("https://klasma.github.io/Logging_2380/klagomålsmail/A 55821-2021 FSC-klagomål mail.docx", "A 55821-2021")</f>
        <v/>
      </c>
      <c r="X179">
        <f>HYPERLINK("https://klasma.github.io/Logging_2380/tillsyn/A 55821-2021 tillsynsbegäran.docx", "A 55821-2021")</f>
        <v/>
      </c>
      <c r="Y179">
        <f>HYPERLINK("https://klasma.github.io/Logging_2380/tillsynsmail/A 55821-2021 tillsynsbegäran mail.docx", "A 55821-2021")</f>
        <v/>
      </c>
    </row>
    <row r="180" ht="15" customHeight="1">
      <c r="A180" t="inlineStr">
        <is>
          <t>A 54354-2024</t>
        </is>
      </c>
      <c r="B180" s="1" t="n">
        <v>45617</v>
      </c>
      <c r="C180" s="1" t="n">
        <v>46200</v>
      </c>
      <c r="D180" t="inlineStr">
        <is>
          <t>JÄMTLANDS LÄN</t>
        </is>
      </c>
      <c r="E180" t="inlineStr">
        <is>
          <t>ÖSTERSUND</t>
        </is>
      </c>
      <c r="G180" t="n">
        <v>7</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54354-2024 artfynd.xlsx", "A 54354-2024")</f>
        <v/>
      </c>
      <c r="T180">
        <f>HYPERLINK("https://klasma.github.io/Logging_2380/kartor/A 54354-2024 karta.png", "A 54354-2024")</f>
        <v/>
      </c>
      <c r="V180">
        <f>HYPERLINK("https://klasma.github.io/Logging_2380/klagomål/A 54354-2024 FSC-klagomål.docx", "A 54354-2024")</f>
        <v/>
      </c>
      <c r="W180">
        <f>HYPERLINK("https://klasma.github.io/Logging_2380/klagomålsmail/A 54354-2024 FSC-klagomål mail.docx", "A 54354-2024")</f>
        <v/>
      </c>
      <c r="X180">
        <f>HYPERLINK("https://klasma.github.io/Logging_2380/tillsyn/A 54354-2024 tillsynsbegäran.docx", "A 54354-2024")</f>
        <v/>
      </c>
      <c r="Y180">
        <f>HYPERLINK("https://klasma.github.io/Logging_2380/tillsynsmail/A 54354-2024 tillsynsbegäran mail.docx", "A 54354-2024")</f>
        <v/>
      </c>
      <c r="Z180">
        <f>HYPERLINK("https://klasma.github.io/Logging_2380/fåglar/A 54354-2024 prioriterade fågelarter.docx", "A 54354-2024")</f>
        <v/>
      </c>
    </row>
    <row r="181" ht="15" customHeight="1">
      <c r="A181" t="inlineStr">
        <is>
          <t>A 61451-2024</t>
        </is>
      </c>
      <c r="B181" s="1" t="n">
        <v>45646</v>
      </c>
      <c r="C181" s="1" t="n">
        <v>46200</v>
      </c>
      <c r="D181" t="inlineStr">
        <is>
          <t>JÄMTLANDS LÄN</t>
        </is>
      </c>
      <c r="E181" t="inlineStr">
        <is>
          <t>ÖSTERSUND</t>
        </is>
      </c>
      <c r="F181" t="inlineStr">
        <is>
          <t>SCA</t>
        </is>
      </c>
      <c r="G181" t="n">
        <v>2.4</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61451-2024 artfynd.xlsx", "A 61451-2024")</f>
        <v/>
      </c>
      <c r="T181">
        <f>HYPERLINK("https://klasma.github.io/Logging_2380/kartor/A 61451-2024 karta.png", "A 61451-2024")</f>
        <v/>
      </c>
      <c r="V181">
        <f>HYPERLINK("https://klasma.github.io/Logging_2380/klagomål/A 61451-2024 FSC-klagomål.docx", "A 61451-2024")</f>
        <v/>
      </c>
      <c r="W181">
        <f>HYPERLINK("https://klasma.github.io/Logging_2380/klagomålsmail/A 61451-2024 FSC-klagomål mail.docx", "A 61451-2024")</f>
        <v/>
      </c>
      <c r="X181">
        <f>HYPERLINK("https://klasma.github.io/Logging_2380/tillsyn/A 61451-2024 tillsynsbegäran.docx", "A 61451-2024")</f>
        <v/>
      </c>
      <c r="Y181">
        <f>HYPERLINK("https://klasma.github.io/Logging_2380/tillsynsmail/A 61451-2024 tillsynsbegäran mail.docx", "A 61451-2024")</f>
        <v/>
      </c>
      <c r="Z181">
        <f>HYPERLINK("https://klasma.github.io/Logging_2380/fåglar/A 61451-2024 prioriterade fågelarter.docx", "A 61451-2024")</f>
        <v/>
      </c>
    </row>
    <row r="182" ht="15" customHeight="1">
      <c r="A182" t="inlineStr">
        <is>
          <t>A 52128-2023</t>
        </is>
      </c>
      <c r="B182" s="1" t="n">
        <v>45223</v>
      </c>
      <c r="C182" s="1" t="n">
        <v>46200</v>
      </c>
      <c r="D182" t="inlineStr">
        <is>
          <t>JÄMTLANDS LÄN</t>
        </is>
      </c>
      <c r="E182" t="inlineStr">
        <is>
          <t>ÖSTERSUND</t>
        </is>
      </c>
      <c r="F182" t="inlineStr">
        <is>
          <t>SCA</t>
        </is>
      </c>
      <c r="G182" t="n">
        <v>11.9</v>
      </c>
      <c r="H182" t="n">
        <v>0</v>
      </c>
      <c r="I182" t="n">
        <v>0</v>
      </c>
      <c r="J182" t="n">
        <v>0</v>
      </c>
      <c r="K182" t="n">
        <v>1</v>
      </c>
      <c r="L182" t="n">
        <v>0</v>
      </c>
      <c r="M182" t="n">
        <v>0</v>
      </c>
      <c r="N182" t="n">
        <v>0</v>
      </c>
      <c r="O182" t="n">
        <v>1</v>
      </c>
      <c r="P182" t="n">
        <v>1</v>
      </c>
      <c r="Q182" t="n">
        <v>1</v>
      </c>
      <c r="R182" s="2" t="inlineStr">
        <is>
          <t>Fläckporing</t>
        </is>
      </c>
      <c r="S182">
        <f>HYPERLINK("https://klasma.github.io/Logging_2380/artfynd/A 52128-2023 artfynd.xlsx", "A 52128-2023")</f>
        <v/>
      </c>
      <c r="T182">
        <f>HYPERLINK("https://klasma.github.io/Logging_2380/kartor/A 52128-2023 karta.png", "A 52128-2023")</f>
        <v/>
      </c>
      <c r="V182">
        <f>HYPERLINK("https://klasma.github.io/Logging_2380/klagomål/A 52128-2023 FSC-klagomål.docx", "A 52128-2023")</f>
        <v/>
      </c>
      <c r="W182">
        <f>HYPERLINK("https://klasma.github.io/Logging_2380/klagomålsmail/A 52128-2023 FSC-klagomål mail.docx", "A 52128-2023")</f>
        <v/>
      </c>
      <c r="X182">
        <f>HYPERLINK("https://klasma.github.io/Logging_2380/tillsyn/A 52128-2023 tillsynsbegäran.docx", "A 52128-2023")</f>
        <v/>
      </c>
      <c r="Y182">
        <f>HYPERLINK("https://klasma.github.io/Logging_2380/tillsynsmail/A 52128-2023 tillsynsbegäran mail.docx", "A 52128-2023")</f>
        <v/>
      </c>
    </row>
    <row r="183" ht="15" customHeight="1">
      <c r="A183" t="inlineStr">
        <is>
          <t>A 58181-2022</t>
        </is>
      </c>
      <c r="B183" s="1" t="n">
        <v>44900</v>
      </c>
      <c r="C183" s="1" t="n">
        <v>46200</v>
      </c>
      <c r="D183" t="inlineStr">
        <is>
          <t>JÄMTLANDS LÄN</t>
        </is>
      </c>
      <c r="E183" t="inlineStr">
        <is>
          <t>ÖSTERSUND</t>
        </is>
      </c>
      <c r="G183" t="n">
        <v>14.8</v>
      </c>
      <c r="H183" t="n">
        <v>0</v>
      </c>
      <c r="I183" t="n">
        <v>1</v>
      </c>
      <c r="J183" t="n">
        <v>0</v>
      </c>
      <c r="K183" t="n">
        <v>0</v>
      </c>
      <c r="L183" t="n">
        <v>0</v>
      </c>
      <c r="M183" t="n">
        <v>0</v>
      </c>
      <c r="N183" t="n">
        <v>0</v>
      </c>
      <c r="O183" t="n">
        <v>0</v>
      </c>
      <c r="P183" t="n">
        <v>0</v>
      </c>
      <c r="Q183" t="n">
        <v>1</v>
      </c>
      <c r="R183" s="2" t="inlineStr">
        <is>
          <t>Finbräken</t>
        </is>
      </c>
      <c r="S183">
        <f>HYPERLINK("https://klasma.github.io/Logging_2380/artfynd/A 58181-2022 artfynd.xlsx", "A 58181-2022")</f>
        <v/>
      </c>
      <c r="T183">
        <f>HYPERLINK("https://klasma.github.io/Logging_2380/kartor/A 58181-2022 karta.png", "A 58181-2022")</f>
        <v/>
      </c>
      <c r="V183">
        <f>HYPERLINK("https://klasma.github.io/Logging_2380/klagomål/A 58181-2022 FSC-klagomål.docx", "A 58181-2022")</f>
        <v/>
      </c>
      <c r="W183">
        <f>HYPERLINK("https://klasma.github.io/Logging_2380/klagomålsmail/A 58181-2022 FSC-klagomål mail.docx", "A 58181-2022")</f>
        <v/>
      </c>
      <c r="X183">
        <f>HYPERLINK("https://klasma.github.io/Logging_2380/tillsyn/A 58181-2022 tillsynsbegäran.docx", "A 58181-2022")</f>
        <v/>
      </c>
      <c r="Y183">
        <f>HYPERLINK("https://klasma.github.io/Logging_2380/tillsynsmail/A 58181-2022 tillsynsbegäran mail.docx", "A 58181-2022")</f>
        <v/>
      </c>
    </row>
    <row r="184" ht="15" customHeight="1">
      <c r="A184" t="inlineStr">
        <is>
          <t>A 33501-2023</t>
        </is>
      </c>
      <c r="B184" s="1" t="n">
        <v>45118</v>
      </c>
      <c r="C184" s="1" t="n">
        <v>46200</v>
      </c>
      <c r="D184" t="inlineStr">
        <is>
          <t>JÄMTLANDS LÄN</t>
        </is>
      </c>
      <c r="E184" t="inlineStr">
        <is>
          <t>ÖSTERSUND</t>
        </is>
      </c>
      <c r="G184" t="n">
        <v>5.8</v>
      </c>
      <c r="H184" t="n">
        <v>1</v>
      </c>
      <c r="I184" t="n">
        <v>0</v>
      </c>
      <c r="J184" t="n">
        <v>1</v>
      </c>
      <c r="K184" t="n">
        <v>0</v>
      </c>
      <c r="L184" t="n">
        <v>0</v>
      </c>
      <c r="M184" t="n">
        <v>0</v>
      </c>
      <c r="N184" t="n">
        <v>0</v>
      </c>
      <c r="O184" t="n">
        <v>1</v>
      </c>
      <c r="P184" t="n">
        <v>0</v>
      </c>
      <c r="Q184" t="n">
        <v>1</v>
      </c>
      <c r="R184" s="2" t="inlineStr">
        <is>
          <t>Jämtlandsmaskros</t>
        </is>
      </c>
      <c r="S184">
        <f>HYPERLINK("https://klasma.github.io/Logging_2380/artfynd/A 33501-2023 artfynd.xlsx", "A 33501-2023")</f>
        <v/>
      </c>
      <c r="T184">
        <f>HYPERLINK("https://klasma.github.io/Logging_2380/kartor/A 33501-2023 karta.png", "A 33501-2023")</f>
        <v/>
      </c>
      <c r="V184">
        <f>HYPERLINK("https://klasma.github.io/Logging_2380/klagomål/A 33501-2023 FSC-klagomål.docx", "A 33501-2023")</f>
        <v/>
      </c>
      <c r="W184">
        <f>HYPERLINK("https://klasma.github.io/Logging_2380/klagomålsmail/A 33501-2023 FSC-klagomål mail.docx", "A 33501-2023")</f>
        <v/>
      </c>
      <c r="X184">
        <f>HYPERLINK("https://klasma.github.io/Logging_2380/tillsyn/A 33501-2023 tillsynsbegäran.docx", "A 33501-2023")</f>
        <v/>
      </c>
      <c r="Y184">
        <f>HYPERLINK("https://klasma.github.io/Logging_2380/tillsynsmail/A 33501-2023 tillsynsbegäran mail.docx", "A 33501-2023")</f>
        <v/>
      </c>
    </row>
    <row r="185" ht="15" customHeight="1">
      <c r="A185" t="inlineStr">
        <is>
          <t>A 16682-2023</t>
        </is>
      </c>
      <c r="B185" s="1" t="n">
        <v>45028</v>
      </c>
      <c r="C185" s="1" t="n">
        <v>46200</v>
      </c>
      <c r="D185" t="inlineStr">
        <is>
          <t>JÄMTLANDS LÄN</t>
        </is>
      </c>
      <c r="E185" t="inlineStr">
        <is>
          <t>ÖSTERSUND</t>
        </is>
      </c>
      <c r="G185" t="n">
        <v>7.9</v>
      </c>
      <c r="H185" t="n">
        <v>0</v>
      </c>
      <c r="I185" t="n">
        <v>0</v>
      </c>
      <c r="J185" t="n">
        <v>1</v>
      </c>
      <c r="K185" t="n">
        <v>0</v>
      </c>
      <c r="L185" t="n">
        <v>0</v>
      </c>
      <c r="M185" t="n">
        <v>0</v>
      </c>
      <c r="N185" t="n">
        <v>0</v>
      </c>
      <c r="O185" t="n">
        <v>1</v>
      </c>
      <c r="P185" t="n">
        <v>0</v>
      </c>
      <c r="Q185" t="n">
        <v>1</v>
      </c>
      <c r="R185" s="2" t="inlineStr">
        <is>
          <t>Ullticka</t>
        </is>
      </c>
      <c r="S185">
        <f>HYPERLINK("https://klasma.github.io/Logging_2380/artfynd/A 16682-2023 artfynd.xlsx", "A 16682-2023")</f>
        <v/>
      </c>
      <c r="T185">
        <f>HYPERLINK("https://klasma.github.io/Logging_2380/kartor/A 16682-2023 karta.png", "A 16682-2023")</f>
        <v/>
      </c>
      <c r="V185">
        <f>HYPERLINK("https://klasma.github.io/Logging_2380/klagomål/A 16682-2023 FSC-klagomål.docx", "A 16682-2023")</f>
        <v/>
      </c>
      <c r="W185">
        <f>HYPERLINK("https://klasma.github.io/Logging_2380/klagomålsmail/A 16682-2023 FSC-klagomål mail.docx", "A 16682-2023")</f>
        <v/>
      </c>
      <c r="X185">
        <f>HYPERLINK("https://klasma.github.io/Logging_2380/tillsyn/A 16682-2023 tillsynsbegäran.docx", "A 16682-2023")</f>
        <v/>
      </c>
      <c r="Y185">
        <f>HYPERLINK("https://klasma.github.io/Logging_2380/tillsynsmail/A 16682-2023 tillsynsbegäran mail.docx", "A 16682-2023")</f>
        <v/>
      </c>
    </row>
    <row r="186" ht="15" customHeight="1">
      <c r="A186" t="inlineStr">
        <is>
          <t>A 33267-2022</t>
        </is>
      </c>
      <c r="B186" s="1" t="n">
        <v>44785</v>
      </c>
      <c r="C186" s="1" t="n">
        <v>46200</v>
      </c>
      <c r="D186" t="inlineStr">
        <is>
          <t>JÄMTLANDS LÄN</t>
        </is>
      </c>
      <c r="E186" t="inlineStr">
        <is>
          <t>ÖSTERSUND</t>
        </is>
      </c>
      <c r="G186" t="n">
        <v>0.9</v>
      </c>
      <c r="H186" t="n">
        <v>1</v>
      </c>
      <c r="I186" t="n">
        <v>0</v>
      </c>
      <c r="J186" t="n">
        <v>1</v>
      </c>
      <c r="K186" t="n">
        <v>0</v>
      </c>
      <c r="L186" t="n">
        <v>0</v>
      </c>
      <c r="M186" t="n">
        <v>0</v>
      </c>
      <c r="N186" t="n">
        <v>0</v>
      </c>
      <c r="O186" t="n">
        <v>1</v>
      </c>
      <c r="P186" t="n">
        <v>0</v>
      </c>
      <c r="Q186" t="n">
        <v>1</v>
      </c>
      <c r="R186" s="2" t="inlineStr">
        <is>
          <t>Talltita</t>
        </is>
      </c>
      <c r="S186">
        <f>HYPERLINK("https://klasma.github.io/Logging_2380/artfynd/A 33267-2022 artfynd.xlsx", "A 33267-2022")</f>
        <v/>
      </c>
      <c r="T186">
        <f>HYPERLINK("https://klasma.github.io/Logging_2380/kartor/A 33267-2022 karta.png", "A 33267-2022")</f>
        <v/>
      </c>
      <c r="V186">
        <f>HYPERLINK("https://klasma.github.io/Logging_2380/klagomål/A 33267-2022 FSC-klagomål.docx", "A 33267-2022")</f>
        <v/>
      </c>
      <c r="W186">
        <f>HYPERLINK("https://klasma.github.io/Logging_2380/klagomålsmail/A 33267-2022 FSC-klagomål mail.docx", "A 33267-2022")</f>
        <v/>
      </c>
      <c r="X186">
        <f>HYPERLINK("https://klasma.github.io/Logging_2380/tillsyn/A 33267-2022 tillsynsbegäran.docx", "A 33267-2022")</f>
        <v/>
      </c>
      <c r="Y186">
        <f>HYPERLINK("https://klasma.github.io/Logging_2380/tillsynsmail/A 33267-2022 tillsynsbegäran mail.docx", "A 33267-2022")</f>
        <v/>
      </c>
      <c r="Z186">
        <f>HYPERLINK("https://klasma.github.io/Logging_2380/fåglar/A 33267-2022 prioriterade fågelarter.docx", "A 33267-2022")</f>
        <v/>
      </c>
    </row>
    <row r="187" ht="15" customHeight="1">
      <c r="A187" t="inlineStr">
        <is>
          <t>A 57065-2024</t>
        </is>
      </c>
      <c r="B187" s="1" t="n">
        <v>45629</v>
      </c>
      <c r="C187" s="1" t="n">
        <v>46200</v>
      </c>
      <c r="D187" t="inlineStr">
        <is>
          <t>JÄMTLANDS LÄN</t>
        </is>
      </c>
      <c r="E187" t="inlineStr">
        <is>
          <t>ÖSTERSUND</t>
        </is>
      </c>
      <c r="F187" t="inlineStr">
        <is>
          <t>SCA</t>
        </is>
      </c>
      <c r="G187" t="n">
        <v>6.3</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57065-2024 artfynd.xlsx", "A 57065-2024")</f>
        <v/>
      </c>
      <c r="T187">
        <f>HYPERLINK("https://klasma.github.io/Logging_2380/kartor/A 57065-2024 karta.png", "A 57065-2024")</f>
        <v/>
      </c>
      <c r="V187">
        <f>HYPERLINK("https://klasma.github.io/Logging_2380/klagomål/A 57065-2024 FSC-klagomål.docx", "A 57065-2024")</f>
        <v/>
      </c>
      <c r="W187">
        <f>HYPERLINK("https://klasma.github.io/Logging_2380/klagomålsmail/A 57065-2024 FSC-klagomål mail.docx", "A 57065-2024")</f>
        <v/>
      </c>
      <c r="X187">
        <f>HYPERLINK("https://klasma.github.io/Logging_2380/tillsyn/A 57065-2024 tillsynsbegäran.docx", "A 57065-2024")</f>
        <v/>
      </c>
      <c r="Y187">
        <f>HYPERLINK("https://klasma.github.io/Logging_2380/tillsynsmail/A 57065-2024 tillsynsbegäran mail.docx", "A 57065-2024")</f>
        <v/>
      </c>
      <c r="Z187">
        <f>HYPERLINK("https://klasma.github.io/Logging_2380/fåglar/A 57065-2024 prioriterade fågelarter.docx", "A 57065-2024")</f>
        <v/>
      </c>
    </row>
    <row r="188" ht="15" customHeight="1">
      <c r="A188" t="inlineStr">
        <is>
          <t>A 33358-2025</t>
        </is>
      </c>
      <c r="B188" s="1" t="n">
        <v>45841</v>
      </c>
      <c r="C188" s="1" t="n">
        <v>46200</v>
      </c>
      <c r="D188" t="inlineStr">
        <is>
          <t>JÄMTLANDS LÄN</t>
        </is>
      </c>
      <c r="E188" t="inlineStr">
        <is>
          <t>ÖSTERSUND</t>
        </is>
      </c>
      <c r="G188" t="n">
        <v>1</v>
      </c>
      <c r="H188" t="n">
        <v>0</v>
      </c>
      <c r="I188" t="n">
        <v>0</v>
      </c>
      <c r="J188" t="n">
        <v>0</v>
      </c>
      <c r="K188" t="n">
        <v>1</v>
      </c>
      <c r="L188" t="n">
        <v>0</v>
      </c>
      <c r="M188" t="n">
        <v>0</v>
      </c>
      <c r="N188" t="n">
        <v>0</v>
      </c>
      <c r="O188" t="n">
        <v>1</v>
      </c>
      <c r="P188" t="n">
        <v>1</v>
      </c>
      <c r="Q188" t="n">
        <v>1</v>
      </c>
      <c r="R188" s="2" t="inlineStr">
        <is>
          <t>Igelkott</t>
        </is>
      </c>
      <c r="S188">
        <f>HYPERLINK("https://klasma.github.io/Logging_2380/artfynd/A 33358-2025 artfynd.xlsx", "A 33358-2025")</f>
        <v/>
      </c>
      <c r="T188">
        <f>HYPERLINK("https://klasma.github.io/Logging_2380/kartor/A 33358-2025 karta.png", "A 33358-2025")</f>
        <v/>
      </c>
      <c r="V188">
        <f>HYPERLINK("https://klasma.github.io/Logging_2380/klagomål/A 33358-2025 FSC-klagomål.docx", "A 33358-2025")</f>
        <v/>
      </c>
      <c r="W188">
        <f>HYPERLINK("https://klasma.github.io/Logging_2380/klagomålsmail/A 33358-2025 FSC-klagomål mail.docx", "A 33358-2025")</f>
        <v/>
      </c>
      <c r="X188">
        <f>HYPERLINK("https://klasma.github.io/Logging_2380/tillsyn/A 33358-2025 tillsynsbegäran.docx", "A 33358-2025")</f>
        <v/>
      </c>
      <c r="Y188">
        <f>HYPERLINK("https://klasma.github.io/Logging_2380/tillsynsmail/A 33358-2025 tillsynsbegäran mail.docx", "A 33358-2025")</f>
        <v/>
      </c>
    </row>
    <row r="189" ht="15" customHeight="1">
      <c r="A189" t="inlineStr">
        <is>
          <t>A 36225-2025</t>
        </is>
      </c>
      <c r="B189" s="1" t="n">
        <v>45867</v>
      </c>
      <c r="C189" s="1" t="n">
        <v>46200</v>
      </c>
      <c r="D189" t="inlineStr">
        <is>
          <t>JÄMTLANDS LÄN</t>
        </is>
      </c>
      <c r="E189" t="inlineStr">
        <is>
          <t>ÖSTERSUND</t>
        </is>
      </c>
      <c r="F189" t="inlineStr">
        <is>
          <t>SCA</t>
        </is>
      </c>
      <c r="G189" t="n">
        <v>1.8</v>
      </c>
      <c r="H189" t="n">
        <v>0</v>
      </c>
      <c r="I189" t="n">
        <v>0</v>
      </c>
      <c r="J189" t="n">
        <v>1</v>
      </c>
      <c r="K189" t="n">
        <v>0</v>
      </c>
      <c r="L189" t="n">
        <v>0</v>
      </c>
      <c r="M189" t="n">
        <v>0</v>
      </c>
      <c r="N189" t="n">
        <v>0</v>
      </c>
      <c r="O189" t="n">
        <v>1</v>
      </c>
      <c r="P189" t="n">
        <v>0</v>
      </c>
      <c r="Q189" t="n">
        <v>1</v>
      </c>
      <c r="R189" s="2" t="inlineStr">
        <is>
          <t>Kolflarnlav</t>
        </is>
      </c>
      <c r="S189">
        <f>HYPERLINK("https://klasma.github.io/Logging_2380/artfynd/A 36225-2025 artfynd.xlsx", "A 36225-2025")</f>
        <v/>
      </c>
      <c r="T189">
        <f>HYPERLINK("https://klasma.github.io/Logging_2380/kartor/A 36225-2025 karta.png", "A 36225-2025")</f>
        <v/>
      </c>
      <c r="V189">
        <f>HYPERLINK("https://klasma.github.io/Logging_2380/klagomål/A 36225-2025 FSC-klagomål.docx", "A 36225-2025")</f>
        <v/>
      </c>
      <c r="W189">
        <f>HYPERLINK("https://klasma.github.io/Logging_2380/klagomålsmail/A 36225-2025 FSC-klagomål mail.docx", "A 36225-2025")</f>
        <v/>
      </c>
      <c r="X189">
        <f>HYPERLINK("https://klasma.github.io/Logging_2380/tillsyn/A 36225-2025 tillsynsbegäran.docx", "A 36225-2025")</f>
        <v/>
      </c>
      <c r="Y189">
        <f>HYPERLINK("https://klasma.github.io/Logging_2380/tillsynsmail/A 36225-2025 tillsynsbegäran mail.docx", "A 36225-2025")</f>
        <v/>
      </c>
    </row>
    <row r="190" ht="15" customHeight="1">
      <c r="A190" t="inlineStr">
        <is>
          <t>A 36211-2025</t>
        </is>
      </c>
      <c r="B190" s="1" t="n">
        <v>45867</v>
      </c>
      <c r="C190" s="1" t="n">
        <v>46200</v>
      </c>
      <c r="D190" t="inlineStr">
        <is>
          <t>JÄMTLANDS LÄN</t>
        </is>
      </c>
      <c r="E190" t="inlineStr">
        <is>
          <t>ÖSTERSUND</t>
        </is>
      </c>
      <c r="F190" t="inlineStr">
        <is>
          <t>SCA</t>
        </is>
      </c>
      <c r="G190" t="n">
        <v>3.8</v>
      </c>
      <c r="H190" t="n">
        <v>0</v>
      </c>
      <c r="I190" t="n">
        <v>0</v>
      </c>
      <c r="J190" t="n">
        <v>1</v>
      </c>
      <c r="K190" t="n">
        <v>0</v>
      </c>
      <c r="L190" t="n">
        <v>0</v>
      </c>
      <c r="M190" t="n">
        <v>0</v>
      </c>
      <c r="N190" t="n">
        <v>0</v>
      </c>
      <c r="O190" t="n">
        <v>1</v>
      </c>
      <c r="P190" t="n">
        <v>0</v>
      </c>
      <c r="Q190" t="n">
        <v>1</v>
      </c>
      <c r="R190" s="2" t="inlineStr">
        <is>
          <t>Fjällig taggsvamp s.str.</t>
        </is>
      </c>
      <c r="S190">
        <f>HYPERLINK("https://klasma.github.io/Logging_2380/artfynd/A 36211-2025 artfynd.xlsx", "A 36211-2025")</f>
        <v/>
      </c>
      <c r="T190">
        <f>HYPERLINK("https://klasma.github.io/Logging_2380/kartor/A 36211-2025 karta.png", "A 36211-2025")</f>
        <v/>
      </c>
      <c r="V190">
        <f>HYPERLINK("https://klasma.github.io/Logging_2380/klagomål/A 36211-2025 FSC-klagomål.docx", "A 36211-2025")</f>
        <v/>
      </c>
      <c r="W190">
        <f>HYPERLINK("https://klasma.github.io/Logging_2380/klagomålsmail/A 36211-2025 FSC-klagomål mail.docx", "A 36211-2025")</f>
        <v/>
      </c>
      <c r="X190">
        <f>HYPERLINK("https://klasma.github.io/Logging_2380/tillsyn/A 36211-2025 tillsynsbegäran.docx", "A 36211-2025")</f>
        <v/>
      </c>
      <c r="Y190">
        <f>HYPERLINK("https://klasma.github.io/Logging_2380/tillsynsmail/A 36211-2025 tillsynsbegäran mail.docx", "A 36211-2025")</f>
        <v/>
      </c>
    </row>
    <row r="191" ht="15" customHeight="1">
      <c r="A191" t="inlineStr">
        <is>
          <t>A 59433-2021</t>
        </is>
      </c>
      <c r="B191" s="1" t="n">
        <v>44491</v>
      </c>
      <c r="C191" s="1" t="n">
        <v>46200</v>
      </c>
      <c r="D191" t="inlineStr">
        <is>
          <t>JÄMTLANDS LÄN</t>
        </is>
      </c>
      <c r="E191" t="inlineStr">
        <is>
          <t>ÖSTERSUND</t>
        </is>
      </c>
      <c r="F191" t="inlineStr">
        <is>
          <t>Övriga statliga verk och myndigheter</t>
        </is>
      </c>
      <c r="G191" t="n">
        <v>1.6</v>
      </c>
      <c r="H191" t="n">
        <v>0</v>
      </c>
      <c r="I191" t="n">
        <v>0</v>
      </c>
      <c r="J191" t="n">
        <v>1</v>
      </c>
      <c r="K191" t="n">
        <v>0</v>
      </c>
      <c r="L191" t="n">
        <v>0</v>
      </c>
      <c r="M191" t="n">
        <v>0</v>
      </c>
      <c r="N191" t="n">
        <v>0</v>
      </c>
      <c r="O191" t="n">
        <v>1</v>
      </c>
      <c r="P191" t="n">
        <v>0</v>
      </c>
      <c r="Q191" t="n">
        <v>1</v>
      </c>
      <c r="R191" s="2" t="inlineStr">
        <is>
          <t>Brunpudrad nållav</t>
        </is>
      </c>
      <c r="S191">
        <f>HYPERLINK("https://klasma.github.io/Logging_2380/artfynd/A 59433-2021 artfynd.xlsx", "A 59433-2021")</f>
        <v/>
      </c>
      <c r="T191">
        <f>HYPERLINK("https://klasma.github.io/Logging_2380/kartor/A 59433-2021 karta.png", "A 59433-2021")</f>
        <v/>
      </c>
      <c r="V191">
        <f>HYPERLINK("https://klasma.github.io/Logging_2380/klagomål/A 59433-2021 FSC-klagomål.docx", "A 59433-2021")</f>
        <v/>
      </c>
      <c r="W191">
        <f>HYPERLINK("https://klasma.github.io/Logging_2380/klagomålsmail/A 59433-2021 FSC-klagomål mail.docx", "A 59433-2021")</f>
        <v/>
      </c>
      <c r="X191">
        <f>HYPERLINK("https://klasma.github.io/Logging_2380/tillsyn/A 59433-2021 tillsynsbegäran.docx", "A 59433-2021")</f>
        <v/>
      </c>
      <c r="Y191">
        <f>HYPERLINK("https://klasma.github.io/Logging_2380/tillsynsmail/A 59433-2021 tillsynsbegäran mail.docx", "A 59433-2021")</f>
        <v/>
      </c>
    </row>
    <row r="192" ht="15" customHeight="1">
      <c r="A192" t="inlineStr">
        <is>
          <t>A 55-2023</t>
        </is>
      </c>
      <c r="B192" s="1" t="n">
        <v>44928</v>
      </c>
      <c r="C192" s="1" t="n">
        <v>46200</v>
      </c>
      <c r="D192" t="inlineStr">
        <is>
          <t>JÄMTLANDS LÄN</t>
        </is>
      </c>
      <c r="E192" t="inlineStr">
        <is>
          <t>ÖSTERSUND</t>
        </is>
      </c>
      <c r="G192" t="n">
        <v>4</v>
      </c>
      <c r="H192" t="n">
        <v>1</v>
      </c>
      <c r="I192" t="n">
        <v>0</v>
      </c>
      <c r="J192" t="n">
        <v>0</v>
      </c>
      <c r="K192" t="n">
        <v>1</v>
      </c>
      <c r="L192" t="n">
        <v>0</v>
      </c>
      <c r="M192" t="n">
        <v>0</v>
      </c>
      <c r="N192" t="n">
        <v>0</v>
      </c>
      <c r="O192" t="n">
        <v>1</v>
      </c>
      <c r="P192" t="n">
        <v>1</v>
      </c>
      <c r="Q192" t="n">
        <v>1</v>
      </c>
      <c r="R192" s="2" t="inlineStr">
        <is>
          <t>Knärot</t>
        </is>
      </c>
      <c r="S192">
        <f>HYPERLINK("https://klasma.github.io/Logging_2380/artfynd/A 55-2023 artfynd.xlsx", "A 55-2023")</f>
        <v/>
      </c>
      <c r="T192">
        <f>HYPERLINK("https://klasma.github.io/Logging_2380/kartor/A 55-2023 karta.png", "A 55-2023")</f>
        <v/>
      </c>
      <c r="U192">
        <f>HYPERLINK("https://klasma.github.io/Logging_2380/knärot/A 55-2023 karta knärot.png", "A 55-2023")</f>
        <v/>
      </c>
      <c r="V192">
        <f>HYPERLINK("https://klasma.github.io/Logging_2380/klagomål/A 55-2023 FSC-klagomål.docx", "A 55-2023")</f>
        <v/>
      </c>
      <c r="W192">
        <f>HYPERLINK("https://klasma.github.io/Logging_2380/klagomålsmail/A 55-2023 FSC-klagomål mail.docx", "A 55-2023")</f>
        <v/>
      </c>
      <c r="X192">
        <f>HYPERLINK("https://klasma.github.io/Logging_2380/tillsyn/A 55-2023 tillsynsbegäran.docx", "A 55-2023")</f>
        <v/>
      </c>
      <c r="Y192">
        <f>HYPERLINK("https://klasma.github.io/Logging_2380/tillsynsmail/A 55-2023 tillsynsbegäran mail.docx", "A 55-2023")</f>
        <v/>
      </c>
    </row>
    <row r="193" ht="15" customHeight="1">
      <c r="A193" t="inlineStr">
        <is>
          <t>A 46139-2021</t>
        </is>
      </c>
      <c r="B193" s="1" t="n">
        <v>44441</v>
      </c>
      <c r="C193" s="1" t="n">
        <v>46200</v>
      </c>
      <c r="D193" t="inlineStr">
        <is>
          <t>JÄMTLANDS LÄN</t>
        </is>
      </c>
      <c r="E193" t="inlineStr">
        <is>
          <t>ÖSTERSUND</t>
        </is>
      </c>
      <c r="G193" t="n">
        <v>12.8</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46139-2021 artfynd.xlsx", "A 46139-2021")</f>
        <v/>
      </c>
      <c r="T193">
        <f>HYPERLINK("https://klasma.github.io/Logging_2380/kartor/A 46139-2021 karta.png", "A 46139-2021")</f>
        <v/>
      </c>
      <c r="V193">
        <f>HYPERLINK("https://klasma.github.io/Logging_2380/klagomål/A 46139-2021 FSC-klagomål.docx", "A 46139-2021")</f>
        <v/>
      </c>
      <c r="W193">
        <f>HYPERLINK("https://klasma.github.io/Logging_2380/klagomålsmail/A 46139-2021 FSC-klagomål mail.docx", "A 46139-2021")</f>
        <v/>
      </c>
      <c r="X193">
        <f>HYPERLINK("https://klasma.github.io/Logging_2380/tillsyn/A 46139-2021 tillsynsbegäran.docx", "A 46139-2021")</f>
        <v/>
      </c>
      <c r="Y193">
        <f>HYPERLINK("https://klasma.github.io/Logging_2380/tillsynsmail/A 46139-2021 tillsynsbegäran mail.docx", "A 46139-2021")</f>
        <v/>
      </c>
      <c r="Z193">
        <f>HYPERLINK("https://klasma.github.io/Logging_2380/fåglar/A 46139-2021 prioriterade fågelarter.docx", "A 46139-2021")</f>
        <v/>
      </c>
    </row>
    <row r="194" ht="15" customHeight="1">
      <c r="A194" t="inlineStr">
        <is>
          <t>A 55179-2025</t>
        </is>
      </c>
      <c r="B194" s="1" t="n">
        <v>45968</v>
      </c>
      <c r="C194" s="1" t="n">
        <v>46200</v>
      </c>
      <c r="D194" t="inlineStr">
        <is>
          <t>JÄMTLANDS LÄN</t>
        </is>
      </c>
      <c r="E194" t="inlineStr">
        <is>
          <t>ÖSTERSUND</t>
        </is>
      </c>
      <c r="F194" t="inlineStr">
        <is>
          <t>SCA</t>
        </is>
      </c>
      <c r="G194" t="n">
        <v>2.2</v>
      </c>
      <c r="H194" t="n">
        <v>0</v>
      </c>
      <c r="I194" t="n">
        <v>0</v>
      </c>
      <c r="J194" t="n">
        <v>0</v>
      </c>
      <c r="K194" t="n">
        <v>1</v>
      </c>
      <c r="L194" t="n">
        <v>0</v>
      </c>
      <c r="M194" t="n">
        <v>0</v>
      </c>
      <c r="N194" t="n">
        <v>0</v>
      </c>
      <c r="O194" t="n">
        <v>1</v>
      </c>
      <c r="P194" t="n">
        <v>1</v>
      </c>
      <c r="Q194" t="n">
        <v>1</v>
      </c>
      <c r="R194" s="2" t="inlineStr">
        <is>
          <t>Gräddporing</t>
        </is>
      </c>
      <c r="S194">
        <f>HYPERLINK("https://klasma.github.io/Logging_2380/artfynd/A 55179-2025 artfynd.xlsx", "A 55179-2025")</f>
        <v/>
      </c>
      <c r="T194">
        <f>HYPERLINK("https://klasma.github.io/Logging_2380/kartor/A 55179-2025 karta.png", "A 55179-2025")</f>
        <v/>
      </c>
      <c r="V194">
        <f>HYPERLINK("https://klasma.github.io/Logging_2380/klagomål/A 55179-2025 FSC-klagomål.docx", "A 55179-2025")</f>
        <v/>
      </c>
      <c r="W194">
        <f>HYPERLINK("https://klasma.github.io/Logging_2380/klagomålsmail/A 55179-2025 FSC-klagomål mail.docx", "A 55179-2025")</f>
        <v/>
      </c>
      <c r="X194">
        <f>HYPERLINK("https://klasma.github.io/Logging_2380/tillsyn/A 55179-2025 tillsynsbegäran.docx", "A 55179-2025")</f>
        <v/>
      </c>
      <c r="Y194">
        <f>HYPERLINK("https://klasma.github.io/Logging_2380/tillsynsmail/A 55179-2025 tillsynsbegäran mail.docx", "A 55179-2025")</f>
        <v/>
      </c>
    </row>
    <row r="195" ht="15" customHeight="1">
      <c r="A195" t="inlineStr">
        <is>
          <t>A 24403-2025</t>
        </is>
      </c>
      <c r="B195" s="1" t="n">
        <v>45797</v>
      </c>
      <c r="C195" s="1" t="n">
        <v>46200</v>
      </c>
      <c r="D195" t="inlineStr">
        <is>
          <t>JÄMTLANDS LÄN</t>
        </is>
      </c>
      <c r="E195" t="inlineStr">
        <is>
          <t>ÖSTERSUND</t>
        </is>
      </c>
      <c r="G195" t="n">
        <v>1.3</v>
      </c>
      <c r="H195" t="n">
        <v>1</v>
      </c>
      <c r="I195" t="n">
        <v>0</v>
      </c>
      <c r="J195" t="n">
        <v>1</v>
      </c>
      <c r="K195" t="n">
        <v>0</v>
      </c>
      <c r="L195" t="n">
        <v>0</v>
      </c>
      <c r="M195" t="n">
        <v>0</v>
      </c>
      <c r="N195" t="n">
        <v>0</v>
      </c>
      <c r="O195" t="n">
        <v>1</v>
      </c>
      <c r="P195" t="n">
        <v>0</v>
      </c>
      <c r="Q195" t="n">
        <v>1</v>
      </c>
      <c r="R195" s="2" t="inlineStr">
        <is>
          <t>Vinterhämpling</t>
        </is>
      </c>
      <c r="S195">
        <f>HYPERLINK("https://klasma.github.io/Logging_2380/artfynd/A 24403-2025 artfynd.xlsx", "A 24403-2025")</f>
        <v/>
      </c>
      <c r="T195">
        <f>HYPERLINK("https://klasma.github.io/Logging_2380/kartor/A 24403-2025 karta.png", "A 24403-2025")</f>
        <v/>
      </c>
      <c r="V195">
        <f>HYPERLINK("https://klasma.github.io/Logging_2380/klagomål/A 24403-2025 FSC-klagomål.docx", "A 24403-2025")</f>
        <v/>
      </c>
      <c r="W195">
        <f>HYPERLINK("https://klasma.github.io/Logging_2380/klagomålsmail/A 24403-2025 FSC-klagomål mail.docx", "A 24403-2025")</f>
        <v/>
      </c>
      <c r="X195">
        <f>HYPERLINK("https://klasma.github.io/Logging_2380/tillsyn/A 24403-2025 tillsynsbegäran.docx", "A 24403-2025")</f>
        <v/>
      </c>
      <c r="Y195">
        <f>HYPERLINK("https://klasma.github.io/Logging_2380/tillsynsmail/A 24403-2025 tillsynsbegäran mail.docx", "A 24403-2025")</f>
        <v/>
      </c>
    </row>
    <row r="196" ht="15" customHeight="1">
      <c r="A196" t="inlineStr">
        <is>
          <t>A 31883-2024</t>
        </is>
      </c>
      <c r="B196" s="1" t="n">
        <v>45509</v>
      </c>
      <c r="C196" s="1" t="n">
        <v>46200</v>
      </c>
      <c r="D196" t="inlineStr">
        <is>
          <t>JÄMTLANDS LÄN</t>
        </is>
      </c>
      <c r="E196" t="inlineStr">
        <is>
          <t>ÖSTERSUND</t>
        </is>
      </c>
      <c r="F196" t="inlineStr">
        <is>
          <t>SCA</t>
        </is>
      </c>
      <c r="G196" t="n">
        <v>3.3</v>
      </c>
      <c r="H196" t="n">
        <v>1</v>
      </c>
      <c r="I196" t="n">
        <v>0</v>
      </c>
      <c r="J196" t="n">
        <v>0</v>
      </c>
      <c r="K196" t="n">
        <v>1</v>
      </c>
      <c r="L196" t="n">
        <v>0</v>
      </c>
      <c r="M196" t="n">
        <v>0</v>
      </c>
      <c r="N196" t="n">
        <v>0</v>
      </c>
      <c r="O196" t="n">
        <v>1</v>
      </c>
      <c r="P196" t="n">
        <v>1</v>
      </c>
      <c r="Q196" t="n">
        <v>1</v>
      </c>
      <c r="R196" s="2" t="inlineStr">
        <is>
          <t>Doftticka</t>
        </is>
      </c>
      <c r="S196">
        <f>HYPERLINK("https://klasma.github.io/Logging_2380/artfynd/A 31883-2024 artfynd.xlsx", "A 31883-2024")</f>
        <v/>
      </c>
      <c r="T196">
        <f>HYPERLINK("https://klasma.github.io/Logging_2380/kartor/A 31883-2024 karta.png", "A 31883-2024")</f>
        <v/>
      </c>
      <c r="V196">
        <f>HYPERLINK("https://klasma.github.io/Logging_2380/klagomål/A 31883-2024 FSC-klagomål.docx", "A 31883-2024")</f>
        <v/>
      </c>
      <c r="W196">
        <f>HYPERLINK("https://klasma.github.io/Logging_2380/klagomålsmail/A 31883-2024 FSC-klagomål mail.docx", "A 31883-2024")</f>
        <v/>
      </c>
      <c r="X196">
        <f>HYPERLINK("https://klasma.github.io/Logging_2380/tillsyn/A 31883-2024 tillsynsbegäran.docx", "A 31883-2024")</f>
        <v/>
      </c>
      <c r="Y196">
        <f>HYPERLINK("https://klasma.github.io/Logging_2380/tillsynsmail/A 31883-2024 tillsynsbegäran mail.docx", "A 31883-2024")</f>
        <v/>
      </c>
    </row>
    <row r="197" ht="15" customHeight="1">
      <c r="A197" t="inlineStr">
        <is>
          <t>A 40694-2024</t>
        </is>
      </c>
      <c r="B197" s="1" t="n">
        <v>45558</v>
      </c>
      <c r="C197" s="1" t="n">
        <v>46200</v>
      </c>
      <c r="D197" t="inlineStr">
        <is>
          <t>JÄMTLANDS LÄN</t>
        </is>
      </c>
      <c r="E197" t="inlineStr">
        <is>
          <t>ÖSTERSUND</t>
        </is>
      </c>
      <c r="F197" t="inlineStr">
        <is>
          <t>SCA</t>
        </is>
      </c>
      <c r="G197" t="n">
        <v>6.2</v>
      </c>
      <c r="H197" t="n">
        <v>0</v>
      </c>
      <c r="I197" t="n">
        <v>0</v>
      </c>
      <c r="J197" t="n">
        <v>1</v>
      </c>
      <c r="K197" t="n">
        <v>0</v>
      </c>
      <c r="L197" t="n">
        <v>0</v>
      </c>
      <c r="M197" t="n">
        <v>0</v>
      </c>
      <c r="N197" t="n">
        <v>0</v>
      </c>
      <c r="O197" t="n">
        <v>1</v>
      </c>
      <c r="P197" t="n">
        <v>0</v>
      </c>
      <c r="Q197" t="n">
        <v>1</v>
      </c>
      <c r="R197" s="2" t="inlineStr">
        <is>
          <t>Reliktbock</t>
        </is>
      </c>
      <c r="S197">
        <f>HYPERLINK("https://klasma.github.io/Logging_2380/artfynd/A 40694-2024 artfynd.xlsx", "A 40694-2024")</f>
        <v/>
      </c>
      <c r="T197">
        <f>HYPERLINK("https://klasma.github.io/Logging_2380/kartor/A 40694-2024 karta.png", "A 40694-2024")</f>
        <v/>
      </c>
      <c r="V197">
        <f>HYPERLINK("https://klasma.github.io/Logging_2380/klagomål/A 40694-2024 FSC-klagomål.docx", "A 40694-2024")</f>
        <v/>
      </c>
      <c r="W197">
        <f>HYPERLINK("https://klasma.github.io/Logging_2380/klagomålsmail/A 40694-2024 FSC-klagomål mail.docx", "A 40694-2024")</f>
        <v/>
      </c>
      <c r="X197">
        <f>HYPERLINK("https://klasma.github.io/Logging_2380/tillsyn/A 40694-2024 tillsynsbegäran.docx", "A 40694-2024")</f>
        <v/>
      </c>
      <c r="Y197">
        <f>HYPERLINK("https://klasma.github.io/Logging_2380/tillsynsmail/A 40694-2024 tillsynsbegäran mail.docx", "A 40694-2024")</f>
        <v/>
      </c>
    </row>
    <row r="198" ht="15" customHeight="1">
      <c r="A198" t="inlineStr">
        <is>
          <t>A 59007-2025</t>
        </is>
      </c>
      <c r="B198" s="1" t="n">
        <v>45987</v>
      </c>
      <c r="C198" s="1" t="n">
        <v>46200</v>
      </c>
      <c r="D198" t="inlineStr">
        <is>
          <t>JÄMTLANDS LÄN</t>
        </is>
      </c>
      <c r="E198" t="inlineStr">
        <is>
          <t>ÖSTERSUND</t>
        </is>
      </c>
      <c r="G198" t="n">
        <v>4</v>
      </c>
      <c r="H198" t="n">
        <v>1</v>
      </c>
      <c r="I198" t="n">
        <v>0</v>
      </c>
      <c r="J198" t="n">
        <v>1</v>
      </c>
      <c r="K198" t="n">
        <v>0</v>
      </c>
      <c r="L198" t="n">
        <v>0</v>
      </c>
      <c r="M198" t="n">
        <v>0</v>
      </c>
      <c r="N198" t="n">
        <v>0</v>
      </c>
      <c r="O198" t="n">
        <v>1</v>
      </c>
      <c r="P198" t="n">
        <v>0</v>
      </c>
      <c r="Q198" t="n">
        <v>1</v>
      </c>
      <c r="R198" s="2" t="inlineStr">
        <is>
          <t>Lavskrika</t>
        </is>
      </c>
      <c r="S198">
        <f>HYPERLINK("https://klasma.github.io/Logging_2380/artfynd/A 59007-2025 artfynd.xlsx", "A 59007-2025")</f>
        <v/>
      </c>
      <c r="T198">
        <f>HYPERLINK("https://klasma.github.io/Logging_2380/kartor/A 59007-2025 karta.png", "A 59007-2025")</f>
        <v/>
      </c>
      <c r="V198">
        <f>HYPERLINK("https://klasma.github.io/Logging_2380/klagomål/A 59007-2025 FSC-klagomål.docx", "A 59007-2025")</f>
        <v/>
      </c>
      <c r="W198">
        <f>HYPERLINK("https://klasma.github.io/Logging_2380/klagomålsmail/A 59007-2025 FSC-klagomål mail.docx", "A 59007-2025")</f>
        <v/>
      </c>
      <c r="X198">
        <f>HYPERLINK("https://klasma.github.io/Logging_2380/tillsyn/A 59007-2025 tillsynsbegäran.docx", "A 59007-2025")</f>
        <v/>
      </c>
      <c r="Y198">
        <f>HYPERLINK("https://klasma.github.io/Logging_2380/tillsynsmail/A 59007-2025 tillsynsbegäran mail.docx", "A 59007-2025")</f>
        <v/>
      </c>
      <c r="Z198">
        <f>HYPERLINK("https://klasma.github.io/Logging_2380/fåglar/A 59007-2025 prioriterade fågelarter.docx", "A 59007-2025")</f>
        <v/>
      </c>
    </row>
    <row r="199" ht="15" customHeight="1">
      <c r="A199" t="inlineStr">
        <is>
          <t>A 60966-2025</t>
        </is>
      </c>
      <c r="B199" s="1" t="n">
        <v>45999</v>
      </c>
      <c r="C199" s="1" t="n">
        <v>46200</v>
      </c>
      <c r="D199" t="inlineStr">
        <is>
          <t>JÄMTLANDS LÄN</t>
        </is>
      </c>
      <c r="E199" t="inlineStr">
        <is>
          <t>ÖSTERSUND</t>
        </is>
      </c>
      <c r="F199" t="inlineStr">
        <is>
          <t>SCA</t>
        </is>
      </c>
      <c r="G199" t="n">
        <v>1.9</v>
      </c>
      <c r="H199" t="n">
        <v>1</v>
      </c>
      <c r="I199" t="n">
        <v>1</v>
      </c>
      <c r="J199" t="n">
        <v>0</v>
      </c>
      <c r="K199" t="n">
        <v>0</v>
      </c>
      <c r="L199" t="n">
        <v>0</v>
      </c>
      <c r="M199" t="n">
        <v>0</v>
      </c>
      <c r="N199" t="n">
        <v>0</v>
      </c>
      <c r="O199" t="n">
        <v>0</v>
      </c>
      <c r="P199" t="n">
        <v>0</v>
      </c>
      <c r="Q199" t="n">
        <v>1</v>
      </c>
      <c r="R199" s="2" t="inlineStr">
        <is>
          <t>Tvåblad</t>
        </is>
      </c>
      <c r="S199">
        <f>HYPERLINK("https://klasma.github.io/Logging_2380/artfynd/A 60966-2025 artfynd.xlsx", "A 60966-2025")</f>
        <v/>
      </c>
      <c r="T199">
        <f>HYPERLINK("https://klasma.github.io/Logging_2380/kartor/A 60966-2025 karta.png", "A 60966-2025")</f>
        <v/>
      </c>
      <c r="V199">
        <f>HYPERLINK("https://klasma.github.io/Logging_2380/klagomål/A 60966-2025 FSC-klagomål.docx", "A 60966-2025")</f>
        <v/>
      </c>
      <c r="W199">
        <f>HYPERLINK("https://klasma.github.io/Logging_2380/klagomålsmail/A 60966-2025 FSC-klagomål mail.docx", "A 60966-2025")</f>
        <v/>
      </c>
      <c r="X199">
        <f>HYPERLINK("https://klasma.github.io/Logging_2380/tillsyn/A 60966-2025 tillsynsbegäran.docx", "A 60966-2025")</f>
        <v/>
      </c>
      <c r="Y199">
        <f>HYPERLINK("https://klasma.github.io/Logging_2380/tillsynsmail/A 60966-2025 tillsynsbegäran mail.docx", "A 60966-2025")</f>
        <v/>
      </c>
    </row>
    <row r="200" ht="15" customHeight="1">
      <c r="A200" t="inlineStr">
        <is>
          <t>A 4223-2026</t>
        </is>
      </c>
      <c r="B200" s="1" t="n">
        <v>46044</v>
      </c>
      <c r="C200" s="1" t="n">
        <v>46200</v>
      </c>
      <c r="D200" t="inlineStr">
        <is>
          <t>JÄMTLANDS LÄN</t>
        </is>
      </c>
      <c r="E200" t="inlineStr">
        <is>
          <t>ÖSTERSUND</t>
        </is>
      </c>
      <c r="G200" t="n">
        <v>3.5</v>
      </c>
      <c r="H200" t="n">
        <v>0</v>
      </c>
      <c r="I200" t="n">
        <v>0</v>
      </c>
      <c r="J200" t="n">
        <v>0</v>
      </c>
      <c r="K200" t="n">
        <v>1</v>
      </c>
      <c r="L200" t="n">
        <v>0</v>
      </c>
      <c r="M200" t="n">
        <v>0</v>
      </c>
      <c r="N200" t="n">
        <v>0</v>
      </c>
      <c r="O200" t="n">
        <v>1</v>
      </c>
      <c r="P200" t="n">
        <v>1</v>
      </c>
      <c r="Q200" t="n">
        <v>1</v>
      </c>
      <c r="R200" s="2" t="inlineStr">
        <is>
          <t>Taggfingersvamp</t>
        </is>
      </c>
      <c r="S200">
        <f>HYPERLINK("https://klasma.github.io/Logging_2380/artfynd/A 4223-2026 artfynd.xlsx", "A 4223-2026")</f>
        <v/>
      </c>
      <c r="T200">
        <f>HYPERLINK("https://klasma.github.io/Logging_2380/kartor/A 4223-2026 karta.png", "A 4223-2026")</f>
        <v/>
      </c>
      <c r="V200">
        <f>HYPERLINK("https://klasma.github.io/Logging_2380/klagomål/A 4223-2026 FSC-klagomål.docx", "A 4223-2026")</f>
        <v/>
      </c>
      <c r="W200">
        <f>HYPERLINK("https://klasma.github.io/Logging_2380/klagomålsmail/A 4223-2026 FSC-klagomål mail.docx", "A 4223-2026")</f>
        <v/>
      </c>
      <c r="X200">
        <f>HYPERLINK("https://klasma.github.io/Logging_2380/tillsyn/A 4223-2026 tillsynsbegäran.docx", "A 4223-2026")</f>
        <v/>
      </c>
      <c r="Y200">
        <f>HYPERLINK("https://klasma.github.io/Logging_2380/tillsynsmail/A 4223-2026 tillsynsbegäran mail.docx", "A 4223-2026")</f>
        <v/>
      </c>
    </row>
    <row r="201" ht="15" customHeight="1">
      <c r="A201" t="inlineStr">
        <is>
          <t>A 5729-2026</t>
        </is>
      </c>
      <c r="B201" s="1" t="n">
        <v>46051</v>
      </c>
      <c r="C201" s="1" t="n">
        <v>46200</v>
      </c>
      <c r="D201" t="inlineStr">
        <is>
          <t>JÄMTLANDS LÄN</t>
        </is>
      </c>
      <c r="E201" t="inlineStr">
        <is>
          <t>ÖSTERSUND</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5729-2026 artfynd.xlsx", "A 5729-2026")</f>
        <v/>
      </c>
      <c r="T201">
        <f>HYPERLINK("https://klasma.github.io/Logging_2380/kartor/A 5729-2026 karta.png", "A 5729-2026")</f>
        <v/>
      </c>
      <c r="V201">
        <f>HYPERLINK("https://klasma.github.io/Logging_2380/klagomål/A 5729-2026 FSC-klagomål.docx", "A 5729-2026")</f>
        <v/>
      </c>
      <c r="W201">
        <f>HYPERLINK("https://klasma.github.io/Logging_2380/klagomålsmail/A 5729-2026 FSC-klagomål mail.docx", "A 5729-2026")</f>
        <v/>
      </c>
      <c r="X201">
        <f>HYPERLINK("https://klasma.github.io/Logging_2380/tillsyn/A 5729-2026 tillsynsbegäran.docx", "A 5729-2026")</f>
        <v/>
      </c>
      <c r="Y201">
        <f>HYPERLINK("https://klasma.github.io/Logging_2380/tillsynsmail/A 5729-2026 tillsynsbegäran mail.docx", "A 5729-2026")</f>
        <v/>
      </c>
    </row>
    <row r="202" ht="15" customHeight="1">
      <c r="A202" t="inlineStr">
        <is>
          <t>A 10796-2026</t>
        </is>
      </c>
      <c r="B202" s="1" t="n">
        <v>46078</v>
      </c>
      <c r="C202" s="1" t="n">
        <v>46200</v>
      </c>
      <c r="D202" t="inlineStr">
        <is>
          <t>JÄMTLANDS LÄN</t>
        </is>
      </c>
      <c r="E202" t="inlineStr">
        <is>
          <t>ÖSTERSUND</t>
        </is>
      </c>
      <c r="G202" t="n">
        <v>3.3</v>
      </c>
      <c r="H202" t="n">
        <v>0</v>
      </c>
      <c r="I202" t="n">
        <v>0</v>
      </c>
      <c r="J202" t="n">
        <v>1</v>
      </c>
      <c r="K202" t="n">
        <v>0</v>
      </c>
      <c r="L202" t="n">
        <v>0</v>
      </c>
      <c r="M202" t="n">
        <v>0</v>
      </c>
      <c r="N202" t="n">
        <v>0</v>
      </c>
      <c r="O202" t="n">
        <v>1</v>
      </c>
      <c r="P202" t="n">
        <v>0</v>
      </c>
      <c r="Q202" t="n">
        <v>1</v>
      </c>
      <c r="R202" s="2" t="inlineStr">
        <is>
          <t>Harticka</t>
        </is>
      </c>
      <c r="S202">
        <f>HYPERLINK("https://klasma.github.io/Logging_2380/artfynd/A 10796-2026 artfynd.xlsx", "A 10796-2026")</f>
        <v/>
      </c>
      <c r="T202">
        <f>HYPERLINK("https://klasma.github.io/Logging_2380/kartor/A 10796-2026 karta.png", "A 10796-2026")</f>
        <v/>
      </c>
      <c r="V202">
        <f>HYPERLINK("https://klasma.github.io/Logging_2380/klagomål/A 10796-2026 FSC-klagomål.docx", "A 10796-2026")</f>
        <v/>
      </c>
      <c r="W202">
        <f>HYPERLINK("https://klasma.github.io/Logging_2380/klagomålsmail/A 10796-2026 FSC-klagomål mail.docx", "A 10796-2026")</f>
        <v/>
      </c>
      <c r="X202">
        <f>HYPERLINK("https://klasma.github.io/Logging_2380/tillsyn/A 10796-2026 tillsynsbegäran.docx", "A 10796-2026")</f>
        <v/>
      </c>
      <c r="Y202">
        <f>HYPERLINK("https://klasma.github.io/Logging_2380/tillsynsmail/A 10796-2026 tillsynsbegäran mail.docx", "A 10796-2026")</f>
        <v/>
      </c>
    </row>
    <row r="203" ht="15" customHeight="1">
      <c r="A203" t="inlineStr">
        <is>
          <t>A 11188-2026</t>
        </is>
      </c>
      <c r="B203" s="1" t="n">
        <v>46080</v>
      </c>
      <c r="C203" s="1" t="n">
        <v>46200</v>
      </c>
      <c r="D203" t="inlineStr">
        <is>
          <t>JÄMTLANDS LÄN</t>
        </is>
      </c>
      <c r="E203" t="inlineStr">
        <is>
          <t>ÖSTERSUND</t>
        </is>
      </c>
      <c r="F203" t="inlineStr">
        <is>
          <t>SCA</t>
        </is>
      </c>
      <c r="G203" t="n">
        <v>65.5</v>
      </c>
      <c r="H203" t="n">
        <v>0</v>
      </c>
      <c r="I203" t="n">
        <v>0</v>
      </c>
      <c r="J203" t="n">
        <v>0</v>
      </c>
      <c r="K203" t="n">
        <v>1</v>
      </c>
      <c r="L203" t="n">
        <v>0</v>
      </c>
      <c r="M203" t="n">
        <v>0</v>
      </c>
      <c r="N203" t="n">
        <v>0</v>
      </c>
      <c r="O203" t="n">
        <v>1</v>
      </c>
      <c r="P203" t="n">
        <v>1</v>
      </c>
      <c r="Q203" t="n">
        <v>1</v>
      </c>
      <c r="R203" s="2" t="inlineStr">
        <is>
          <t>Garnlav</t>
        </is>
      </c>
      <c r="S203">
        <f>HYPERLINK("https://klasma.github.io/Logging_2380/artfynd/A 11188-2026 artfynd.xlsx", "A 11188-2026")</f>
        <v/>
      </c>
      <c r="T203">
        <f>HYPERLINK("https://klasma.github.io/Logging_2380/kartor/A 11188-2026 karta.png", "A 11188-2026")</f>
        <v/>
      </c>
      <c r="V203">
        <f>HYPERLINK("https://klasma.github.io/Logging_2380/klagomål/A 11188-2026 FSC-klagomål.docx", "A 11188-2026")</f>
        <v/>
      </c>
      <c r="W203">
        <f>HYPERLINK("https://klasma.github.io/Logging_2380/klagomålsmail/A 11188-2026 FSC-klagomål mail.docx", "A 11188-2026")</f>
        <v/>
      </c>
      <c r="X203">
        <f>HYPERLINK("https://klasma.github.io/Logging_2380/tillsyn/A 11188-2026 tillsynsbegäran.docx", "A 11188-2026")</f>
        <v/>
      </c>
      <c r="Y203">
        <f>HYPERLINK("https://klasma.github.io/Logging_2380/tillsynsmail/A 11188-2026 tillsynsbegäran mail.docx", "A 11188-2026")</f>
        <v/>
      </c>
    </row>
    <row r="204" ht="15" customHeight="1">
      <c r="A204" t="inlineStr">
        <is>
          <t>A 9971-2025</t>
        </is>
      </c>
      <c r="B204" s="1" t="n">
        <v>45719</v>
      </c>
      <c r="C204" s="1" t="n">
        <v>46200</v>
      </c>
      <c r="D204" t="inlineStr">
        <is>
          <t>JÄMTLANDS LÄN</t>
        </is>
      </c>
      <c r="E204" t="inlineStr">
        <is>
          <t>ÖSTERSUND</t>
        </is>
      </c>
      <c r="F204" t="inlineStr">
        <is>
          <t>SCA</t>
        </is>
      </c>
      <c r="G204" t="n">
        <v>1.2</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9971-2025 artfynd.xlsx", "A 9971-2025")</f>
        <v/>
      </c>
      <c r="T204">
        <f>HYPERLINK("https://klasma.github.io/Logging_2380/kartor/A 9971-2025 karta.png", "A 9971-2025")</f>
        <v/>
      </c>
      <c r="V204">
        <f>HYPERLINK("https://klasma.github.io/Logging_2380/klagomål/A 9971-2025 FSC-klagomål.docx", "A 9971-2025")</f>
        <v/>
      </c>
      <c r="W204">
        <f>HYPERLINK("https://klasma.github.io/Logging_2380/klagomålsmail/A 9971-2025 FSC-klagomål mail.docx", "A 9971-2025")</f>
        <v/>
      </c>
      <c r="X204">
        <f>HYPERLINK("https://klasma.github.io/Logging_2380/tillsyn/A 9971-2025 tillsynsbegäran.docx", "A 9971-2025")</f>
        <v/>
      </c>
      <c r="Y204">
        <f>HYPERLINK("https://klasma.github.io/Logging_2380/tillsynsmail/A 9971-2025 tillsynsbegäran mail.docx", "A 9971-2025")</f>
        <v/>
      </c>
    </row>
    <row r="205" ht="15" customHeight="1">
      <c r="A205" t="inlineStr">
        <is>
          <t>A 18578-2025</t>
        </is>
      </c>
      <c r="B205" s="1" t="n">
        <v>45763</v>
      </c>
      <c r="C205" s="1" t="n">
        <v>46200</v>
      </c>
      <c r="D205" t="inlineStr">
        <is>
          <t>JÄMTLANDS LÄN</t>
        </is>
      </c>
      <c r="E205" t="inlineStr">
        <is>
          <t>ÖSTERSUND</t>
        </is>
      </c>
      <c r="G205" t="n">
        <v>0.8</v>
      </c>
      <c r="H205" t="n">
        <v>1</v>
      </c>
      <c r="I205" t="n">
        <v>1</v>
      </c>
      <c r="J205" t="n">
        <v>0</v>
      </c>
      <c r="K205" t="n">
        <v>0</v>
      </c>
      <c r="L205" t="n">
        <v>0</v>
      </c>
      <c r="M205" t="n">
        <v>0</v>
      </c>
      <c r="N205" t="n">
        <v>0</v>
      </c>
      <c r="O205" t="n">
        <v>0</v>
      </c>
      <c r="P205" t="n">
        <v>0</v>
      </c>
      <c r="Q205" t="n">
        <v>1</v>
      </c>
      <c r="R205" s="2" t="inlineStr">
        <is>
          <t>Korallrot</t>
        </is>
      </c>
      <c r="S205">
        <f>HYPERLINK("https://klasma.github.io/Logging_2380/artfynd/A 18578-2025 artfynd.xlsx", "A 18578-2025")</f>
        <v/>
      </c>
      <c r="T205">
        <f>HYPERLINK("https://klasma.github.io/Logging_2380/kartor/A 18578-2025 karta.png", "A 18578-2025")</f>
        <v/>
      </c>
      <c r="V205">
        <f>HYPERLINK("https://klasma.github.io/Logging_2380/klagomål/A 18578-2025 FSC-klagomål.docx", "A 18578-2025")</f>
        <v/>
      </c>
      <c r="W205">
        <f>HYPERLINK("https://klasma.github.io/Logging_2380/klagomålsmail/A 18578-2025 FSC-klagomål mail.docx", "A 18578-2025")</f>
        <v/>
      </c>
      <c r="X205">
        <f>HYPERLINK("https://klasma.github.io/Logging_2380/tillsyn/A 18578-2025 tillsynsbegäran.docx", "A 18578-2025")</f>
        <v/>
      </c>
      <c r="Y205">
        <f>HYPERLINK("https://klasma.github.io/Logging_2380/tillsynsmail/A 18578-2025 tillsynsbegäran mail.docx", "A 18578-2025")</f>
        <v/>
      </c>
    </row>
    <row r="206" ht="15" customHeight="1">
      <c r="A206" t="inlineStr">
        <is>
          <t>A 17455-2026</t>
        </is>
      </c>
      <c r="B206" s="1" t="n">
        <v>46120</v>
      </c>
      <c r="C206" s="1" t="n">
        <v>46200</v>
      </c>
      <c r="D206" t="inlineStr">
        <is>
          <t>JÄMTLANDS LÄN</t>
        </is>
      </c>
      <c r="E206" t="inlineStr">
        <is>
          <t>ÖSTERSUND</t>
        </is>
      </c>
      <c r="G206" t="n">
        <v>4.5</v>
      </c>
      <c r="H206" t="n">
        <v>1</v>
      </c>
      <c r="I206" t="n">
        <v>0</v>
      </c>
      <c r="J206" t="n">
        <v>0</v>
      </c>
      <c r="K206" t="n">
        <v>1</v>
      </c>
      <c r="L206" t="n">
        <v>0</v>
      </c>
      <c r="M206" t="n">
        <v>0</v>
      </c>
      <c r="N206" t="n">
        <v>0</v>
      </c>
      <c r="O206" t="n">
        <v>1</v>
      </c>
      <c r="P206" t="n">
        <v>1</v>
      </c>
      <c r="Q206" t="n">
        <v>1</v>
      </c>
      <c r="R206" s="2" t="inlineStr">
        <is>
          <t>Violett guldvinge</t>
        </is>
      </c>
      <c r="S206">
        <f>HYPERLINK("https://klasma.github.io/Logging_2380/artfynd/A 17455-2026 artfynd.xlsx", "A 17455-2026")</f>
        <v/>
      </c>
      <c r="T206">
        <f>HYPERLINK("https://klasma.github.io/Logging_2380/kartor/A 17455-2026 karta.png", "A 17455-2026")</f>
        <v/>
      </c>
      <c r="V206">
        <f>HYPERLINK("https://klasma.github.io/Logging_2380/klagomål/A 17455-2026 FSC-klagomål.docx", "A 17455-2026")</f>
        <v/>
      </c>
      <c r="W206">
        <f>HYPERLINK("https://klasma.github.io/Logging_2380/klagomålsmail/A 17455-2026 FSC-klagomål mail.docx", "A 17455-2026")</f>
        <v/>
      </c>
      <c r="X206">
        <f>HYPERLINK("https://klasma.github.io/Logging_2380/tillsyn/A 17455-2026 tillsynsbegäran.docx", "A 17455-2026")</f>
        <v/>
      </c>
      <c r="Y206">
        <f>HYPERLINK("https://klasma.github.io/Logging_2380/tillsynsmail/A 17455-2026 tillsynsbegäran mail.docx", "A 17455-2026")</f>
        <v/>
      </c>
    </row>
    <row r="207" ht="15" customHeight="1">
      <c r="A207" t="inlineStr">
        <is>
          <t>A 18162-2026</t>
        </is>
      </c>
      <c r="B207" s="1" t="n">
        <v>46125</v>
      </c>
      <c r="C207" s="1" t="n">
        <v>46200</v>
      </c>
      <c r="D207" t="inlineStr">
        <is>
          <t>JÄMTLANDS LÄN</t>
        </is>
      </c>
      <c r="E207" t="inlineStr">
        <is>
          <t>ÖSTERSUND</t>
        </is>
      </c>
      <c r="G207" t="n">
        <v>17.6</v>
      </c>
      <c r="H207" t="n">
        <v>1</v>
      </c>
      <c r="I207" t="n">
        <v>1</v>
      </c>
      <c r="J207" t="n">
        <v>0</v>
      </c>
      <c r="K207" t="n">
        <v>0</v>
      </c>
      <c r="L207" t="n">
        <v>0</v>
      </c>
      <c r="M207" t="n">
        <v>0</v>
      </c>
      <c r="N207" t="n">
        <v>0</v>
      </c>
      <c r="O207" t="n">
        <v>0</v>
      </c>
      <c r="P207" t="n">
        <v>0</v>
      </c>
      <c r="Q207" t="n">
        <v>1</v>
      </c>
      <c r="R207" s="2" t="inlineStr">
        <is>
          <t>Tvåblad</t>
        </is>
      </c>
      <c r="S207">
        <f>HYPERLINK("https://klasma.github.io/Logging_2380/artfynd/A 18162-2026 artfynd.xlsx", "A 18162-2026")</f>
        <v/>
      </c>
      <c r="T207">
        <f>HYPERLINK("https://klasma.github.io/Logging_2380/kartor/A 18162-2026 karta.png", "A 18162-2026")</f>
        <v/>
      </c>
      <c r="V207">
        <f>HYPERLINK("https://klasma.github.io/Logging_2380/klagomål/A 18162-2026 FSC-klagomål.docx", "A 18162-2026")</f>
        <v/>
      </c>
      <c r="W207">
        <f>HYPERLINK("https://klasma.github.io/Logging_2380/klagomålsmail/A 18162-2026 FSC-klagomål mail.docx", "A 18162-2026")</f>
        <v/>
      </c>
      <c r="X207">
        <f>HYPERLINK("https://klasma.github.io/Logging_2380/tillsyn/A 18162-2026 tillsynsbegäran.docx", "A 18162-2026")</f>
        <v/>
      </c>
      <c r="Y207">
        <f>HYPERLINK("https://klasma.github.io/Logging_2380/tillsynsmail/A 18162-2026 tillsynsbegäran mail.docx", "A 18162-2026")</f>
        <v/>
      </c>
    </row>
    <row r="208" ht="15" customHeight="1">
      <c r="A208" t="inlineStr">
        <is>
          <t>A 41280-2024</t>
        </is>
      </c>
      <c r="B208" s="1" t="n">
        <v>45559</v>
      </c>
      <c r="C208" s="1" t="n">
        <v>46200</v>
      </c>
      <c r="D208" t="inlineStr">
        <is>
          <t>JÄMTLANDS LÄN</t>
        </is>
      </c>
      <c r="E208" t="inlineStr">
        <is>
          <t>ÖSTERSUND</t>
        </is>
      </c>
      <c r="F208" t="inlineStr">
        <is>
          <t>SCA</t>
        </is>
      </c>
      <c r="G208" t="n">
        <v>2.2</v>
      </c>
      <c r="H208" t="n">
        <v>0</v>
      </c>
      <c r="I208" t="n">
        <v>0</v>
      </c>
      <c r="J208" t="n">
        <v>1</v>
      </c>
      <c r="K208" t="n">
        <v>0</v>
      </c>
      <c r="L208" t="n">
        <v>0</v>
      </c>
      <c r="M208" t="n">
        <v>0</v>
      </c>
      <c r="N208" t="n">
        <v>0</v>
      </c>
      <c r="O208" t="n">
        <v>1</v>
      </c>
      <c r="P208" t="n">
        <v>0</v>
      </c>
      <c r="Q208" t="n">
        <v>1</v>
      </c>
      <c r="R208" s="2" t="inlineStr">
        <is>
          <t>Nordtagging</t>
        </is>
      </c>
      <c r="S208">
        <f>HYPERLINK("https://klasma.github.io/Logging_2380/artfynd/A 41280-2024 artfynd.xlsx", "A 41280-2024")</f>
        <v/>
      </c>
      <c r="T208">
        <f>HYPERLINK("https://klasma.github.io/Logging_2380/kartor/A 41280-2024 karta.png", "A 41280-2024")</f>
        <v/>
      </c>
      <c r="V208">
        <f>HYPERLINK("https://klasma.github.io/Logging_2380/klagomål/A 41280-2024 FSC-klagomål.docx", "A 41280-2024")</f>
        <v/>
      </c>
      <c r="W208">
        <f>HYPERLINK("https://klasma.github.io/Logging_2380/klagomålsmail/A 41280-2024 FSC-klagomål mail.docx", "A 41280-2024")</f>
        <v/>
      </c>
      <c r="X208">
        <f>HYPERLINK("https://klasma.github.io/Logging_2380/tillsyn/A 41280-2024 tillsynsbegäran.docx", "A 41280-2024")</f>
        <v/>
      </c>
      <c r="Y208">
        <f>HYPERLINK("https://klasma.github.io/Logging_2380/tillsynsmail/A 41280-2024 tillsynsbegäran mail.docx", "A 41280-2024")</f>
        <v/>
      </c>
    </row>
    <row r="209" ht="15" customHeight="1">
      <c r="A209" t="inlineStr">
        <is>
          <t>A 2986-2026</t>
        </is>
      </c>
      <c r="B209" s="1" t="n">
        <v>46038</v>
      </c>
      <c r="C209" s="1" t="n">
        <v>46200</v>
      </c>
      <c r="D209" t="inlineStr">
        <is>
          <t>JÄMTLANDS LÄN</t>
        </is>
      </c>
      <c r="E209" t="inlineStr">
        <is>
          <t>ÖSTERSUND</t>
        </is>
      </c>
      <c r="G209" t="n">
        <v>8.6</v>
      </c>
      <c r="H209" t="n">
        <v>1</v>
      </c>
      <c r="I209" t="n">
        <v>0</v>
      </c>
      <c r="J209" t="n">
        <v>0</v>
      </c>
      <c r="K209" t="n">
        <v>0</v>
      </c>
      <c r="L209" t="n">
        <v>0</v>
      </c>
      <c r="M209" t="n">
        <v>0</v>
      </c>
      <c r="N209" t="n">
        <v>0</v>
      </c>
      <c r="O209" t="n">
        <v>0</v>
      </c>
      <c r="P209" t="n">
        <v>0</v>
      </c>
      <c r="Q209" t="n">
        <v>1</v>
      </c>
      <c r="R209" s="2" t="inlineStr">
        <is>
          <t>Fläcknycklar</t>
        </is>
      </c>
      <c r="S209">
        <f>HYPERLINK("https://klasma.github.io/Logging_2380/artfynd/A 2986-2026 artfynd.xlsx", "A 2986-2026")</f>
        <v/>
      </c>
      <c r="T209">
        <f>HYPERLINK("https://klasma.github.io/Logging_2380/kartor/A 2986-2026 karta.png", "A 2986-2026")</f>
        <v/>
      </c>
      <c r="V209">
        <f>HYPERLINK("https://klasma.github.io/Logging_2380/klagomål/A 2986-2026 FSC-klagomål.docx", "A 2986-2026")</f>
        <v/>
      </c>
      <c r="W209">
        <f>HYPERLINK("https://klasma.github.io/Logging_2380/klagomålsmail/A 2986-2026 FSC-klagomål mail.docx", "A 2986-2026")</f>
        <v/>
      </c>
      <c r="X209">
        <f>HYPERLINK("https://klasma.github.io/Logging_2380/tillsyn/A 2986-2026 tillsynsbegäran.docx", "A 2986-2026")</f>
        <v/>
      </c>
      <c r="Y209">
        <f>HYPERLINK("https://klasma.github.io/Logging_2380/tillsynsmail/A 2986-2026 tillsynsbegäran mail.docx", "A 2986-2026")</f>
        <v/>
      </c>
    </row>
    <row r="210" ht="15" customHeight="1">
      <c r="A210" t="inlineStr">
        <is>
          <t>A 32225-2024</t>
        </is>
      </c>
      <c r="B210" s="1" t="n">
        <v>45511</v>
      </c>
      <c r="C210" s="1" t="n">
        <v>46200</v>
      </c>
      <c r="D210" t="inlineStr">
        <is>
          <t>JÄMTLANDS LÄN</t>
        </is>
      </c>
      <c r="E210" t="inlineStr">
        <is>
          <t>ÖSTERSUND</t>
        </is>
      </c>
      <c r="G210" t="n">
        <v>2</v>
      </c>
      <c r="H210" t="n">
        <v>1</v>
      </c>
      <c r="I210" t="n">
        <v>0</v>
      </c>
      <c r="J210" t="n">
        <v>0</v>
      </c>
      <c r="K210" t="n">
        <v>0</v>
      </c>
      <c r="L210" t="n">
        <v>0</v>
      </c>
      <c r="M210" t="n">
        <v>0</v>
      </c>
      <c r="N210" t="n">
        <v>0</v>
      </c>
      <c r="O210" t="n">
        <v>0</v>
      </c>
      <c r="P210" t="n">
        <v>0</v>
      </c>
      <c r="Q210" t="n">
        <v>1</v>
      </c>
      <c r="R210" s="2" t="inlineStr">
        <is>
          <t>Blåsippa</t>
        </is>
      </c>
      <c r="S210">
        <f>HYPERLINK("https://klasma.github.io/Logging_2380/artfynd/A 32225-2024 artfynd.xlsx", "A 32225-2024")</f>
        <v/>
      </c>
      <c r="T210">
        <f>HYPERLINK("https://klasma.github.io/Logging_2380/kartor/A 32225-2024 karta.png", "A 32225-2024")</f>
        <v/>
      </c>
      <c r="V210">
        <f>HYPERLINK("https://klasma.github.io/Logging_2380/klagomål/A 32225-2024 FSC-klagomål.docx", "A 32225-2024")</f>
        <v/>
      </c>
      <c r="W210">
        <f>HYPERLINK("https://klasma.github.io/Logging_2380/klagomålsmail/A 32225-2024 FSC-klagomål mail.docx", "A 32225-2024")</f>
        <v/>
      </c>
      <c r="X210">
        <f>HYPERLINK("https://klasma.github.io/Logging_2380/tillsyn/A 32225-2024 tillsynsbegäran.docx", "A 32225-2024")</f>
        <v/>
      </c>
      <c r="Y210">
        <f>HYPERLINK("https://klasma.github.io/Logging_2380/tillsynsmail/A 32225-2024 tillsynsbegäran mail.docx", "A 32225-2024")</f>
        <v/>
      </c>
    </row>
    <row r="211" ht="15" customHeight="1">
      <c r="A211" t="inlineStr">
        <is>
          <t>A 20504-2026</t>
        </is>
      </c>
      <c r="B211" s="1" t="n">
        <v>46140</v>
      </c>
      <c r="C211" s="1" t="n">
        <v>46200</v>
      </c>
      <c r="D211" t="inlineStr">
        <is>
          <t>JÄMTLANDS LÄN</t>
        </is>
      </c>
      <c r="E211" t="inlineStr">
        <is>
          <t>ÖSTERSUND</t>
        </is>
      </c>
      <c r="F211" t="inlineStr">
        <is>
          <t>SCA</t>
        </is>
      </c>
      <c r="G211" t="n">
        <v>21.3</v>
      </c>
      <c r="H211" t="n">
        <v>1</v>
      </c>
      <c r="I211" t="n">
        <v>0</v>
      </c>
      <c r="J211" t="n">
        <v>1</v>
      </c>
      <c r="K211" t="n">
        <v>0</v>
      </c>
      <c r="L211" t="n">
        <v>0</v>
      </c>
      <c r="M211" t="n">
        <v>0</v>
      </c>
      <c r="N211" t="n">
        <v>0</v>
      </c>
      <c r="O211" t="n">
        <v>1</v>
      </c>
      <c r="P211" t="n">
        <v>0</v>
      </c>
      <c r="Q211" t="n">
        <v>1</v>
      </c>
      <c r="R211" s="2" t="inlineStr">
        <is>
          <t>Järnsparv</t>
        </is>
      </c>
      <c r="S211">
        <f>HYPERLINK("https://klasma.github.io/Logging_2380/artfynd/A 20504-2026 artfynd.xlsx", "A 20504-2026")</f>
        <v/>
      </c>
      <c r="T211">
        <f>HYPERLINK("https://klasma.github.io/Logging_2380/kartor/A 20504-2026 karta.png", "A 20504-2026")</f>
        <v/>
      </c>
      <c r="V211">
        <f>HYPERLINK("https://klasma.github.io/Logging_2380/klagomål/A 20504-2026 FSC-klagomål.docx", "A 20504-2026")</f>
        <v/>
      </c>
      <c r="W211">
        <f>HYPERLINK("https://klasma.github.io/Logging_2380/klagomålsmail/A 20504-2026 FSC-klagomål mail.docx", "A 20504-2026")</f>
        <v/>
      </c>
      <c r="X211">
        <f>HYPERLINK("https://klasma.github.io/Logging_2380/tillsyn/A 20504-2026 tillsynsbegäran.docx", "A 20504-2026")</f>
        <v/>
      </c>
      <c r="Y211">
        <f>HYPERLINK("https://klasma.github.io/Logging_2380/tillsynsmail/A 20504-2026 tillsynsbegäran mail.docx", "A 20504-2026")</f>
        <v/>
      </c>
      <c r="Z211">
        <f>HYPERLINK("https://klasma.github.io/Logging_2380/fåglar/A 20504-2026 prioriterade fågelarter.docx", "A 20504-2026")</f>
        <v/>
      </c>
    </row>
    <row r="212" ht="15" customHeight="1">
      <c r="A212" t="inlineStr">
        <is>
          <t>A 64380-2023</t>
        </is>
      </c>
      <c r="B212" s="1" t="n">
        <v>45280</v>
      </c>
      <c r="C212" s="1" t="n">
        <v>46200</v>
      </c>
      <c r="D212" t="inlineStr">
        <is>
          <t>JÄMTLANDS LÄN</t>
        </is>
      </c>
      <c r="E212" t="inlineStr">
        <is>
          <t>ÖSTERSUND</t>
        </is>
      </c>
      <c r="G212" t="n">
        <v>12.4</v>
      </c>
      <c r="H212" t="n">
        <v>0</v>
      </c>
      <c r="I212" t="n">
        <v>0</v>
      </c>
      <c r="J212" t="n">
        <v>1</v>
      </c>
      <c r="K212" t="n">
        <v>0</v>
      </c>
      <c r="L212" t="n">
        <v>0</v>
      </c>
      <c r="M212" t="n">
        <v>0</v>
      </c>
      <c r="N212" t="n">
        <v>0</v>
      </c>
      <c r="O212" t="n">
        <v>1</v>
      </c>
      <c r="P212" t="n">
        <v>0</v>
      </c>
      <c r="Q212" t="n">
        <v>1</v>
      </c>
      <c r="R212" s="2" t="inlineStr">
        <is>
          <t>Luddfingersvamp</t>
        </is>
      </c>
      <c r="S212">
        <f>HYPERLINK("https://klasma.github.io/Logging_2380/artfynd/A 64380-2023 artfynd.xlsx", "A 64380-2023")</f>
        <v/>
      </c>
      <c r="T212">
        <f>HYPERLINK("https://klasma.github.io/Logging_2380/kartor/A 64380-2023 karta.png", "A 64380-2023")</f>
        <v/>
      </c>
      <c r="V212">
        <f>HYPERLINK("https://klasma.github.io/Logging_2380/klagomål/A 64380-2023 FSC-klagomål.docx", "A 64380-2023")</f>
        <v/>
      </c>
      <c r="W212">
        <f>HYPERLINK("https://klasma.github.io/Logging_2380/klagomålsmail/A 64380-2023 FSC-klagomål mail.docx", "A 64380-2023")</f>
        <v/>
      </c>
      <c r="X212">
        <f>HYPERLINK("https://klasma.github.io/Logging_2380/tillsyn/A 64380-2023 tillsynsbegäran.docx", "A 64380-2023")</f>
        <v/>
      </c>
      <c r="Y212">
        <f>HYPERLINK("https://klasma.github.io/Logging_2380/tillsynsmail/A 64380-2023 tillsynsbegäran mail.docx", "A 64380-2023")</f>
        <v/>
      </c>
    </row>
    <row r="213" ht="15" customHeight="1">
      <c r="A213" t="inlineStr">
        <is>
          <t>A 20860-2026</t>
        </is>
      </c>
      <c r="B213" s="1" t="n">
        <v>46142</v>
      </c>
      <c r="C213" s="1" t="n">
        <v>46200</v>
      </c>
      <c r="D213" t="inlineStr">
        <is>
          <t>JÄMTLANDS LÄN</t>
        </is>
      </c>
      <c r="E213" t="inlineStr">
        <is>
          <t>ÖSTERSUND</t>
        </is>
      </c>
      <c r="F213" t="inlineStr">
        <is>
          <t>SCA</t>
        </is>
      </c>
      <c r="G213" t="n">
        <v>5.1</v>
      </c>
      <c r="H213" t="n">
        <v>0</v>
      </c>
      <c r="I213" t="n">
        <v>0</v>
      </c>
      <c r="J213" t="n">
        <v>1</v>
      </c>
      <c r="K213" t="n">
        <v>0</v>
      </c>
      <c r="L213" t="n">
        <v>0</v>
      </c>
      <c r="M213" t="n">
        <v>0</v>
      </c>
      <c r="N213" t="n">
        <v>0</v>
      </c>
      <c r="O213" t="n">
        <v>1</v>
      </c>
      <c r="P213" t="n">
        <v>0</v>
      </c>
      <c r="Q213" t="n">
        <v>1</v>
      </c>
      <c r="R213" s="2" t="inlineStr">
        <is>
          <t>Kolflarnlav</t>
        </is>
      </c>
      <c r="S213">
        <f>HYPERLINK("https://klasma.github.io/Logging_2380/artfynd/A 20860-2026 artfynd.xlsx", "A 20860-2026")</f>
        <v/>
      </c>
      <c r="T213">
        <f>HYPERLINK("https://klasma.github.io/Logging_2380/kartor/A 20860-2026 karta.png", "A 20860-2026")</f>
        <v/>
      </c>
      <c r="V213">
        <f>HYPERLINK("https://klasma.github.io/Logging_2380/klagomål/A 20860-2026 FSC-klagomål.docx", "A 20860-2026")</f>
        <v/>
      </c>
      <c r="W213">
        <f>HYPERLINK("https://klasma.github.io/Logging_2380/klagomålsmail/A 20860-2026 FSC-klagomål mail.docx", "A 20860-2026")</f>
        <v/>
      </c>
      <c r="X213">
        <f>HYPERLINK("https://klasma.github.io/Logging_2380/tillsyn/A 20860-2026 tillsynsbegäran.docx", "A 20860-2026")</f>
        <v/>
      </c>
      <c r="Y213">
        <f>HYPERLINK("https://klasma.github.io/Logging_2380/tillsynsmail/A 20860-2026 tillsynsbegäran mail.docx", "A 20860-2026")</f>
        <v/>
      </c>
    </row>
    <row r="214" ht="15" customHeight="1">
      <c r="A214" t="inlineStr">
        <is>
          <t>A 27652-2026</t>
        </is>
      </c>
      <c r="B214" s="1" t="n">
        <v>46190</v>
      </c>
      <c r="C214" s="1" t="n">
        <v>46200</v>
      </c>
      <c r="D214" t="inlineStr">
        <is>
          <t>JÄMTLANDS LÄN</t>
        </is>
      </c>
      <c r="E214" t="inlineStr">
        <is>
          <t>ÖSTERSUND</t>
        </is>
      </c>
      <c r="G214" t="n">
        <v>4.7</v>
      </c>
      <c r="H214" t="n">
        <v>0</v>
      </c>
      <c r="I214" t="n">
        <v>0</v>
      </c>
      <c r="J214" t="n">
        <v>1</v>
      </c>
      <c r="K214" t="n">
        <v>0</v>
      </c>
      <c r="L214" t="n">
        <v>0</v>
      </c>
      <c r="M214" t="n">
        <v>0</v>
      </c>
      <c r="N214" t="n">
        <v>0</v>
      </c>
      <c r="O214" t="n">
        <v>1</v>
      </c>
      <c r="P214" t="n">
        <v>0</v>
      </c>
      <c r="Q214" t="n">
        <v>1</v>
      </c>
      <c r="R214" s="2" t="inlineStr">
        <is>
          <t>Skrovellav</t>
        </is>
      </c>
      <c r="S214">
        <f>HYPERLINK("https://klasma.github.io/Logging_2380/artfynd/A 27652-2026 artfynd.xlsx", "A 27652-2026")</f>
        <v/>
      </c>
      <c r="T214">
        <f>HYPERLINK("https://klasma.github.io/Logging_2380/kartor/A 27652-2026 karta.png", "A 27652-2026")</f>
        <v/>
      </c>
      <c r="V214">
        <f>HYPERLINK("https://klasma.github.io/Logging_2380/klagomål/A 27652-2026 FSC-klagomål.docx", "A 27652-2026")</f>
        <v/>
      </c>
      <c r="W214">
        <f>HYPERLINK("https://klasma.github.io/Logging_2380/klagomålsmail/A 27652-2026 FSC-klagomål mail.docx", "A 27652-2026")</f>
        <v/>
      </c>
      <c r="X214">
        <f>HYPERLINK("https://klasma.github.io/Logging_2380/tillsyn/A 27652-2026 tillsynsbegäran.docx", "A 27652-2026")</f>
        <v/>
      </c>
      <c r="Y214">
        <f>HYPERLINK("https://klasma.github.io/Logging_2380/tillsynsmail/A 27652-2026 tillsynsbegäran mail.docx", "A 27652-2026")</f>
        <v/>
      </c>
    </row>
    <row r="215" ht="15" customHeight="1">
      <c r="A215" t="inlineStr">
        <is>
          <t>A 43310-2021</t>
        </is>
      </c>
      <c r="B215" s="1" t="n">
        <v>44432</v>
      </c>
      <c r="C215" s="1" t="n">
        <v>46200</v>
      </c>
      <c r="D215" t="inlineStr">
        <is>
          <t>JÄMTLANDS LÄN</t>
        </is>
      </c>
      <c r="E215" t="inlineStr">
        <is>
          <t>ÖSTERSUND</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53453-2022</t>
        </is>
      </c>
      <c r="B216" s="1" t="n">
        <v>44879</v>
      </c>
      <c r="C216" s="1" t="n">
        <v>46200</v>
      </c>
      <c r="D216" t="inlineStr">
        <is>
          <t>JÄMTLANDS LÄN</t>
        </is>
      </c>
      <c r="E216" t="inlineStr">
        <is>
          <t>ÖSTERSUND</t>
        </is>
      </c>
      <c r="G216" t="n">
        <v>22.2</v>
      </c>
      <c r="H216" t="n">
        <v>0</v>
      </c>
      <c r="I216" t="n">
        <v>0</v>
      </c>
      <c r="J216" t="n">
        <v>0</v>
      </c>
      <c r="K216" t="n">
        <v>0</v>
      </c>
      <c r="L216" t="n">
        <v>0</v>
      </c>
      <c r="M216" t="n">
        <v>0</v>
      </c>
      <c r="N216" t="n">
        <v>0</v>
      </c>
      <c r="O216" t="n">
        <v>0</v>
      </c>
      <c r="P216" t="n">
        <v>0</v>
      </c>
      <c r="Q216" t="n">
        <v>0</v>
      </c>
      <c r="R216" s="2" t="inlineStr"/>
    </row>
    <row r="217" ht="15" customHeight="1">
      <c r="A217" t="inlineStr">
        <is>
          <t>A 64092-2021</t>
        </is>
      </c>
      <c r="B217" s="1" t="n">
        <v>44510</v>
      </c>
      <c r="C217" s="1" t="n">
        <v>46200</v>
      </c>
      <c r="D217" t="inlineStr">
        <is>
          <t>JÄMTLANDS LÄN</t>
        </is>
      </c>
      <c r="E217" t="inlineStr">
        <is>
          <t>ÖSTERSUND</t>
        </is>
      </c>
      <c r="G217" t="n">
        <v>5.6</v>
      </c>
      <c r="H217" t="n">
        <v>0</v>
      </c>
      <c r="I217" t="n">
        <v>0</v>
      </c>
      <c r="J217" t="n">
        <v>0</v>
      </c>
      <c r="K217" t="n">
        <v>0</v>
      </c>
      <c r="L217" t="n">
        <v>0</v>
      </c>
      <c r="M217" t="n">
        <v>0</v>
      </c>
      <c r="N217" t="n">
        <v>0</v>
      </c>
      <c r="O217" t="n">
        <v>0</v>
      </c>
      <c r="P217" t="n">
        <v>0</v>
      </c>
      <c r="Q217" t="n">
        <v>0</v>
      </c>
      <c r="R217" s="2" t="inlineStr"/>
    </row>
    <row r="218" ht="15" customHeight="1">
      <c r="A218" t="inlineStr">
        <is>
          <t>A 40038-2021</t>
        </is>
      </c>
      <c r="B218" s="1" t="n">
        <v>44418</v>
      </c>
      <c r="C218" s="1" t="n">
        <v>46200</v>
      </c>
      <c r="D218" t="inlineStr">
        <is>
          <t>JÄMTLANDS LÄN</t>
        </is>
      </c>
      <c r="E218" t="inlineStr">
        <is>
          <t>ÖSTERSUND</t>
        </is>
      </c>
      <c r="G218" t="n">
        <v>7</v>
      </c>
      <c r="H218" t="n">
        <v>0</v>
      </c>
      <c r="I218" t="n">
        <v>0</v>
      </c>
      <c r="J218" t="n">
        <v>0</v>
      </c>
      <c r="K218" t="n">
        <v>0</v>
      </c>
      <c r="L218" t="n">
        <v>0</v>
      </c>
      <c r="M218" t="n">
        <v>0</v>
      </c>
      <c r="N218" t="n">
        <v>0</v>
      </c>
      <c r="O218" t="n">
        <v>0</v>
      </c>
      <c r="P218" t="n">
        <v>0</v>
      </c>
      <c r="Q218" t="n">
        <v>0</v>
      </c>
      <c r="R218" s="2" t="inlineStr"/>
    </row>
    <row r="219" ht="15" customHeight="1">
      <c r="A219" t="inlineStr">
        <is>
          <t>A 32986-2021</t>
        </is>
      </c>
      <c r="B219" s="1" t="n">
        <v>44375</v>
      </c>
      <c r="C219" s="1" t="n">
        <v>46200</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67695-2021</t>
        </is>
      </c>
      <c r="B220" s="1" t="n">
        <v>44524</v>
      </c>
      <c r="C220" s="1" t="n">
        <v>46200</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72089-2021</t>
        </is>
      </c>
      <c r="B221" s="1" t="n">
        <v>44540</v>
      </c>
      <c r="C221" s="1" t="n">
        <v>46200</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43951-2022</t>
        </is>
      </c>
      <c r="B222" s="1" t="n">
        <v>44838</v>
      </c>
      <c r="C222" s="1" t="n">
        <v>46200</v>
      </c>
      <c r="D222" t="inlineStr">
        <is>
          <t>JÄMTLANDS LÄN</t>
        </is>
      </c>
      <c r="E222" t="inlineStr">
        <is>
          <t>ÖSTERSUND</t>
        </is>
      </c>
      <c r="F222" t="inlineStr">
        <is>
          <t>Övriga Aktiebolag</t>
        </is>
      </c>
      <c r="G222" t="n">
        <v>2.9</v>
      </c>
      <c r="H222" t="n">
        <v>0</v>
      </c>
      <c r="I222" t="n">
        <v>0</v>
      </c>
      <c r="J222" t="n">
        <v>0</v>
      </c>
      <c r="K222" t="n">
        <v>0</v>
      </c>
      <c r="L222" t="n">
        <v>0</v>
      </c>
      <c r="M222" t="n">
        <v>0</v>
      </c>
      <c r="N222" t="n">
        <v>0</v>
      </c>
      <c r="O222" t="n">
        <v>0</v>
      </c>
      <c r="P222" t="n">
        <v>0</v>
      </c>
      <c r="Q222" t="n">
        <v>0</v>
      </c>
      <c r="R222" s="2" t="inlineStr"/>
    </row>
    <row r="223" ht="15" customHeight="1">
      <c r="A223" t="inlineStr">
        <is>
          <t>A 8647-2022</t>
        </is>
      </c>
      <c r="B223" s="1" t="n">
        <v>44613</v>
      </c>
      <c r="C223" s="1" t="n">
        <v>46200</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2880-2022</t>
        </is>
      </c>
      <c r="B224" s="1" t="n">
        <v>44581</v>
      </c>
      <c r="C224" s="1" t="n">
        <v>46200</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47295-2022</t>
        </is>
      </c>
      <c r="B225" s="1" t="n">
        <v>44852</v>
      </c>
      <c r="C225" s="1" t="n">
        <v>46200</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46913-2022</t>
        </is>
      </c>
      <c r="B226" s="1" t="n">
        <v>44851</v>
      </c>
      <c r="C226" s="1" t="n">
        <v>46200</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695-2022</t>
        </is>
      </c>
      <c r="B227" s="1" t="n">
        <v>44566</v>
      </c>
      <c r="C227" s="1" t="n">
        <v>46200</v>
      </c>
      <c r="D227" t="inlineStr">
        <is>
          <t>JÄMTLANDS LÄN</t>
        </is>
      </c>
      <c r="E227" t="inlineStr">
        <is>
          <t>ÖSTERSUND</t>
        </is>
      </c>
      <c r="G227" t="n">
        <v>14.9</v>
      </c>
      <c r="H227" t="n">
        <v>0</v>
      </c>
      <c r="I227" t="n">
        <v>0</v>
      </c>
      <c r="J227" t="n">
        <v>0</v>
      </c>
      <c r="K227" t="n">
        <v>0</v>
      </c>
      <c r="L227" t="n">
        <v>0</v>
      </c>
      <c r="M227" t="n">
        <v>0</v>
      </c>
      <c r="N227" t="n">
        <v>0</v>
      </c>
      <c r="O227" t="n">
        <v>0</v>
      </c>
      <c r="P227" t="n">
        <v>0</v>
      </c>
      <c r="Q227" t="n">
        <v>0</v>
      </c>
      <c r="R227" s="2" t="inlineStr"/>
    </row>
    <row r="228" ht="15" customHeight="1">
      <c r="A228" t="inlineStr">
        <is>
          <t>A 29828-2022</t>
        </is>
      </c>
      <c r="B228" s="1" t="n">
        <v>44755</v>
      </c>
      <c r="C228" s="1" t="n">
        <v>46200</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154-2022</t>
        </is>
      </c>
      <c r="B229" s="1" t="n">
        <v>44561</v>
      </c>
      <c r="C229" s="1" t="n">
        <v>46200</v>
      </c>
      <c r="D229" t="inlineStr">
        <is>
          <t>JÄMTLANDS LÄN</t>
        </is>
      </c>
      <c r="E229" t="inlineStr">
        <is>
          <t>ÖSTERSUND</t>
        </is>
      </c>
      <c r="G229" t="n">
        <v>4.2</v>
      </c>
      <c r="H229" t="n">
        <v>0</v>
      </c>
      <c r="I229" t="n">
        <v>0</v>
      </c>
      <c r="J229" t="n">
        <v>0</v>
      </c>
      <c r="K229" t="n">
        <v>0</v>
      </c>
      <c r="L229" t="n">
        <v>0</v>
      </c>
      <c r="M229" t="n">
        <v>0</v>
      </c>
      <c r="N229" t="n">
        <v>0</v>
      </c>
      <c r="O229" t="n">
        <v>0</v>
      </c>
      <c r="P229" t="n">
        <v>0</v>
      </c>
      <c r="Q229" t="n">
        <v>0</v>
      </c>
      <c r="R229" s="2" t="inlineStr"/>
    </row>
    <row r="230" ht="15" customHeight="1">
      <c r="A230" t="inlineStr">
        <is>
          <t>A 32994-2021</t>
        </is>
      </c>
      <c r="B230" s="1" t="n">
        <v>44375</v>
      </c>
      <c r="C230" s="1" t="n">
        <v>46200</v>
      </c>
      <c r="D230" t="inlineStr">
        <is>
          <t>JÄMTLANDS LÄN</t>
        </is>
      </c>
      <c r="E230" t="inlineStr">
        <is>
          <t>ÖSTERSUND</t>
        </is>
      </c>
      <c r="G230" t="n">
        <v>0.1</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46200</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44267-2021</t>
        </is>
      </c>
      <c r="B232" s="1" t="n">
        <v>44434</v>
      </c>
      <c r="C232" s="1" t="n">
        <v>46200</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56148-2022</t>
        </is>
      </c>
      <c r="B233" s="1" t="n">
        <v>44889</v>
      </c>
      <c r="C233" s="1" t="n">
        <v>46200</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35032-2021</t>
        </is>
      </c>
      <c r="B234" s="1" t="n">
        <v>44383</v>
      </c>
      <c r="C234" s="1" t="n">
        <v>46200</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46002-2021</t>
        </is>
      </c>
      <c r="B235" s="1" t="n">
        <v>44441</v>
      </c>
      <c r="C235" s="1" t="n">
        <v>46200</v>
      </c>
      <c r="D235" t="inlineStr">
        <is>
          <t>JÄMTLANDS LÄN</t>
        </is>
      </c>
      <c r="E235" t="inlineStr">
        <is>
          <t>ÖSTERSUND</t>
        </is>
      </c>
      <c r="G235" t="n">
        <v>3.6</v>
      </c>
      <c r="H235" t="n">
        <v>0</v>
      </c>
      <c r="I235" t="n">
        <v>0</v>
      </c>
      <c r="J235" t="n">
        <v>0</v>
      </c>
      <c r="K235" t="n">
        <v>0</v>
      </c>
      <c r="L235" t="n">
        <v>0</v>
      </c>
      <c r="M235" t="n">
        <v>0</v>
      </c>
      <c r="N235" t="n">
        <v>0</v>
      </c>
      <c r="O235" t="n">
        <v>0</v>
      </c>
      <c r="P235" t="n">
        <v>0</v>
      </c>
      <c r="Q235" t="n">
        <v>0</v>
      </c>
      <c r="R235" s="2" t="inlineStr"/>
    </row>
    <row r="236" ht="15" customHeight="1">
      <c r="A236" t="inlineStr">
        <is>
          <t>A 47296-2022</t>
        </is>
      </c>
      <c r="B236" s="1" t="n">
        <v>44852</v>
      </c>
      <c r="C236" s="1" t="n">
        <v>46200</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52898-2022</t>
        </is>
      </c>
      <c r="B237" s="1" t="n">
        <v>44875</v>
      </c>
      <c r="C237" s="1" t="n">
        <v>46200</v>
      </c>
      <c r="D237" t="inlineStr">
        <is>
          <t>JÄMTLANDS LÄN</t>
        </is>
      </c>
      <c r="E237" t="inlineStr">
        <is>
          <t>ÖSTERSUND</t>
        </is>
      </c>
      <c r="F237" t="inlineStr">
        <is>
          <t>Övriga Aktiebolag</t>
        </is>
      </c>
      <c r="G237" t="n">
        <v>12.1</v>
      </c>
      <c r="H237" t="n">
        <v>0</v>
      </c>
      <c r="I237" t="n">
        <v>0</v>
      </c>
      <c r="J237" t="n">
        <v>0</v>
      </c>
      <c r="K237" t="n">
        <v>0</v>
      </c>
      <c r="L237" t="n">
        <v>0</v>
      </c>
      <c r="M237" t="n">
        <v>0</v>
      </c>
      <c r="N237" t="n">
        <v>0</v>
      </c>
      <c r="O237" t="n">
        <v>0</v>
      </c>
      <c r="P237" t="n">
        <v>0</v>
      </c>
      <c r="Q237" t="n">
        <v>0</v>
      </c>
      <c r="R237" s="2" t="inlineStr"/>
    </row>
    <row r="238" ht="15" customHeight="1">
      <c r="A238" t="inlineStr">
        <is>
          <t>A 72041-2021</t>
        </is>
      </c>
      <c r="B238" s="1" t="n">
        <v>44540</v>
      </c>
      <c r="C238" s="1" t="n">
        <v>46200</v>
      </c>
      <c r="D238" t="inlineStr">
        <is>
          <t>JÄMTLANDS LÄN</t>
        </is>
      </c>
      <c r="E238" t="inlineStr">
        <is>
          <t>ÖSTERSUND</t>
        </is>
      </c>
      <c r="G238" t="n">
        <v>0.4</v>
      </c>
      <c r="H238" t="n">
        <v>0</v>
      </c>
      <c r="I238" t="n">
        <v>0</v>
      </c>
      <c r="J238" t="n">
        <v>0</v>
      </c>
      <c r="K238" t="n">
        <v>0</v>
      </c>
      <c r="L238" t="n">
        <v>0</v>
      </c>
      <c r="M238" t="n">
        <v>0</v>
      </c>
      <c r="N238" t="n">
        <v>0</v>
      </c>
      <c r="O238" t="n">
        <v>0</v>
      </c>
      <c r="P238" t="n">
        <v>0</v>
      </c>
      <c r="Q238" t="n">
        <v>0</v>
      </c>
      <c r="R238" s="2" t="inlineStr"/>
    </row>
    <row r="239" ht="15" customHeight="1">
      <c r="A239" t="inlineStr">
        <is>
          <t>A 70816-2021</t>
        </is>
      </c>
      <c r="B239" s="1" t="n">
        <v>44537</v>
      </c>
      <c r="C239" s="1" t="n">
        <v>46200</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55105-2022</t>
        </is>
      </c>
      <c r="B240" s="1" t="n">
        <v>44886</v>
      </c>
      <c r="C240" s="1" t="n">
        <v>46200</v>
      </c>
      <c r="D240" t="inlineStr">
        <is>
          <t>JÄMTLANDS LÄN</t>
        </is>
      </c>
      <c r="E240" t="inlineStr">
        <is>
          <t>ÖSTERSUND</t>
        </is>
      </c>
      <c r="F240" t="inlineStr">
        <is>
          <t>Övriga Aktiebolag</t>
        </is>
      </c>
      <c r="G240" t="n">
        <v>2.4</v>
      </c>
      <c r="H240" t="n">
        <v>0</v>
      </c>
      <c r="I240" t="n">
        <v>0</v>
      </c>
      <c r="J240" t="n">
        <v>0</v>
      </c>
      <c r="K240" t="n">
        <v>0</v>
      </c>
      <c r="L240" t="n">
        <v>0</v>
      </c>
      <c r="M240" t="n">
        <v>0</v>
      </c>
      <c r="N240" t="n">
        <v>0</v>
      </c>
      <c r="O240" t="n">
        <v>0</v>
      </c>
      <c r="P240" t="n">
        <v>0</v>
      </c>
      <c r="Q240" t="n">
        <v>0</v>
      </c>
      <c r="R240" s="2" t="inlineStr"/>
      <c r="U240">
        <f>HYPERLINK("https://klasma.github.io/Logging_2380/knärot/A 55105-2022 karta knärot.png", "A 55105-2022")</f>
        <v/>
      </c>
      <c r="V240">
        <f>HYPERLINK("https://klasma.github.io/Logging_2380/klagomål/A 55105-2022 FSC-klagomål.docx", "A 55105-2022")</f>
        <v/>
      </c>
      <c r="W240">
        <f>HYPERLINK("https://klasma.github.io/Logging_2380/klagomålsmail/A 55105-2022 FSC-klagomål mail.docx", "A 55105-2022")</f>
        <v/>
      </c>
      <c r="X240">
        <f>HYPERLINK("https://klasma.github.io/Logging_2380/tillsyn/A 55105-2022 tillsynsbegäran.docx", "A 55105-2022")</f>
        <v/>
      </c>
      <c r="Y240">
        <f>HYPERLINK("https://klasma.github.io/Logging_2380/tillsynsmail/A 55105-2022 tillsynsbegäran mail.docx", "A 55105-2022")</f>
        <v/>
      </c>
    </row>
    <row r="241" ht="15" customHeight="1">
      <c r="A241" t="inlineStr">
        <is>
          <t>A 65866-2021</t>
        </is>
      </c>
      <c r="B241" s="1" t="n">
        <v>44516</v>
      </c>
      <c r="C241" s="1" t="n">
        <v>46200</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29094-2022</t>
        </is>
      </c>
      <c r="B242" s="1" t="n">
        <v>44750</v>
      </c>
      <c r="C242" s="1" t="n">
        <v>46200</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65991-2021</t>
        </is>
      </c>
      <c r="B243" s="1" t="n">
        <v>44517</v>
      </c>
      <c r="C243" s="1" t="n">
        <v>46200</v>
      </c>
      <c r="D243" t="inlineStr">
        <is>
          <t>JÄMTLANDS LÄN</t>
        </is>
      </c>
      <c r="E243" t="inlineStr">
        <is>
          <t>ÖSTERSUND</t>
        </is>
      </c>
      <c r="G243" t="n">
        <v>4.3</v>
      </c>
      <c r="H243" t="n">
        <v>0</v>
      </c>
      <c r="I243" t="n">
        <v>0</v>
      </c>
      <c r="J243" t="n">
        <v>0</v>
      </c>
      <c r="K243" t="n">
        <v>0</v>
      </c>
      <c r="L243" t="n">
        <v>0</v>
      </c>
      <c r="M243" t="n">
        <v>0</v>
      </c>
      <c r="N243" t="n">
        <v>0</v>
      </c>
      <c r="O243" t="n">
        <v>0</v>
      </c>
      <c r="P243" t="n">
        <v>0</v>
      </c>
      <c r="Q243" t="n">
        <v>0</v>
      </c>
      <c r="R243" s="2" t="inlineStr"/>
    </row>
    <row r="244" ht="15" customHeight="1">
      <c r="A244" t="inlineStr">
        <is>
          <t>A 6458-2022</t>
        </is>
      </c>
      <c r="B244" s="1" t="n">
        <v>44601</v>
      </c>
      <c r="C244" s="1" t="n">
        <v>46200</v>
      </c>
      <c r="D244" t="inlineStr">
        <is>
          <t>JÄMTLANDS LÄN</t>
        </is>
      </c>
      <c r="E244" t="inlineStr">
        <is>
          <t>ÖSTERSUND</t>
        </is>
      </c>
      <c r="G244" t="n">
        <v>3.1</v>
      </c>
      <c r="H244" t="n">
        <v>0</v>
      </c>
      <c r="I244" t="n">
        <v>0</v>
      </c>
      <c r="J244" t="n">
        <v>0</v>
      </c>
      <c r="K244" t="n">
        <v>0</v>
      </c>
      <c r="L244" t="n">
        <v>0</v>
      </c>
      <c r="M244" t="n">
        <v>0</v>
      </c>
      <c r="N244" t="n">
        <v>0</v>
      </c>
      <c r="O244" t="n">
        <v>0</v>
      </c>
      <c r="P244" t="n">
        <v>0</v>
      </c>
      <c r="Q244" t="n">
        <v>0</v>
      </c>
      <c r="R244" s="2" t="inlineStr"/>
    </row>
    <row r="245" ht="15" customHeight="1">
      <c r="A245" t="inlineStr">
        <is>
          <t>A 42832-2021</t>
        </is>
      </c>
      <c r="B245" s="1" t="n">
        <v>44430</v>
      </c>
      <c r="C245" s="1" t="n">
        <v>46200</v>
      </c>
      <c r="D245" t="inlineStr">
        <is>
          <t>JÄMTLANDS LÄN</t>
        </is>
      </c>
      <c r="E245" t="inlineStr">
        <is>
          <t>ÖSTERSUND</t>
        </is>
      </c>
      <c r="G245" t="n">
        <v>9</v>
      </c>
      <c r="H245" t="n">
        <v>0</v>
      </c>
      <c r="I245" t="n">
        <v>0</v>
      </c>
      <c r="J245" t="n">
        <v>0</v>
      </c>
      <c r="K245" t="n">
        <v>0</v>
      </c>
      <c r="L245" t="n">
        <v>0</v>
      </c>
      <c r="M245" t="n">
        <v>0</v>
      </c>
      <c r="N245" t="n">
        <v>0</v>
      </c>
      <c r="O245" t="n">
        <v>0</v>
      </c>
      <c r="P245" t="n">
        <v>0</v>
      </c>
      <c r="Q245" t="n">
        <v>0</v>
      </c>
      <c r="R245" s="2" t="inlineStr"/>
    </row>
    <row r="246" ht="15" customHeight="1">
      <c r="A246" t="inlineStr">
        <is>
          <t>A 35755-2021</t>
        </is>
      </c>
      <c r="B246" s="1" t="n">
        <v>44385</v>
      </c>
      <c r="C246" s="1" t="n">
        <v>46200</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23992-2022</t>
        </is>
      </c>
      <c r="B247" s="1" t="n">
        <v>44722</v>
      </c>
      <c r="C247" s="1" t="n">
        <v>46200</v>
      </c>
      <c r="D247" t="inlineStr">
        <is>
          <t>JÄMTLANDS LÄN</t>
        </is>
      </c>
      <c r="E247" t="inlineStr">
        <is>
          <t>ÖSTERSUND</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23993-2022</t>
        </is>
      </c>
      <c r="B248" s="1" t="n">
        <v>44722</v>
      </c>
      <c r="C248" s="1" t="n">
        <v>46200</v>
      </c>
      <c r="D248" t="inlineStr">
        <is>
          <t>JÄMTLANDS LÄN</t>
        </is>
      </c>
      <c r="E248" t="inlineStr">
        <is>
          <t>ÖSTERSUND</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23551-2022</t>
        </is>
      </c>
      <c r="B249" s="1" t="n">
        <v>44721</v>
      </c>
      <c r="C249" s="1" t="n">
        <v>46200</v>
      </c>
      <c r="D249" t="inlineStr">
        <is>
          <t>JÄMTLANDS LÄN</t>
        </is>
      </c>
      <c r="E249" t="inlineStr">
        <is>
          <t>ÖSTERSUND</t>
        </is>
      </c>
      <c r="G249" t="n">
        <v>0.3</v>
      </c>
      <c r="H249" t="n">
        <v>0</v>
      </c>
      <c r="I249" t="n">
        <v>0</v>
      </c>
      <c r="J249" t="n">
        <v>0</v>
      </c>
      <c r="K249" t="n">
        <v>0</v>
      </c>
      <c r="L249" t="n">
        <v>0</v>
      </c>
      <c r="M249" t="n">
        <v>0</v>
      </c>
      <c r="N249" t="n">
        <v>0</v>
      </c>
      <c r="O249" t="n">
        <v>0</v>
      </c>
      <c r="P249" t="n">
        <v>0</v>
      </c>
      <c r="Q249" t="n">
        <v>0</v>
      </c>
      <c r="R249" s="2" t="inlineStr"/>
    </row>
    <row r="250" ht="15" customHeight="1">
      <c r="A250" t="inlineStr">
        <is>
          <t>A 45654-2022</t>
        </is>
      </c>
      <c r="B250" s="1" t="n">
        <v>44845</v>
      </c>
      <c r="C250" s="1" t="n">
        <v>46200</v>
      </c>
      <c r="D250" t="inlineStr">
        <is>
          <t>JÄMTLANDS LÄN</t>
        </is>
      </c>
      <c r="E250" t="inlineStr">
        <is>
          <t>ÖSTERSUND</t>
        </is>
      </c>
      <c r="G250" t="n">
        <v>0.4</v>
      </c>
      <c r="H250" t="n">
        <v>0</v>
      </c>
      <c r="I250" t="n">
        <v>0</v>
      </c>
      <c r="J250" t="n">
        <v>0</v>
      </c>
      <c r="K250" t="n">
        <v>0</v>
      </c>
      <c r="L250" t="n">
        <v>0</v>
      </c>
      <c r="M250" t="n">
        <v>0</v>
      </c>
      <c r="N250" t="n">
        <v>0</v>
      </c>
      <c r="O250" t="n">
        <v>0</v>
      </c>
      <c r="P250" t="n">
        <v>0</v>
      </c>
      <c r="Q250" t="n">
        <v>0</v>
      </c>
      <c r="R250" s="2" t="inlineStr"/>
    </row>
    <row r="251" ht="15" customHeight="1">
      <c r="A251" t="inlineStr">
        <is>
          <t>A 32990-2021</t>
        </is>
      </c>
      <c r="B251" s="1" t="n">
        <v>44375</v>
      </c>
      <c r="C251" s="1" t="n">
        <v>46200</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14657-2022</t>
        </is>
      </c>
      <c r="B252" s="1" t="n">
        <v>44655</v>
      </c>
      <c r="C252" s="1" t="n">
        <v>46200</v>
      </c>
      <c r="D252" t="inlineStr">
        <is>
          <t>JÄMTLANDS LÄN</t>
        </is>
      </c>
      <c r="E252" t="inlineStr">
        <is>
          <t>ÖSTERSUND</t>
        </is>
      </c>
      <c r="G252" t="n">
        <v>1.1</v>
      </c>
      <c r="H252" t="n">
        <v>0</v>
      </c>
      <c r="I252" t="n">
        <v>0</v>
      </c>
      <c r="J252" t="n">
        <v>0</v>
      </c>
      <c r="K252" t="n">
        <v>0</v>
      </c>
      <c r="L252" t="n">
        <v>0</v>
      </c>
      <c r="M252" t="n">
        <v>0</v>
      </c>
      <c r="N252" t="n">
        <v>0</v>
      </c>
      <c r="O252" t="n">
        <v>0</v>
      </c>
      <c r="P252" t="n">
        <v>0</v>
      </c>
      <c r="Q252" t="n">
        <v>0</v>
      </c>
      <c r="R252" s="2" t="inlineStr"/>
    </row>
    <row r="253" ht="15" customHeight="1">
      <c r="A253" t="inlineStr">
        <is>
          <t>A 72061-2021</t>
        </is>
      </c>
      <c r="B253" s="1" t="n">
        <v>44540</v>
      </c>
      <c r="C253" s="1" t="n">
        <v>46200</v>
      </c>
      <c r="D253" t="inlineStr">
        <is>
          <t>JÄMTLANDS LÄN</t>
        </is>
      </c>
      <c r="E253" t="inlineStr">
        <is>
          <t>ÖSTERSUND</t>
        </is>
      </c>
      <c r="G253" t="n">
        <v>5.3</v>
      </c>
      <c r="H253" t="n">
        <v>0</v>
      </c>
      <c r="I253" t="n">
        <v>0</v>
      </c>
      <c r="J253" t="n">
        <v>0</v>
      </c>
      <c r="K253" t="n">
        <v>0</v>
      </c>
      <c r="L253" t="n">
        <v>0</v>
      </c>
      <c r="M253" t="n">
        <v>0</v>
      </c>
      <c r="N253" t="n">
        <v>0</v>
      </c>
      <c r="O253" t="n">
        <v>0</v>
      </c>
      <c r="P253" t="n">
        <v>0</v>
      </c>
      <c r="Q253" t="n">
        <v>0</v>
      </c>
      <c r="R253" s="2" t="inlineStr"/>
    </row>
    <row r="254" ht="15" customHeight="1">
      <c r="A254" t="inlineStr">
        <is>
          <t>A 63099-2023</t>
        </is>
      </c>
      <c r="B254" s="1" t="n">
        <v>45273</v>
      </c>
      <c r="C254" s="1" t="n">
        <v>46200</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58407-2024</t>
        </is>
      </c>
      <c r="B255" s="1" t="n">
        <v>45634</v>
      </c>
      <c r="C255" s="1" t="n">
        <v>46200</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46200</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53802-2022</t>
        </is>
      </c>
      <c r="B257" s="1" t="n">
        <v>44875</v>
      </c>
      <c r="C257" s="1" t="n">
        <v>46200</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13282-2023</t>
        </is>
      </c>
      <c r="B258" s="1" t="n">
        <v>45004</v>
      </c>
      <c r="C258" s="1" t="n">
        <v>46200</v>
      </c>
      <c r="D258" t="inlineStr">
        <is>
          <t>JÄMTLANDS LÄN</t>
        </is>
      </c>
      <c r="E258" t="inlineStr">
        <is>
          <t>ÖSTERSUND</t>
        </is>
      </c>
      <c r="G258" t="n">
        <v>28.5</v>
      </c>
      <c r="H258" t="n">
        <v>0</v>
      </c>
      <c r="I258" t="n">
        <v>0</v>
      </c>
      <c r="J258" t="n">
        <v>0</v>
      </c>
      <c r="K258" t="n">
        <v>0</v>
      </c>
      <c r="L258" t="n">
        <v>0</v>
      </c>
      <c r="M258" t="n">
        <v>0</v>
      </c>
      <c r="N258" t="n">
        <v>0</v>
      </c>
      <c r="O258" t="n">
        <v>0</v>
      </c>
      <c r="P258" t="n">
        <v>0</v>
      </c>
      <c r="Q258" t="n">
        <v>0</v>
      </c>
      <c r="R258" s="2" t="inlineStr"/>
    </row>
    <row r="259" ht="15" customHeight="1">
      <c r="A259" t="inlineStr">
        <is>
          <t>A 6013-2022</t>
        </is>
      </c>
      <c r="B259" s="1" t="n">
        <v>44599</v>
      </c>
      <c r="C259" s="1" t="n">
        <v>46200</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45980-2023</t>
        </is>
      </c>
      <c r="B260" s="1" t="n">
        <v>45189</v>
      </c>
      <c r="C260" s="1" t="n">
        <v>46200</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60575-2022</t>
        </is>
      </c>
      <c r="B261" s="1" t="n">
        <v>44911</v>
      </c>
      <c r="C261" s="1" t="n">
        <v>46200</v>
      </c>
      <c r="D261" t="inlineStr">
        <is>
          <t>JÄMTLANDS LÄN</t>
        </is>
      </c>
      <c r="E261" t="inlineStr">
        <is>
          <t>ÖSTERSUND</t>
        </is>
      </c>
      <c r="G261" t="n">
        <v>1</v>
      </c>
      <c r="H261" t="n">
        <v>0</v>
      </c>
      <c r="I261" t="n">
        <v>0</v>
      </c>
      <c r="J261" t="n">
        <v>0</v>
      </c>
      <c r="K261" t="n">
        <v>0</v>
      </c>
      <c r="L261" t="n">
        <v>0</v>
      </c>
      <c r="M261" t="n">
        <v>0</v>
      </c>
      <c r="N261" t="n">
        <v>0</v>
      </c>
      <c r="O261" t="n">
        <v>0</v>
      </c>
      <c r="P261" t="n">
        <v>0</v>
      </c>
      <c r="Q261" t="n">
        <v>0</v>
      </c>
      <c r="R261" s="2" t="inlineStr"/>
    </row>
    <row r="262" ht="15" customHeight="1">
      <c r="A262" t="inlineStr">
        <is>
          <t>A 27780-2022</t>
        </is>
      </c>
      <c r="B262" s="1" t="n">
        <v>44743</v>
      </c>
      <c r="C262" s="1" t="n">
        <v>46200</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31464-2024</t>
        </is>
      </c>
      <c r="B263" s="1" t="n">
        <v>45505</v>
      </c>
      <c r="C263" s="1" t="n">
        <v>46200</v>
      </c>
      <c r="D263" t="inlineStr">
        <is>
          <t>JÄMTLANDS LÄN</t>
        </is>
      </c>
      <c r="E263" t="inlineStr">
        <is>
          <t>ÖSTERSUND</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7573-2022</t>
        </is>
      </c>
      <c r="B264" s="1" t="n">
        <v>44607</v>
      </c>
      <c r="C264" s="1" t="n">
        <v>46200</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23555-2022</t>
        </is>
      </c>
      <c r="B265" s="1" t="n">
        <v>44721</v>
      </c>
      <c r="C265" s="1" t="n">
        <v>46200</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54237-2024</t>
        </is>
      </c>
      <c r="B266" s="1" t="n">
        <v>45616</v>
      </c>
      <c r="C266" s="1" t="n">
        <v>46200</v>
      </c>
      <c r="D266" t="inlineStr">
        <is>
          <t>JÄMTLANDS LÄN</t>
        </is>
      </c>
      <c r="E266" t="inlineStr">
        <is>
          <t>ÖSTERSUND</t>
        </is>
      </c>
      <c r="F266" t="inlineStr">
        <is>
          <t>SCA</t>
        </is>
      </c>
      <c r="G266" t="n">
        <v>8.9</v>
      </c>
      <c r="H266" t="n">
        <v>0</v>
      </c>
      <c r="I266" t="n">
        <v>0</v>
      </c>
      <c r="J266" t="n">
        <v>0</v>
      </c>
      <c r="K266" t="n">
        <v>0</v>
      </c>
      <c r="L266" t="n">
        <v>0</v>
      </c>
      <c r="M266" t="n">
        <v>0</v>
      </c>
      <c r="N266" t="n">
        <v>0</v>
      </c>
      <c r="O266" t="n">
        <v>0</v>
      </c>
      <c r="P266" t="n">
        <v>0</v>
      </c>
      <c r="Q266" t="n">
        <v>0</v>
      </c>
      <c r="R266" s="2" t="inlineStr"/>
    </row>
    <row r="267" ht="15" customHeight="1">
      <c r="A267" t="inlineStr">
        <is>
          <t>A 2228-2024</t>
        </is>
      </c>
      <c r="B267" s="1" t="n">
        <v>45309</v>
      </c>
      <c r="C267" s="1" t="n">
        <v>46200</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29703-2023</t>
        </is>
      </c>
      <c r="B268" s="1" t="n">
        <v>45107</v>
      </c>
      <c r="C268" s="1" t="n">
        <v>46200</v>
      </c>
      <c r="D268" t="inlineStr">
        <is>
          <t>JÄMTLANDS LÄN</t>
        </is>
      </c>
      <c r="E268" t="inlineStr">
        <is>
          <t>ÖSTERSUND</t>
        </is>
      </c>
      <c r="G268" t="n">
        <v>0.3</v>
      </c>
      <c r="H268" t="n">
        <v>0</v>
      </c>
      <c r="I268" t="n">
        <v>0</v>
      </c>
      <c r="J268" t="n">
        <v>0</v>
      </c>
      <c r="K268" t="n">
        <v>0</v>
      </c>
      <c r="L268" t="n">
        <v>0</v>
      </c>
      <c r="M268" t="n">
        <v>0</v>
      </c>
      <c r="N268" t="n">
        <v>0</v>
      </c>
      <c r="O268" t="n">
        <v>0</v>
      </c>
      <c r="P268" t="n">
        <v>0</v>
      </c>
      <c r="Q268" t="n">
        <v>0</v>
      </c>
      <c r="R268" s="2" t="inlineStr"/>
    </row>
    <row r="269" ht="15" customHeight="1">
      <c r="A269" t="inlineStr">
        <is>
          <t>A 296-2023</t>
        </is>
      </c>
      <c r="B269" s="1" t="n">
        <v>44922</v>
      </c>
      <c r="C269" s="1" t="n">
        <v>46200</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17732-2022</t>
        </is>
      </c>
      <c r="B270" s="1" t="n">
        <v>44680</v>
      </c>
      <c r="C270" s="1" t="n">
        <v>46200</v>
      </c>
      <c r="D270" t="inlineStr">
        <is>
          <t>JÄMTLANDS LÄN</t>
        </is>
      </c>
      <c r="E270" t="inlineStr">
        <is>
          <t>ÖSTERSUND</t>
        </is>
      </c>
      <c r="G270" t="n">
        <v>5.4</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v>
      </c>
      <c r="C271" s="1" t="n">
        <v>46200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61530-2023</t>
        </is>
      </c>
      <c r="B272" s="1" t="n">
        <v>45261</v>
      </c>
      <c r="C272" s="1" t="n">
        <v>46200</v>
      </c>
      <c r="D272" t="inlineStr">
        <is>
          <t>JÄMTLANDS LÄN</t>
        </is>
      </c>
      <c r="E272" t="inlineStr">
        <is>
          <t>ÖSTERSUND</t>
        </is>
      </c>
      <c r="F272" t="inlineStr">
        <is>
          <t>Övriga statliga verk och myndigheter</t>
        </is>
      </c>
      <c r="G272" t="n">
        <v>1</v>
      </c>
      <c r="H272" t="n">
        <v>0</v>
      </c>
      <c r="I272" t="n">
        <v>0</v>
      </c>
      <c r="J272" t="n">
        <v>0</v>
      </c>
      <c r="K272" t="n">
        <v>0</v>
      </c>
      <c r="L272" t="n">
        <v>0</v>
      </c>
      <c r="M272" t="n">
        <v>0</v>
      </c>
      <c r="N272" t="n">
        <v>0</v>
      </c>
      <c r="O272" t="n">
        <v>0</v>
      </c>
      <c r="P272" t="n">
        <v>0</v>
      </c>
      <c r="Q272" t="n">
        <v>0</v>
      </c>
      <c r="R272" s="2" t="inlineStr"/>
    </row>
    <row r="273" ht="15" customHeight="1">
      <c r="A273" t="inlineStr">
        <is>
          <t>A 48106-2024</t>
        </is>
      </c>
      <c r="B273" s="1" t="n">
        <v>45589</v>
      </c>
      <c r="C273" s="1" t="n">
        <v>46200</v>
      </c>
      <c r="D273" t="inlineStr">
        <is>
          <t>JÄMTLANDS LÄN</t>
        </is>
      </c>
      <c r="E273" t="inlineStr">
        <is>
          <t>ÖSTERSUND</t>
        </is>
      </c>
      <c r="G273" t="n">
        <v>3.5</v>
      </c>
      <c r="H273" t="n">
        <v>0</v>
      </c>
      <c r="I273" t="n">
        <v>0</v>
      </c>
      <c r="J273" t="n">
        <v>0</v>
      </c>
      <c r="K273" t="n">
        <v>0</v>
      </c>
      <c r="L273" t="n">
        <v>0</v>
      </c>
      <c r="M273" t="n">
        <v>0</v>
      </c>
      <c r="N273" t="n">
        <v>0</v>
      </c>
      <c r="O273" t="n">
        <v>0</v>
      </c>
      <c r="P273" t="n">
        <v>0</v>
      </c>
      <c r="Q273" t="n">
        <v>0</v>
      </c>
      <c r="R273" s="2" t="inlineStr"/>
    </row>
    <row r="274" ht="15" customHeight="1">
      <c r="A274" t="inlineStr">
        <is>
          <t>A 10493-2025</t>
        </is>
      </c>
      <c r="B274" s="1" t="n">
        <v>45721</v>
      </c>
      <c r="C274" s="1" t="n">
        <v>46200</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1255-2025</t>
        </is>
      </c>
      <c r="B275" s="1" t="n">
        <v>45667</v>
      </c>
      <c r="C275" s="1" t="n">
        <v>46200</v>
      </c>
      <c r="D275" t="inlineStr">
        <is>
          <t>JÄMTLANDS LÄN</t>
        </is>
      </c>
      <c r="E275" t="inlineStr">
        <is>
          <t>ÖSTERSUND</t>
        </is>
      </c>
      <c r="F275" t="inlineStr">
        <is>
          <t>SCA</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21495-2022</t>
        </is>
      </c>
      <c r="B276" s="1" t="n">
        <v>44706</v>
      </c>
      <c r="C276" s="1" t="n">
        <v>46200</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25535-2023</t>
        </is>
      </c>
      <c r="B277" s="1" t="n">
        <v>45089</v>
      </c>
      <c r="C277" s="1" t="n">
        <v>46200</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v>
      </c>
      <c r="C278" s="1" t="n">
        <v>46200</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4521-2025</t>
        </is>
      </c>
      <c r="B279" s="1" t="n">
        <v>45686</v>
      </c>
      <c r="C279" s="1" t="n">
        <v>46200</v>
      </c>
      <c r="D279" t="inlineStr">
        <is>
          <t>JÄMTLANDS LÄN</t>
        </is>
      </c>
      <c r="E279" t="inlineStr">
        <is>
          <t>ÖSTERSUND</t>
        </is>
      </c>
      <c r="G279" t="n">
        <v>28.4</v>
      </c>
      <c r="H279" t="n">
        <v>0</v>
      </c>
      <c r="I279" t="n">
        <v>0</v>
      </c>
      <c r="J279" t="n">
        <v>0</v>
      </c>
      <c r="K279" t="n">
        <v>0</v>
      </c>
      <c r="L279" t="n">
        <v>0</v>
      </c>
      <c r="M279" t="n">
        <v>0</v>
      </c>
      <c r="N279" t="n">
        <v>0</v>
      </c>
      <c r="O279" t="n">
        <v>0</v>
      </c>
      <c r="P279" t="n">
        <v>0</v>
      </c>
      <c r="Q279" t="n">
        <v>0</v>
      </c>
      <c r="R279" s="2" t="inlineStr"/>
    </row>
    <row r="280" ht="15" customHeight="1">
      <c r="A280" t="inlineStr">
        <is>
          <t>A 47627-2024</t>
        </is>
      </c>
      <c r="B280" s="1" t="n">
        <v>45588</v>
      </c>
      <c r="C280" s="1" t="n">
        <v>46200</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24246-2024</t>
        </is>
      </c>
      <c r="B281" s="1" t="n">
        <v>45457</v>
      </c>
      <c r="C281" s="1" t="n">
        <v>46200</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57398-2023</t>
        </is>
      </c>
      <c r="B282" s="1" t="n">
        <v>45245</v>
      </c>
      <c r="C282" s="1" t="n">
        <v>46200</v>
      </c>
      <c r="D282" t="inlineStr">
        <is>
          <t>JÄMTLANDS LÄN</t>
        </is>
      </c>
      <c r="E282" t="inlineStr">
        <is>
          <t>ÖSTERSUND</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55678-2023</t>
        </is>
      </c>
      <c r="B283" s="1" t="n">
        <v>45239</v>
      </c>
      <c r="C283" s="1" t="n">
        <v>46200</v>
      </c>
      <c r="D283" t="inlineStr">
        <is>
          <t>JÄMTLANDS LÄN</t>
        </is>
      </c>
      <c r="E283" t="inlineStr">
        <is>
          <t>ÖSTERSUND</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44051-2021</t>
        </is>
      </c>
      <c r="B284" s="1" t="n">
        <v>44434</v>
      </c>
      <c r="C284" s="1" t="n">
        <v>46200</v>
      </c>
      <c r="D284" t="inlineStr">
        <is>
          <t>JÄMTLANDS LÄN</t>
        </is>
      </c>
      <c r="E284" t="inlineStr">
        <is>
          <t>ÖSTERSUND</t>
        </is>
      </c>
      <c r="G284" t="n">
        <v>2.9</v>
      </c>
      <c r="H284" t="n">
        <v>0</v>
      </c>
      <c r="I284" t="n">
        <v>0</v>
      </c>
      <c r="J284" t="n">
        <v>0</v>
      </c>
      <c r="K284" t="n">
        <v>0</v>
      </c>
      <c r="L284" t="n">
        <v>0</v>
      </c>
      <c r="M284" t="n">
        <v>0</v>
      </c>
      <c r="N284" t="n">
        <v>0</v>
      </c>
      <c r="O284" t="n">
        <v>0</v>
      </c>
      <c r="P284" t="n">
        <v>0</v>
      </c>
      <c r="Q284" t="n">
        <v>0</v>
      </c>
      <c r="R284" s="2" t="inlineStr"/>
    </row>
    <row r="285" ht="15" customHeight="1">
      <c r="A285" t="inlineStr">
        <is>
          <t>A 55235-2023</t>
        </is>
      </c>
      <c r="B285" s="1" t="n">
        <v>45231</v>
      </c>
      <c r="C285" s="1" t="n">
        <v>46200</v>
      </c>
      <c r="D285" t="inlineStr">
        <is>
          <t>JÄMTLANDS LÄN</t>
        </is>
      </c>
      <c r="E285" t="inlineStr">
        <is>
          <t>ÖSTERSUND</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38644-2021</t>
        </is>
      </c>
      <c r="B286" s="1" t="n">
        <v>44410</v>
      </c>
      <c r="C286" s="1" t="n">
        <v>46200</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2984-2024</t>
        </is>
      </c>
      <c r="B287" s="1" t="n">
        <v>45315</v>
      </c>
      <c r="C287" s="1" t="n">
        <v>46200</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55002-2024</t>
        </is>
      </c>
      <c r="B288" s="1" t="n">
        <v>45621</v>
      </c>
      <c r="C288" s="1" t="n">
        <v>46200</v>
      </c>
      <c r="D288" t="inlineStr">
        <is>
          <t>JÄMTLANDS LÄN</t>
        </is>
      </c>
      <c r="E288" t="inlineStr">
        <is>
          <t>ÖSTERSUND</t>
        </is>
      </c>
      <c r="F288" t="inlineStr">
        <is>
          <t>Övriga Aktiebolag</t>
        </is>
      </c>
      <c r="G288" t="n">
        <v>0.3</v>
      </c>
      <c r="H288" t="n">
        <v>0</v>
      </c>
      <c r="I288" t="n">
        <v>0</v>
      </c>
      <c r="J288" t="n">
        <v>0</v>
      </c>
      <c r="K288" t="n">
        <v>0</v>
      </c>
      <c r="L288" t="n">
        <v>0</v>
      </c>
      <c r="M288" t="n">
        <v>0</v>
      </c>
      <c r="N288" t="n">
        <v>0</v>
      </c>
      <c r="O288" t="n">
        <v>0</v>
      </c>
      <c r="P288" t="n">
        <v>0</v>
      </c>
      <c r="Q288" t="n">
        <v>0</v>
      </c>
      <c r="R288" s="2" t="inlineStr"/>
    </row>
    <row r="289" ht="15" customHeight="1">
      <c r="A289" t="inlineStr">
        <is>
          <t>A 55666-2023</t>
        </is>
      </c>
      <c r="B289" s="1" t="n">
        <v>45238</v>
      </c>
      <c r="C289" s="1" t="n">
        <v>46200</v>
      </c>
      <c r="D289" t="inlineStr">
        <is>
          <t>JÄMTLANDS LÄN</t>
        </is>
      </c>
      <c r="E289" t="inlineStr">
        <is>
          <t>ÖSTERSUND</t>
        </is>
      </c>
      <c r="F289" t="inlineStr">
        <is>
          <t>SCA</t>
        </is>
      </c>
      <c r="G289" t="n">
        <v>2.5</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v>
      </c>
      <c r="C290" s="1" t="n">
        <v>46200</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7936-2025</t>
        </is>
      </c>
      <c r="B291" s="1" t="n">
        <v>45707</v>
      </c>
      <c r="C291" s="1" t="n">
        <v>46200</v>
      </c>
      <c r="D291" t="inlineStr">
        <is>
          <t>JÄMTLANDS LÄN</t>
        </is>
      </c>
      <c r="E291" t="inlineStr">
        <is>
          <t>ÖSTERSUND</t>
        </is>
      </c>
      <c r="G291" t="n">
        <v>0.2</v>
      </c>
      <c r="H291" t="n">
        <v>0</v>
      </c>
      <c r="I291" t="n">
        <v>0</v>
      </c>
      <c r="J291" t="n">
        <v>0</v>
      </c>
      <c r="K291" t="n">
        <v>0</v>
      </c>
      <c r="L291" t="n">
        <v>0</v>
      </c>
      <c r="M291" t="n">
        <v>0</v>
      </c>
      <c r="N291" t="n">
        <v>0</v>
      </c>
      <c r="O291" t="n">
        <v>0</v>
      </c>
      <c r="P291" t="n">
        <v>0</v>
      </c>
      <c r="Q291" t="n">
        <v>0</v>
      </c>
      <c r="R291" s="2" t="inlineStr"/>
    </row>
    <row r="292" ht="15" customHeight="1">
      <c r="A292" t="inlineStr">
        <is>
          <t>A 7940-2025</t>
        </is>
      </c>
      <c r="B292" s="1" t="n">
        <v>45707</v>
      </c>
      <c r="C292" s="1" t="n">
        <v>46200</v>
      </c>
      <c r="D292" t="inlineStr">
        <is>
          <t>JÄMTLANDS LÄN</t>
        </is>
      </c>
      <c r="E292" t="inlineStr">
        <is>
          <t>ÖSTERSUND</t>
        </is>
      </c>
      <c r="F292" t="inlineStr">
        <is>
          <t>Övriga Aktiebolag</t>
        </is>
      </c>
      <c r="G292" t="n">
        <v>48.1</v>
      </c>
      <c r="H292" t="n">
        <v>0</v>
      </c>
      <c r="I292" t="n">
        <v>0</v>
      </c>
      <c r="J292" t="n">
        <v>0</v>
      </c>
      <c r="K292" t="n">
        <v>0</v>
      </c>
      <c r="L292" t="n">
        <v>0</v>
      </c>
      <c r="M292" t="n">
        <v>0</v>
      </c>
      <c r="N292" t="n">
        <v>0</v>
      </c>
      <c r="O292" t="n">
        <v>0</v>
      </c>
      <c r="P292" t="n">
        <v>0</v>
      </c>
      <c r="Q292" t="n">
        <v>0</v>
      </c>
      <c r="R292" s="2" t="inlineStr"/>
    </row>
    <row r="293" ht="15" customHeight="1">
      <c r="A293" t="inlineStr">
        <is>
          <t>A 5025-2025</t>
        </is>
      </c>
      <c r="B293" s="1" t="n">
        <v>45691</v>
      </c>
      <c r="C293" s="1" t="n">
        <v>46200</v>
      </c>
      <c r="D293" t="inlineStr">
        <is>
          <t>JÄMTLANDS LÄN</t>
        </is>
      </c>
      <c r="E293" t="inlineStr">
        <is>
          <t>ÖSTERSUND</t>
        </is>
      </c>
      <c r="G293" t="n">
        <v>0.1</v>
      </c>
      <c r="H293" t="n">
        <v>0</v>
      </c>
      <c r="I293" t="n">
        <v>0</v>
      </c>
      <c r="J293" t="n">
        <v>0</v>
      </c>
      <c r="K293" t="n">
        <v>0</v>
      </c>
      <c r="L293" t="n">
        <v>0</v>
      </c>
      <c r="M293" t="n">
        <v>0</v>
      </c>
      <c r="N293" t="n">
        <v>0</v>
      </c>
      <c r="O293" t="n">
        <v>0</v>
      </c>
      <c r="P293" t="n">
        <v>0</v>
      </c>
      <c r="Q293" t="n">
        <v>0</v>
      </c>
      <c r="R293" s="2" t="inlineStr"/>
    </row>
    <row r="294" ht="15" customHeight="1">
      <c r="A294" t="inlineStr">
        <is>
          <t>A 11740-2022</t>
        </is>
      </c>
      <c r="B294" s="1" t="n">
        <v>44634</v>
      </c>
      <c r="C294" s="1" t="n">
        <v>46200</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60560-2022</t>
        </is>
      </c>
      <c r="B295" s="1" t="n">
        <v>44911</v>
      </c>
      <c r="C295" s="1" t="n">
        <v>46200</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21211-2022</t>
        </is>
      </c>
      <c r="B296" s="1" t="n">
        <v>44704</v>
      </c>
      <c r="C296" s="1" t="n">
        <v>46200</v>
      </c>
      <c r="D296" t="inlineStr">
        <is>
          <t>JÄMTLANDS LÄN</t>
        </is>
      </c>
      <c r="E296" t="inlineStr">
        <is>
          <t>ÖSTERSUND</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3615-2025</t>
        </is>
      </c>
      <c r="B297" s="1" t="n">
        <v>45681</v>
      </c>
      <c r="C297" s="1" t="n">
        <v>46200</v>
      </c>
      <c r="D297" t="inlineStr">
        <is>
          <t>JÄMTLANDS LÄN</t>
        </is>
      </c>
      <c r="E297" t="inlineStr">
        <is>
          <t>ÖSTERSUND</t>
        </is>
      </c>
      <c r="F297" t="inlineStr">
        <is>
          <t>SCA</t>
        </is>
      </c>
      <c r="G297" t="n">
        <v>5</v>
      </c>
      <c r="H297" t="n">
        <v>0</v>
      </c>
      <c r="I297" t="n">
        <v>0</v>
      </c>
      <c r="J297" t="n">
        <v>0</v>
      </c>
      <c r="K297" t="n">
        <v>0</v>
      </c>
      <c r="L297" t="n">
        <v>0</v>
      </c>
      <c r="M297" t="n">
        <v>0</v>
      </c>
      <c r="N297" t="n">
        <v>0</v>
      </c>
      <c r="O297" t="n">
        <v>0</v>
      </c>
      <c r="P297" t="n">
        <v>0</v>
      </c>
      <c r="Q297" t="n">
        <v>0</v>
      </c>
      <c r="R297" s="2" t="inlineStr"/>
    </row>
    <row r="298" ht="15" customHeight="1">
      <c r="A298" t="inlineStr">
        <is>
          <t>A 3651-2025</t>
        </is>
      </c>
      <c r="B298" s="1" t="n">
        <v>45681</v>
      </c>
      <c r="C298" s="1" t="n">
        <v>46200</v>
      </c>
      <c r="D298" t="inlineStr">
        <is>
          <t>JÄMTLANDS LÄN</t>
        </is>
      </c>
      <c r="E298" t="inlineStr">
        <is>
          <t>ÖSTERSUND</t>
        </is>
      </c>
      <c r="F298" t="inlineStr">
        <is>
          <t>SCA</t>
        </is>
      </c>
      <c r="G298" t="n">
        <v>9.6</v>
      </c>
      <c r="H298" t="n">
        <v>0</v>
      </c>
      <c r="I298" t="n">
        <v>0</v>
      </c>
      <c r="J298" t="n">
        <v>0</v>
      </c>
      <c r="K298" t="n">
        <v>0</v>
      </c>
      <c r="L298" t="n">
        <v>0</v>
      </c>
      <c r="M298" t="n">
        <v>0</v>
      </c>
      <c r="N298" t="n">
        <v>0</v>
      </c>
      <c r="O298" t="n">
        <v>0</v>
      </c>
      <c r="P298" t="n">
        <v>0</v>
      </c>
      <c r="Q298" t="n">
        <v>0</v>
      </c>
      <c r="R298" s="2" t="inlineStr"/>
    </row>
    <row r="299" ht="15" customHeight="1">
      <c r="A299" t="inlineStr">
        <is>
          <t>A 5140-2025</t>
        </is>
      </c>
      <c r="B299" s="1" t="n">
        <v>45691</v>
      </c>
      <c r="C299" s="1" t="n">
        <v>46200</v>
      </c>
      <c r="D299" t="inlineStr">
        <is>
          <t>JÄMTLANDS LÄN</t>
        </is>
      </c>
      <c r="E299" t="inlineStr">
        <is>
          <t>ÖSTERSUND</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56847-2024</t>
        </is>
      </c>
      <c r="B300" s="1" t="n">
        <v>45628</v>
      </c>
      <c r="C300" s="1" t="n">
        <v>46200</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19323-2024</t>
        </is>
      </c>
      <c r="B301" s="1" t="n">
        <v>45428</v>
      </c>
      <c r="C301" s="1" t="n">
        <v>46200</v>
      </c>
      <c r="D301" t="inlineStr">
        <is>
          <t>JÄMTLANDS LÄN</t>
        </is>
      </c>
      <c r="E301" t="inlineStr">
        <is>
          <t>ÖSTERSUND</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44798-2023</t>
        </is>
      </c>
      <c r="B302" s="1" t="n">
        <v>45190</v>
      </c>
      <c r="C302" s="1" t="n">
        <v>46200</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27294-2023</t>
        </is>
      </c>
      <c r="B303" s="1" t="n">
        <v>45092</v>
      </c>
      <c r="C303" s="1" t="n">
        <v>46200</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4936-2025</t>
        </is>
      </c>
      <c r="B304" s="1" t="n">
        <v>45688</v>
      </c>
      <c r="C304" s="1" t="n">
        <v>46200</v>
      </c>
      <c r="D304" t="inlineStr">
        <is>
          <t>JÄMTLANDS LÄN</t>
        </is>
      </c>
      <c r="E304" t="inlineStr">
        <is>
          <t>ÖSTERSUND</t>
        </is>
      </c>
      <c r="G304" t="n">
        <v>8.1</v>
      </c>
      <c r="H304" t="n">
        <v>0</v>
      </c>
      <c r="I304" t="n">
        <v>0</v>
      </c>
      <c r="J304" t="n">
        <v>0</v>
      </c>
      <c r="K304" t="n">
        <v>0</v>
      </c>
      <c r="L304" t="n">
        <v>0</v>
      </c>
      <c r="M304" t="n">
        <v>0</v>
      </c>
      <c r="N304" t="n">
        <v>0</v>
      </c>
      <c r="O304" t="n">
        <v>0</v>
      </c>
      <c r="P304" t="n">
        <v>0</v>
      </c>
      <c r="Q304" t="n">
        <v>0</v>
      </c>
      <c r="R304" s="2" t="inlineStr"/>
    </row>
    <row r="305" ht="15" customHeight="1">
      <c r="A305" t="inlineStr">
        <is>
          <t>A 59691-2024</t>
        </is>
      </c>
      <c r="B305" s="1" t="n">
        <v>45639</v>
      </c>
      <c r="C305" s="1" t="n">
        <v>46200</v>
      </c>
      <c r="D305" t="inlineStr">
        <is>
          <t>JÄMTLANDS LÄN</t>
        </is>
      </c>
      <c r="E305" t="inlineStr">
        <is>
          <t>ÖSTERSUND</t>
        </is>
      </c>
      <c r="F305" t="inlineStr">
        <is>
          <t>SCA</t>
        </is>
      </c>
      <c r="G305" t="n">
        <v>15.9</v>
      </c>
      <c r="H305" t="n">
        <v>0</v>
      </c>
      <c r="I305" t="n">
        <v>0</v>
      </c>
      <c r="J305" t="n">
        <v>0</v>
      </c>
      <c r="K305" t="n">
        <v>0</v>
      </c>
      <c r="L305" t="n">
        <v>0</v>
      </c>
      <c r="M305" t="n">
        <v>0</v>
      </c>
      <c r="N305" t="n">
        <v>0</v>
      </c>
      <c r="O305" t="n">
        <v>0</v>
      </c>
      <c r="P305" t="n">
        <v>0</v>
      </c>
      <c r="Q305" t="n">
        <v>0</v>
      </c>
      <c r="R305" s="2" t="inlineStr"/>
    </row>
    <row r="306" ht="15" customHeight="1">
      <c r="A306" t="inlineStr">
        <is>
          <t>A 43511-2022</t>
        </is>
      </c>
      <c r="B306" s="1" t="n">
        <v>44837</v>
      </c>
      <c r="C306" s="1" t="n">
        <v>46200</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60174-2022</t>
        </is>
      </c>
      <c r="B307" s="1" t="n">
        <v>44909</v>
      </c>
      <c r="C307" s="1" t="n">
        <v>46200</v>
      </c>
      <c r="D307" t="inlineStr">
        <is>
          <t>JÄMTLANDS LÄN</t>
        </is>
      </c>
      <c r="E307" t="inlineStr">
        <is>
          <t>ÖSTERSUND</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43016-2024</t>
        </is>
      </c>
      <c r="B308" s="1" t="n">
        <v>45567</v>
      </c>
      <c r="C308" s="1" t="n">
        <v>46200</v>
      </c>
      <c r="D308" t="inlineStr">
        <is>
          <t>JÄMTLANDS LÄN</t>
        </is>
      </c>
      <c r="E308" t="inlineStr">
        <is>
          <t>ÖSTERSUND</t>
        </is>
      </c>
      <c r="G308" t="n">
        <v>5.3</v>
      </c>
      <c r="H308" t="n">
        <v>0</v>
      </c>
      <c r="I308" t="n">
        <v>0</v>
      </c>
      <c r="J308" t="n">
        <v>0</v>
      </c>
      <c r="K308" t="n">
        <v>0</v>
      </c>
      <c r="L308" t="n">
        <v>0</v>
      </c>
      <c r="M308" t="n">
        <v>0</v>
      </c>
      <c r="N308" t="n">
        <v>0</v>
      </c>
      <c r="O308" t="n">
        <v>0</v>
      </c>
      <c r="P308" t="n">
        <v>0</v>
      </c>
      <c r="Q308" t="n">
        <v>0</v>
      </c>
      <c r="R308" s="2" t="inlineStr"/>
    </row>
    <row r="309" ht="15" customHeight="1">
      <c r="A309" t="inlineStr">
        <is>
          <t>A 23563-2022</t>
        </is>
      </c>
      <c r="B309" s="1" t="n">
        <v>44721</v>
      </c>
      <c r="C309" s="1" t="n">
        <v>46200</v>
      </c>
      <c r="D309" t="inlineStr">
        <is>
          <t>JÄMTLANDS LÄN</t>
        </is>
      </c>
      <c r="E309" t="inlineStr">
        <is>
          <t>ÖSTERSUND</t>
        </is>
      </c>
      <c r="F309" t="inlineStr">
        <is>
          <t>Övriga Aktiebolag</t>
        </is>
      </c>
      <c r="G309" t="n">
        <v>3.7</v>
      </c>
      <c r="H309" t="n">
        <v>0</v>
      </c>
      <c r="I309" t="n">
        <v>0</v>
      </c>
      <c r="J309" t="n">
        <v>0</v>
      </c>
      <c r="K309" t="n">
        <v>0</v>
      </c>
      <c r="L309" t="n">
        <v>0</v>
      </c>
      <c r="M309" t="n">
        <v>0</v>
      </c>
      <c r="N309" t="n">
        <v>0</v>
      </c>
      <c r="O309" t="n">
        <v>0</v>
      </c>
      <c r="P309" t="n">
        <v>0</v>
      </c>
      <c r="Q309" t="n">
        <v>0</v>
      </c>
      <c r="R309" s="2" t="inlineStr"/>
    </row>
    <row r="310" ht="15" customHeight="1">
      <c r="A310" t="inlineStr">
        <is>
          <t>A 8389-2025</t>
        </is>
      </c>
      <c r="B310" s="1" t="n">
        <v>45709</v>
      </c>
      <c r="C310" s="1" t="n">
        <v>46200</v>
      </c>
      <c r="D310" t="inlineStr">
        <is>
          <t>JÄMTLANDS LÄN</t>
        </is>
      </c>
      <c r="E310" t="inlineStr">
        <is>
          <t>ÖSTERSUND</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27118-2023</t>
        </is>
      </c>
      <c r="B311" s="1" t="n">
        <v>45096</v>
      </c>
      <c r="C311" s="1" t="n">
        <v>46200</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51481-2023</t>
        </is>
      </c>
      <c r="B312" s="1" t="n">
        <v>45221</v>
      </c>
      <c r="C312" s="1" t="n">
        <v>46200</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8972-2022</t>
        </is>
      </c>
      <c r="B313" s="1" t="n">
        <v>44614</v>
      </c>
      <c r="C313" s="1" t="n">
        <v>46200</v>
      </c>
      <c r="D313" t="inlineStr">
        <is>
          <t>JÄMTLANDS LÄN</t>
        </is>
      </c>
      <c r="E313" t="inlineStr">
        <is>
          <t>ÖSTERSUND</t>
        </is>
      </c>
      <c r="G313" t="n">
        <v>0.8</v>
      </c>
      <c r="H313" t="n">
        <v>0</v>
      </c>
      <c r="I313" t="n">
        <v>0</v>
      </c>
      <c r="J313" t="n">
        <v>0</v>
      </c>
      <c r="K313" t="n">
        <v>0</v>
      </c>
      <c r="L313" t="n">
        <v>0</v>
      </c>
      <c r="M313" t="n">
        <v>0</v>
      </c>
      <c r="N313" t="n">
        <v>0</v>
      </c>
      <c r="O313" t="n">
        <v>0</v>
      </c>
      <c r="P313" t="n">
        <v>0</v>
      </c>
      <c r="Q313" t="n">
        <v>0</v>
      </c>
      <c r="R313" s="2" t="inlineStr"/>
    </row>
    <row r="314" ht="15" customHeight="1">
      <c r="A314" t="inlineStr">
        <is>
          <t>A 10305-2023</t>
        </is>
      </c>
      <c r="B314" s="1" t="n">
        <v>44986</v>
      </c>
      <c r="C314" s="1" t="n">
        <v>46200</v>
      </c>
      <c r="D314" t="inlineStr">
        <is>
          <t>JÄMTLANDS LÄN</t>
        </is>
      </c>
      <c r="E314" t="inlineStr">
        <is>
          <t>ÖSTERSUND</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6877-2024</t>
        </is>
      </c>
      <c r="B315" s="1" t="n">
        <v>45342</v>
      </c>
      <c r="C315" s="1" t="n">
        <v>46200</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8675-2023</t>
        </is>
      </c>
      <c r="B316" s="1" t="n">
        <v>44977</v>
      </c>
      <c r="C316" s="1" t="n">
        <v>46200</v>
      </c>
      <c r="D316" t="inlineStr">
        <is>
          <t>JÄMTLANDS LÄN</t>
        </is>
      </c>
      <c r="E316" t="inlineStr">
        <is>
          <t>ÖSTERSUND</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6048-2024</t>
        </is>
      </c>
      <c r="B317" s="1" t="n">
        <v>45336</v>
      </c>
      <c r="C317" s="1" t="n">
        <v>46200</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55235-2023</t>
        </is>
      </c>
      <c r="B318" s="1" t="n">
        <v>45231</v>
      </c>
      <c r="C318" s="1" t="n">
        <v>46200</v>
      </c>
      <c r="D318" t="inlineStr">
        <is>
          <t>JÄMTLANDS LÄN</t>
        </is>
      </c>
      <c r="E318" t="inlineStr">
        <is>
          <t>ÖSTERSUND</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6351-2024</t>
        </is>
      </c>
      <c r="B319" s="1" t="n">
        <v>45338</v>
      </c>
      <c r="C319" s="1" t="n">
        <v>46200</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3749-2023</t>
        </is>
      </c>
      <c r="B320" s="1" t="n">
        <v>44949</v>
      </c>
      <c r="C320" s="1" t="n">
        <v>46200</v>
      </c>
      <c r="D320" t="inlineStr">
        <is>
          <t>JÄMTLANDS LÄN</t>
        </is>
      </c>
      <c r="E320" t="inlineStr">
        <is>
          <t>ÖSTERSUND</t>
        </is>
      </c>
      <c r="G320" t="n">
        <v>0.2</v>
      </c>
      <c r="H320" t="n">
        <v>0</v>
      </c>
      <c r="I320" t="n">
        <v>0</v>
      </c>
      <c r="J320" t="n">
        <v>0</v>
      </c>
      <c r="K320" t="n">
        <v>0</v>
      </c>
      <c r="L320" t="n">
        <v>0</v>
      </c>
      <c r="M320" t="n">
        <v>0</v>
      </c>
      <c r="N320" t="n">
        <v>0</v>
      </c>
      <c r="O320" t="n">
        <v>0</v>
      </c>
      <c r="P320" t="n">
        <v>0</v>
      </c>
      <c r="Q320" t="n">
        <v>0</v>
      </c>
      <c r="R320" s="2" t="inlineStr"/>
    </row>
    <row r="321" ht="15" customHeight="1">
      <c r="A321" t="inlineStr">
        <is>
          <t>A 58364-2024</t>
        </is>
      </c>
      <c r="B321" s="1" t="n">
        <v>45632</v>
      </c>
      <c r="C321" s="1" t="n">
        <v>46200</v>
      </c>
      <c r="D321" t="inlineStr">
        <is>
          <t>JÄMTLANDS LÄN</t>
        </is>
      </c>
      <c r="E321" t="inlineStr">
        <is>
          <t>ÖSTERSUND</t>
        </is>
      </c>
      <c r="G321" t="n">
        <v>5.5</v>
      </c>
      <c r="H321" t="n">
        <v>0</v>
      </c>
      <c r="I321" t="n">
        <v>0</v>
      </c>
      <c r="J321" t="n">
        <v>0</v>
      </c>
      <c r="K321" t="n">
        <v>0</v>
      </c>
      <c r="L321" t="n">
        <v>0</v>
      </c>
      <c r="M321" t="n">
        <v>0</v>
      </c>
      <c r="N321" t="n">
        <v>0</v>
      </c>
      <c r="O321" t="n">
        <v>0</v>
      </c>
      <c r="P321" t="n">
        <v>0</v>
      </c>
      <c r="Q321" t="n">
        <v>0</v>
      </c>
      <c r="R321" s="2" t="inlineStr"/>
    </row>
    <row r="322" ht="15" customHeight="1">
      <c r="A322" t="inlineStr">
        <is>
          <t>A 33801-2022</t>
        </is>
      </c>
      <c r="B322" s="1" t="n">
        <v>44790</v>
      </c>
      <c r="C322" s="1" t="n">
        <v>46200</v>
      </c>
      <c r="D322" t="inlineStr">
        <is>
          <t>JÄMTLANDS LÄN</t>
        </is>
      </c>
      <c r="E322" t="inlineStr">
        <is>
          <t>ÖSTERSUND</t>
        </is>
      </c>
      <c r="G322" t="n">
        <v>7.6</v>
      </c>
      <c r="H322" t="n">
        <v>0</v>
      </c>
      <c r="I322" t="n">
        <v>0</v>
      </c>
      <c r="J322" t="n">
        <v>0</v>
      </c>
      <c r="K322" t="n">
        <v>0</v>
      </c>
      <c r="L322" t="n">
        <v>0</v>
      </c>
      <c r="M322" t="n">
        <v>0</v>
      </c>
      <c r="N322" t="n">
        <v>0</v>
      </c>
      <c r="O322" t="n">
        <v>0</v>
      </c>
      <c r="P322" t="n">
        <v>0</v>
      </c>
      <c r="Q322" t="n">
        <v>0</v>
      </c>
      <c r="R322" s="2" t="inlineStr"/>
    </row>
    <row r="323" ht="15" customHeight="1">
      <c r="A323" t="inlineStr">
        <is>
          <t>A 22082-2022</t>
        </is>
      </c>
      <c r="B323" s="1" t="n">
        <v>44711</v>
      </c>
      <c r="C323" s="1" t="n">
        <v>46200</v>
      </c>
      <c r="D323" t="inlineStr">
        <is>
          <t>JÄMTLANDS LÄN</t>
        </is>
      </c>
      <c r="E323" t="inlineStr">
        <is>
          <t>ÖSTERSUND</t>
        </is>
      </c>
      <c r="G323" t="n">
        <v>2.6</v>
      </c>
      <c r="H323" t="n">
        <v>0</v>
      </c>
      <c r="I323" t="n">
        <v>0</v>
      </c>
      <c r="J323" t="n">
        <v>0</v>
      </c>
      <c r="K323" t="n">
        <v>0</v>
      </c>
      <c r="L323" t="n">
        <v>0</v>
      </c>
      <c r="M323" t="n">
        <v>0</v>
      </c>
      <c r="N323" t="n">
        <v>0</v>
      </c>
      <c r="O323" t="n">
        <v>0</v>
      </c>
      <c r="P323" t="n">
        <v>0</v>
      </c>
      <c r="Q323" t="n">
        <v>0</v>
      </c>
      <c r="R323" s="2" t="inlineStr"/>
    </row>
    <row r="324" ht="15" customHeight="1">
      <c r="A324" t="inlineStr">
        <is>
          <t>A 64645-2021</t>
        </is>
      </c>
      <c r="B324" s="1" t="n">
        <v>44511</v>
      </c>
      <c r="C324" s="1" t="n">
        <v>46200</v>
      </c>
      <c r="D324" t="inlineStr">
        <is>
          <t>JÄMTLANDS LÄN</t>
        </is>
      </c>
      <c r="E324" t="inlineStr">
        <is>
          <t>ÖSTERSUND</t>
        </is>
      </c>
      <c r="G324" t="n">
        <v>3.2</v>
      </c>
      <c r="H324" t="n">
        <v>0</v>
      </c>
      <c r="I324" t="n">
        <v>0</v>
      </c>
      <c r="J324" t="n">
        <v>0</v>
      </c>
      <c r="K324" t="n">
        <v>0</v>
      </c>
      <c r="L324" t="n">
        <v>0</v>
      </c>
      <c r="M324" t="n">
        <v>0</v>
      </c>
      <c r="N324" t="n">
        <v>0</v>
      </c>
      <c r="O324" t="n">
        <v>0</v>
      </c>
      <c r="P324" t="n">
        <v>0</v>
      </c>
      <c r="Q324" t="n">
        <v>0</v>
      </c>
      <c r="R324" s="2" t="inlineStr"/>
    </row>
    <row r="325" ht="15" customHeight="1">
      <c r="A325" t="inlineStr">
        <is>
          <t>A 7953-2025</t>
        </is>
      </c>
      <c r="B325" s="1" t="n">
        <v>45707</v>
      </c>
      <c r="C325" s="1" t="n">
        <v>46200</v>
      </c>
      <c r="D325" t="inlineStr">
        <is>
          <t>JÄMTLANDS LÄN</t>
        </is>
      </c>
      <c r="E325" t="inlineStr">
        <is>
          <t>ÖSTERSUND</t>
        </is>
      </c>
      <c r="G325" t="n">
        <v>1.8</v>
      </c>
      <c r="H325" t="n">
        <v>0</v>
      </c>
      <c r="I325" t="n">
        <v>0</v>
      </c>
      <c r="J325" t="n">
        <v>0</v>
      </c>
      <c r="K325" t="n">
        <v>0</v>
      </c>
      <c r="L325" t="n">
        <v>0</v>
      </c>
      <c r="M325" t="n">
        <v>0</v>
      </c>
      <c r="N325" t="n">
        <v>0</v>
      </c>
      <c r="O325" t="n">
        <v>0</v>
      </c>
      <c r="P325" t="n">
        <v>0</v>
      </c>
      <c r="Q325" t="n">
        <v>0</v>
      </c>
      <c r="R325" s="2" t="inlineStr"/>
    </row>
    <row r="326" ht="15" customHeight="1">
      <c r="A326" t="inlineStr">
        <is>
          <t>A 846-2024</t>
        </is>
      </c>
      <c r="B326" s="1" t="n">
        <v>45300</v>
      </c>
      <c r="C326" s="1" t="n">
        <v>46200</v>
      </c>
      <c r="D326" t="inlineStr">
        <is>
          <t>JÄMTLANDS LÄN</t>
        </is>
      </c>
      <c r="E326" t="inlineStr">
        <is>
          <t>ÖSTERSUND</t>
        </is>
      </c>
      <c r="G326" t="n">
        <v>2.8</v>
      </c>
      <c r="H326" t="n">
        <v>0</v>
      </c>
      <c r="I326" t="n">
        <v>0</v>
      </c>
      <c r="J326" t="n">
        <v>0</v>
      </c>
      <c r="K326" t="n">
        <v>0</v>
      </c>
      <c r="L326" t="n">
        <v>0</v>
      </c>
      <c r="M326" t="n">
        <v>0</v>
      </c>
      <c r="N326" t="n">
        <v>0</v>
      </c>
      <c r="O326" t="n">
        <v>0</v>
      </c>
      <c r="P326" t="n">
        <v>0</v>
      </c>
      <c r="Q326" t="n">
        <v>0</v>
      </c>
      <c r="R326" s="2" t="inlineStr"/>
    </row>
    <row r="327" ht="15" customHeight="1">
      <c r="A327" t="inlineStr">
        <is>
          <t>A 4350-2024</t>
        </is>
      </c>
      <c r="B327" s="1" t="n">
        <v>45324</v>
      </c>
      <c r="C327" s="1" t="n">
        <v>46200</v>
      </c>
      <c r="D327" t="inlineStr">
        <is>
          <t>JÄMTLANDS LÄN</t>
        </is>
      </c>
      <c r="E327" t="inlineStr">
        <is>
          <t>ÖSTERSUND</t>
        </is>
      </c>
      <c r="F327" t="inlineStr">
        <is>
          <t>SCA</t>
        </is>
      </c>
      <c r="G327" t="n">
        <v>6</v>
      </c>
      <c r="H327" t="n">
        <v>0</v>
      </c>
      <c r="I327" t="n">
        <v>0</v>
      </c>
      <c r="J327" t="n">
        <v>0</v>
      </c>
      <c r="K327" t="n">
        <v>0</v>
      </c>
      <c r="L327" t="n">
        <v>0</v>
      </c>
      <c r="M327" t="n">
        <v>0</v>
      </c>
      <c r="N327" t="n">
        <v>0</v>
      </c>
      <c r="O327" t="n">
        <v>0</v>
      </c>
      <c r="P327" t="n">
        <v>0</v>
      </c>
      <c r="Q327" t="n">
        <v>0</v>
      </c>
      <c r="R327" s="2" t="inlineStr"/>
    </row>
    <row r="328" ht="15" customHeight="1">
      <c r="A328" t="inlineStr">
        <is>
          <t>A 55302-2021</t>
        </is>
      </c>
      <c r="B328" s="1" t="n">
        <v>44475</v>
      </c>
      <c r="C328" s="1" t="n">
        <v>46200</v>
      </c>
      <c r="D328" t="inlineStr">
        <is>
          <t>JÄMTLANDS LÄN</t>
        </is>
      </c>
      <c r="E328" t="inlineStr">
        <is>
          <t>ÖSTERSUND</t>
        </is>
      </c>
      <c r="G328" t="n">
        <v>0.3</v>
      </c>
      <c r="H328" t="n">
        <v>0</v>
      </c>
      <c r="I328" t="n">
        <v>0</v>
      </c>
      <c r="J328" t="n">
        <v>0</v>
      </c>
      <c r="K328" t="n">
        <v>0</v>
      </c>
      <c r="L328" t="n">
        <v>0</v>
      </c>
      <c r="M328" t="n">
        <v>0</v>
      </c>
      <c r="N328" t="n">
        <v>0</v>
      </c>
      <c r="O328" t="n">
        <v>0</v>
      </c>
      <c r="P328" t="n">
        <v>0</v>
      </c>
      <c r="Q328" t="n">
        <v>0</v>
      </c>
      <c r="R328" s="2" t="inlineStr"/>
    </row>
    <row r="329" ht="15" customHeight="1">
      <c r="A329" t="inlineStr">
        <is>
          <t>A 19581-2025</t>
        </is>
      </c>
      <c r="B329" s="1" t="n">
        <v>45770</v>
      </c>
      <c r="C329" s="1" t="n">
        <v>46200</v>
      </c>
      <c r="D329" t="inlineStr">
        <is>
          <t>JÄMTLANDS LÄN</t>
        </is>
      </c>
      <c r="E329" t="inlineStr">
        <is>
          <t>ÖSTERSUND</t>
        </is>
      </c>
      <c r="G329" t="n">
        <v>17.2</v>
      </c>
      <c r="H329" t="n">
        <v>0</v>
      </c>
      <c r="I329" t="n">
        <v>0</v>
      </c>
      <c r="J329" t="n">
        <v>0</v>
      </c>
      <c r="K329" t="n">
        <v>0</v>
      </c>
      <c r="L329" t="n">
        <v>0</v>
      </c>
      <c r="M329" t="n">
        <v>0</v>
      </c>
      <c r="N329" t="n">
        <v>0</v>
      </c>
      <c r="O329" t="n">
        <v>0</v>
      </c>
      <c r="P329" t="n">
        <v>0</v>
      </c>
      <c r="Q329" t="n">
        <v>0</v>
      </c>
      <c r="R329" s="2" t="inlineStr"/>
    </row>
    <row r="330" ht="15" customHeight="1">
      <c r="A330" t="inlineStr">
        <is>
          <t>A 7233-2024</t>
        </is>
      </c>
      <c r="B330" s="1" t="n">
        <v>45344</v>
      </c>
      <c r="C330" s="1" t="n">
        <v>46200</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38926-2024</t>
        </is>
      </c>
      <c r="B331" s="1" t="n">
        <v>45547</v>
      </c>
      <c r="C331" s="1" t="n">
        <v>46200</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69190-2021</t>
        </is>
      </c>
      <c r="B332" s="1" t="n">
        <v>44529</v>
      </c>
      <c r="C332" s="1" t="n">
        <v>46200</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61791-2023</t>
        </is>
      </c>
      <c r="B333" s="1" t="n">
        <v>45265</v>
      </c>
      <c r="C333" s="1" t="n">
        <v>46200</v>
      </c>
      <c r="D333" t="inlineStr">
        <is>
          <t>JÄMTLANDS LÄN</t>
        </is>
      </c>
      <c r="E333" t="inlineStr">
        <is>
          <t>ÖSTERSUND</t>
        </is>
      </c>
      <c r="F333" t="inlineStr">
        <is>
          <t>SCA</t>
        </is>
      </c>
      <c r="G333" t="n">
        <v>11.4</v>
      </c>
      <c r="H333" t="n">
        <v>0</v>
      </c>
      <c r="I333" t="n">
        <v>0</v>
      </c>
      <c r="J333" t="n">
        <v>0</v>
      </c>
      <c r="K333" t="n">
        <v>0</v>
      </c>
      <c r="L333" t="n">
        <v>0</v>
      </c>
      <c r="M333" t="n">
        <v>0</v>
      </c>
      <c r="N333" t="n">
        <v>0</v>
      </c>
      <c r="O333" t="n">
        <v>0</v>
      </c>
      <c r="P333" t="n">
        <v>0</v>
      </c>
      <c r="Q333" t="n">
        <v>0</v>
      </c>
      <c r="R333" s="2" t="inlineStr"/>
    </row>
    <row r="334" ht="15" customHeight="1">
      <c r="A334" t="inlineStr">
        <is>
          <t>A 47022-2024</t>
        </is>
      </c>
      <c r="B334" s="1" t="n">
        <v>45586</v>
      </c>
      <c r="C334" s="1" t="n">
        <v>46200</v>
      </c>
      <c r="D334" t="inlineStr">
        <is>
          <t>JÄMTLANDS LÄN</t>
        </is>
      </c>
      <c r="E334" t="inlineStr">
        <is>
          <t>ÖSTERSUND</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41802-2021</t>
        </is>
      </c>
      <c r="B335" s="1" t="n">
        <v>44425</v>
      </c>
      <c r="C335" s="1" t="n">
        <v>46200</v>
      </c>
      <c r="D335" t="inlineStr">
        <is>
          <t>JÄMTLANDS LÄN</t>
        </is>
      </c>
      <c r="E335" t="inlineStr">
        <is>
          <t>ÖSTERSUND</t>
        </is>
      </c>
      <c r="G335" t="n">
        <v>1.7</v>
      </c>
      <c r="H335" t="n">
        <v>0</v>
      </c>
      <c r="I335" t="n">
        <v>0</v>
      </c>
      <c r="J335" t="n">
        <v>0</v>
      </c>
      <c r="K335" t="n">
        <v>0</v>
      </c>
      <c r="L335" t="n">
        <v>0</v>
      </c>
      <c r="M335" t="n">
        <v>0</v>
      </c>
      <c r="N335" t="n">
        <v>0</v>
      </c>
      <c r="O335" t="n">
        <v>0</v>
      </c>
      <c r="P335" t="n">
        <v>0</v>
      </c>
      <c r="Q335" t="n">
        <v>0</v>
      </c>
      <c r="R335" s="2" t="inlineStr"/>
    </row>
    <row r="336" ht="15" customHeight="1">
      <c r="A336" t="inlineStr">
        <is>
          <t>A 27124-2023</t>
        </is>
      </c>
      <c r="B336" s="1" t="n">
        <v>45096</v>
      </c>
      <c r="C336" s="1" t="n">
        <v>46200</v>
      </c>
      <c r="D336" t="inlineStr">
        <is>
          <t>JÄMTLANDS LÄN</t>
        </is>
      </c>
      <c r="E336" t="inlineStr">
        <is>
          <t>ÖSTERSUND</t>
        </is>
      </c>
      <c r="G336" t="n">
        <v>1.9</v>
      </c>
      <c r="H336" t="n">
        <v>0</v>
      </c>
      <c r="I336" t="n">
        <v>0</v>
      </c>
      <c r="J336" t="n">
        <v>0</v>
      </c>
      <c r="K336" t="n">
        <v>0</v>
      </c>
      <c r="L336" t="n">
        <v>0</v>
      </c>
      <c r="M336" t="n">
        <v>0</v>
      </c>
      <c r="N336" t="n">
        <v>0</v>
      </c>
      <c r="O336" t="n">
        <v>0</v>
      </c>
      <c r="P336" t="n">
        <v>0</v>
      </c>
      <c r="Q336" t="n">
        <v>0</v>
      </c>
      <c r="R336" s="2" t="inlineStr"/>
    </row>
    <row r="337" ht="15" customHeight="1">
      <c r="A337" t="inlineStr">
        <is>
          <t>A 16336-2025</t>
        </is>
      </c>
      <c r="B337" s="1" t="n">
        <v>45751</v>
      </c>
      <c r="C337" s="1" t="n">
        <v>46200</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17066-2024</t>
        </is>
      </c>
      <c r="B338" s="1" t="n">
        <v>45412</v>
      </c>
      <c r="C338" s="1" t="n">
        <v>46200</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27343-2022</t>
        </is>
      </c>
      <c r="B339" s="1" t="n">
        <v>44742</v>
      </c>
      <c r="C339" s="1" t="n">
        <v>46200</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61449-2024</t>
        </is>
      </c>
      <c r="B340" s="1" t="n">
        <v>45646</v>
      </c>
      <c r="C340" s="1" t="n">
        <v>46200</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61450-2024</t>
        </is>
      </c>
      <c r="B341" s="1" t="n">
        <v>45646</v>
      </c>
      <c r="C341" s="1" t="n">
        <v>46200</v>
      </c>
      <c r="D341" t="inlineStr">
        <is>
          <t>JÄMTLANDS LÄN</t>
        </is>
      </c>
      <c r="E341" t="inlineStr">
        <is>
          <t>ÖSTERSUND</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8261-2025</t>
        </is>
      </c>
      <c r="B342" s="1" t="n">
        <v>45708</v>
      </c>
      <c r="C342" s="1" t="n">
        <v>46200</v>
      </c>
      <c r="D342" t="inlineStr">
        <is>
          <t>JÄMTLANDS LÄN</t>
        </is>
      </c>
      <c r="E342" t="inlineStr">
        <is>
          <t>ÖSTERSUND</t>
        </is>
      </c>
      <c r="G342" t="n">
        <v>5.4</v>
      </c>
      <c r="H342" t="n">
        <v>0</v>
      </c>
      <c r="I342" t="n">
        <v>0</v>
      </c>
      <c r="J342" t="n">
        <v>0</v>
      </c>
      <c r="K342" t="n">
        <v>0</v>
      </c>
      <c r="L342" t="n">
        <v>0</v>
      </c>
      <c r="M342" t="n">
        <v>0</v>
      </c>
      <c r="N342" t="n">
        <v>0</v>
      </c>
      <c r="O342" t="n">
        <v>0</v>
      </c>
      <c r="P342" t="n">
        <v>0</v>
      </c>
      <c r="Q342" t="n">
        <v>0</v>
      </c>
      <c r="R342" s="2" t="inlineStr"/>
    </row>
    <row r="343" ht="15" customHeight="1">
      <c r="A343" t="inlineStr">
        <is>
          <t>A 39975-2024</t>
        </is>
      </c>
      <c r="B343" s="1" t="n">
        <v>45553</v>
      </c>
      <c r="C343" s="1" t="n">
        <v>46200</v>
      </c>
      <c r="D343" t="inlineStr">
        <is>
          <t>JÄMTLANDS LÄN</t>
        </is>
      </c>
      <c r="E343" t="inlineStr">
        <is>
          <t>ÖSTERSUND</t>
        </is>
      </c>
      <c r="G343" t="n">
        <v>3.8</v>
      </c>
      <c r="H343" t="n">
        <v>0</v>
      </c>
      <c r="I343" t="n">
        <v>0</v>
      </c>
      <c r="J343" t="n">
        <v>0</v>
      </c>
      <c r="K343" t="n">
        <v>0</v>
      </c>
      <c r="L343" t="n">
        <v>0</v>
      </c>
      <c r="M343" t="n">
        <v>0</v>
      </c>
      <c r="N343" t="n">
        <v>0</v>
      </c>
      <c r="O343" t="n">
        <v>0</v>
      </c>
      <c r="P343" t="n">
        <v>0</v>
      </c>
      <c r="Q343" t="n">
        <v>0</v>
      </c>
      <c r="R343" s="2" t="inlineStr"/>
    </row>
    <row r="344" ht="15" customHeight="1">
      <c r="A344" t="inlineStr">
        <is>
          <t>A 7224-2024</t>
        </is>
      </c>
      <c r="B344" s="1" t="n">
        <v>45344</v>
      </c>
      <c r="C344" s="1" t="n">
        <v>46200</v>
      </c>
      <c r="D344" t="inlineStr">
        <is>
          <t>JÄMTLANDS LÄN</t>
        </is>
      </c>
      <c r="E344" t="inlineStr">
        <is>
          <t>ÖSTERSUND</t>
        </is>
      </c>
      <c r="G344" t="n">
        <v>2.9</v>
      </c>
      <c r="H344" t="n">
        <v>0</v>
      </c>
      <c r="I344" t="n">
        <v>0</v>
      </c>
      <c r="J344" t="n">
        <v>0</v>
      </c>
      <c r="K344" t="n">
        <v>0</v>
      </c>
      <c r="L344" t="n">
        <v>0</v>
      </c>
      <c r="M344" t="n">
        <v>0</v>
      </c>
      <c r="N344" t="n">
        <v>0</v>
      </c>
      <c r="O344" t="n">
        <v>0</v>
      </c>
      <c r="P344" t="n">
        <v>0</v>
      </c>
      <c r="Q344" t="n">
        <v>0</v>
      </c>
      <c r="R344" s="2" t="inlineStr"/>
    </row>
    <row r="345" ht="15" customHeight="1">
      <c r="A345" t="inlineStr">
        <is>
          <t>A 61506-2023</t>
        </is>
      </c>
      <c r="B345" s="1" t="n">
        <v>45264</v>
      </c>
      <c r="C345" s="1" t="n">
        <v>46200</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14653-2022</t>
        </is>
      </c>
      <c r="B346" s="1" t="n">
        <v>44655</v>
      </c>
      <c r="C346" s="1" t="n">
        <v>46200</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56067-2022</t>
        </is>
      </c>
      <c r="B347" s="1" t="n">
        <v>44889</v>
      </c>
      <c r="C347" s="1" t="n">
        <v>46200</v>
      </c>
      <c r="D347" t="inlineStr">
        <is>
          <t>JÄMTLANDS LÄN</t>
        </is>
      </c>
      <c r="E347" t="inlineStr">
        <is>
          <t>ÖSTERSUND</t>
        </is>
      </c>
      <c r="F347" t="inlineStr">
        <is>
          <t>Övriga Aktiebolag</t>
        </is>
      </c>
      <c r="G347" t="n">
        <v>1.5</v>
      </c>
      <c r="H347" t="n">
        <v>0</v>
      </c>
      <c r="I347" t="n">
        <v>0</v>
      </c>
      <c r="J347" t="n">
        <v>0</v>
      </c>
      <c r="K347" t="n">
        <v>0</v>
      </c>
      <c r="L347" t="n">
        <v>0</v>
      </c>
      <c r="M347" t="n">
        <v>0</v>
      </c>
      <c r="N347" t="n">
        <v>0</v>
      </c>
      <c r="O347" t="n">
        <v>0</v>
      </c>
      <c r="P347" t="n">
        <v>0</v>
      </c>
      <c r="Q347" t="n">
        <v>0</v>
      </c>
      <c r="R347" s="2" t="inlineStr"/>
    </row>
    <row r="348" ht="15" customHeight="1">
      <c r="A348" t="inlineStr">
        <is>
          <t>A 3844-2024</t>
        </is>
      </c>
      <c r="B348" s="1" t="n">
        <v>45321</v>
      </c>
      <c r="C348" s="1" t="n">
        <v>46200</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7327-2023</t>
        </is>
      </c>
      <c r="B349" s="1" t="n">
        <v>44970</v>
      </c>
      <c r="C349" s="1" t="n">
        <v>46200</v>
      </c>
      <c r="D349" t="inlineStr">
        <is>
          <t>JÄMTLANDS LÄN</t>
        </is>
      </c>
      <c r="E349" t="inlineStr">
        <is>
          <t>ÖSTERSUND</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14518-2023</t>
        </is>
      </c>
      <c r="B350" s="1" t="n">
        <v>45012</v>
      </c>
      <c r="C350" s="1" t="n">
        <v>46200</v>
      </c>
      <c r="D350" t="inlineStr">
        <is>
          <t>JÄMTLANDS LÄN</t>
        </is>
      </c>
      <c r="E350" t="inlineStr">
        <is>
          <t>ÖSTERSUND</t>
        </is>
      </c>
      <c r="G350" t="n">
        <v>14.4</v>
      </c>
      <c r="H350" t="n">
        <v>0</v>
      </c>
      <c r="I350" t="n">
        <v>0</v>
      </c>
      <c r="J350" t="n">
        <v>0</v>
      </c>
      <c r="K350" t="n">
        <v>0</v>
      </c>
      <c r="L350" t="n">
        <v>0</v>
      </c>
      <c r="M350" t="n">
        <v>0</v>
      </c>
      <c r="N350" t="n">
        <v>0</v>
      </c>
      <c r="O350" t="n">
        <v>0</v>
      </c>
      <c r="P350" t="n">
        <v>0</v>
      </c>
      <c r="Q350" t="n">
        <v>0</v>
      </c>
      <c r="R350" s="2" t="inlineStr"/>
    </row>
    <row r="351" ht="15" customHeight="1">
      <c r="A351" t="inlineStr">
        <is>
          <t>A 47804-2024</t>
        </is>
      </c>
      <c r="B351" s="1" t="n">
        <v>45588</v>
      </c>
      <c r="C351" s="1" t="n">
        <v>46200</v>
      </c>
      <c r="D351" t="inlineStr">
        <is>
          <t>JÄMTLANDS LÄN</t>
        </is>
      </c>
      <c r="E351" t="inlineStr">
        <is>
          <t>ÖSTERSUND</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50218-2024</t>
        </is>
      </c>
      <c r="B352" s="1" t="n">
        <v>45600</v>
      </c>
      <c r="C352" s="1" t="n">
        <v>46200</v>
      </c>
      <c r="D352" t="inlineStr">
        <is>
          <t>JÄMTLANDS LÄN</t>
        </is>
      </c>
      <c r="E352" t="inlineStr">
        <is>
          <t>ÖSTERSUND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70256-2021</t>
        </is>
      </c>
      <c r="B353" s="1" t="n">
        <v>44533</v>
      </c>
      <c r="C353" s="1" t="n">
        <v>46200</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4136-2023</t>
        </is>
      </c>
      <c r="B354" s="1" t="n">
        <v>44952</v>
      </c>
      <c r="C354" s="1" t="n">
        <v>46200</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60780-2023</t>
        </is>
      </c>
      <c r="B355" s="1" t="n">
        <v>45260</v>
      </c>
      <c r="C355" s="1" t="n">
        <v>46200</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60794-2023</t>
        </is>
      </c>
      <c r="B356" s="1" t="n">
        <v>45260</v>
      </c>
      <c r="C356" s="1" t="n">
        <v>46200</v>
      </c>
      <c r="D356" t="inlineStr">
        <is>
          <t>JÄMTLANDS LÄN</t>
        </is>
      </c>
      <c r="E356" t="inlineStr">
        <is>
          <t>ÖSTERSUND</t>
        </is>
      </c>
      <c r="G356" t="n">
        <v>3.6</v>
      </c>
      <c r="H356" t="n">
        <v>0</v>
      </c>
      <c r="I356" t="n">
        <v>0</v>
      </c>
      <c r="J356" t="n">
        <v>0</v>
      </c>
      <c r="K356" t="n">
        <v>0</v>
      </c>
      <c r="L356" t="n">
        <v>0</v>
      </c>
      <c r="M356" t="n">
        <v>0</v>
      </c>
      <c r="N356" t="n">
        <v>0</v>
      </c>
      <c r="O356" t="n">
        <v>0</v>
      </c>
      <c r="P356" t="n">
        <v>0</v>
      </c>
      <c r="Q356" t="n">
        <v>0</v>
      </c>
      <c r="R356" s="2" t="inlineStr"/>
    </row>
    <row r="357" ht="15" customHeight="1">
      <c r="A357" t="inlineStr">
        <is>
          <t>A 11877-2024</t>
        </is>
      </c>
      <c r="B357" s="1" t="n">
        <v>45376</v>
      </c>
      <c r="C357" s="1" t="n">
        <v>46200</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53714-2022</t>
        </is>
      </c>
      <c r="B358" s="1" t="n">
        <v>44880</v>
      </c>
      <c r="C358" s="1" t="n">
        <v>46200</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44013-2021</t>
        </is>
      </c>
      <c r="B359" s="1" t="n">
        <v>44434</v>
      </c>
      <c r="C359" s="1" t="n">
        <v>46200</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8003-2025</t>
        </is>
      </c>
      <c r="B360" s="1" t="n">
        <v>45707</v>
      </c>
      <c r="C360" s="1" t="n">
        <v>46200</v>
      </c>
      <c r="D360" t="inlineStr">
        <is>
          <t>JÄMTLANDS LÄN</t>
        </is>
      </c>
      <c r="E360" t="inlineStr">
        <is>
          <t>ÖSTERSUND</t>
        </is>
      </c>
      <c r="F360" t="inlineStr">
        <is>
          <t>Övriga Aktiebolag</t>
        </is>
      </c>
      <c r="G360" t="n">
        <v>35.1</v>
      </c>
      <c r="H360" t="n">
        <v>0</v>
      </c>
      <c r="I360" t="n">
        <v>0</v>
      </c>
      <c r="J360" t="n">
        <v>0</v>
      </c>
      <c r="K360" t="n">
        <v>0</v>
      </c>
      <c r="L360" t="n">
        <v>0</v>
      </c>
      <c r="M360" t="n">
        <v>0</v>
      </c>
      <c r="N360" t="n">
        <v>0</v>
      </c>
      <c r="O360" t="n">
        <v>0</v>
      </c>
      <c r="P360" t="n">
        <v>0</v>
      </c>
      <c r="Q360" t="n">
        <v>0</v>
      </c>
      <c r="R360" s="2" t="inlineStr"/>
    </row>
    <row r="361" ht="15" customHeight="1">
      <c r="A361" t="inlineStr">
        <is>
          <t>A 30602-2023</t>
        </is>
      </c>
      <c r="B361" s="1" t="n">
        <v>45112</v>
      </c>
      <c r="C361" s="1" t="n">
        <v>46200</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1893-2023</t>
        </is>
      </c>
      <c r="B362" s="1" t="n">
        <v>44937</v>
      </c>
      <c r="C362" s="1" t="n">
        <v>46200</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1211-2025</t>
        </is>
      </c>
      <c r="B363" s="1" t="n">
        <v>45667</v>
      </c>
      <c r="C363" s="1" t="n">
        <v>46200</v>
      </c>
      <c r="D363" t="inlineStr">
        <is>
          <t>JÄMTLANDS LÄN</t>
        </is>
      </c>
      <c r="E363" t="inlineStr">
        <is>
          <t>ÖSTERSUND</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45004-2022</t>
        </is>
      </c>
      <c r="B364" s="1" t="n">
        <v>44840</v>
      </c>
      <c r="C364" s="1" t="n">
        <v>46200</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19566-2024</t>
        </is>
      </c>
      <c r="B365" s="1" t="n">
        <v>45429</v>
      </c>
      <c r="C365" s="1" t="n">
        <v>46200</v>
      </c>
      <c r="D365" t="inlineStr">
        <is>
          <t>JÄMTLANDS LÄN</t>
        </is>
      </c>
      <c r="E365" t="inlineStr">
        <is>
          <t>ÖSTERSUND</t>
        </is>
      </c>
      <c r="G365" t="n">
        <v>0</v>
      </c>
      <c r="H365" t="n">
        <v>0</v>
      </c>
      <c r="I365" t="n">
        <v>0</v>
      </c>
      <c r="J365" t="n">
        <v>0</v>
      </c>
      <c r="K365" t="n">
        <v>0</v>
      </c>
      <c r="L365" t="n">
        <v>0</v>
      </c>
      <c r="M365" t="n">
        <v>0</v>
      </c>
      <c r="N365" t="n">
        <v>0</v>
      </c>
      <c r="O365" t="n">
        <v>0</v>
      </c>
      <c r="P365" t="n">
        <v>0</v>
      </c>
      <c r="Q365" t="n">
        <v>0</v>
      </c>
      <c r="R365" s="2" t="inlineStr"/>
    </row>
    <row r="366" ht="15" customHeight="1">
      <c r="A366" t="inlineStr">
        <is>
          <t>A 9552-2025</t>
        </is>
      </c>
      <c r="B366" s="1" t="n">
        <v>45715</v>
      </c>
      <c r="C366" s="1" t="n">
        <v>46200</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79-2025</t>
        </is>
      </c>
      <c r="B367" s="1" t="n">
        <v>45659</v>
      </c>
      <c r="C367" s="1" t="n">
        <v>46200</v>
      </c>
      <c r="D367" t="inlineStr">
        <is>
          <t>JÄMTLANDS LÄN</t>
        </is>
      </c>
      <c r="E367" t="inlineStr">
        <is>
          <t>ÖSTERSUND</t>
        </is>
      </c>
      <c r="G367" t="n">
        <v>0.6</v>
      </c>
      <c r="H367" t="n">
        <v>0</v>
      </c>
      <c r="I367" t="n">
        <v>0</v>
      </c>
      <c r="J367" t="n">
        <v>0</v>
      </c>
      <c r="K367" t="n">
        <v>0</v>
      </c>
      <c r="L367" t="n">
        <v>0</v>
      </c>
      <c r="M367" t="n">
        <v>0</v>
      </c>
      <c r="N367" t="n">
        <v>0</v>
      </c>
      <c r="O367" t="n">
        <v>0</v>
      </c>
      <c r="P367" t="n">
        <v>0</v>
      </c>
      <c r="Q367" t="n">
        <v>0</v>
      </c>
      <c r="R367" s="2" t="inlineStr"/>
    </row>
    <row r="368" ht="15" customHeight="1">
      <c r="A368" t="inlineStr">
        <is>
          <t>A 27906-2024</t>
        </is>
      </c>
      <c r="B368" s="1" t="n">
        <v>45475</v>
      </c>
      <c r="C368" s="1" t="n">
        <v>46200</v>
      </c>
      <c r="D368" t="inlineStr">
        <is>
          <t>JÄMTLANDS LÄN</t>
        </is>
      </c>
      <c r="E368" t="inlineStr">
        <is>
          <t>ÖSTERSUND</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44327-2023</t>
        </is>
      </c>
      <c r="B369" s="1" t="n">
        <v>45188</v>
      </c>
      <c r="C369" s="1" t="n">
        <v>46200</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48696-2024</t>
        </is>
      </c>
      <c r="B370" s="1" t="n">
        <v>45593</v>
      </c>
      <c r="C370" s="1" t="n">
        <v>46200</v>
      </c>
      <c r="D370" t="inlineStr">
        <is>
          <t>JÄMTLANDS LÄN</t>
        </is>
      </c>
      <c r="E370" t="inlineStr">
        <is>
          <t>ÖSTERSUND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3610-2024</t>
        </is>
      </c>
      <c r="B371" s="1" t="n">
        <v>45320</v>
      </c>
      <c r="C371" s="1" t="n">
        <v>46200</v>
      </c>
      <c r="D371" t="inlineStr">
        <is>
          <t>JÄMTLANDS LÄN</t>
        </is>
      </c>
      <c r="E371" t="inlineStr">
        <is>
          <t>ÖSTERSUND</t>
        </is>
      </c>
      <c r="G371" t="n">
        <v>6.2</v>
      </c>
      <c r="H371" t="n">
        <v>0</v>
      </c>
      <c r="I371" t="n">
        <v>0</v>
      </c>
      <c r="J371" t="n">
        <v>0</v>
      </c>
      <c r="K371" t="n">
        <v>0</v>
      </c>
      <c r="L371" t="n">
        <v>0</v>
      </c>
      <c r="M371" t="n">
        <v>0</v>
      </c>
      <c r="N371" t="n">
        <v>0</v>
      </c>
      <c r="O371" t="n">
        <v>0</v>
      </c>
      <c r="P371" t="n">
        <v>0</v>
      </c>
      <c r="Q371" t="n">
        <v>0</v>
      </c>
      <c r="R371" s="2" t="inlineStr"/>
    </row>
    <row r="372" ht="15" customHeight="1">
      <c r="A372" t="inlineStr">
        <is>
          <t>A 48737-2024</t>
        </is>
      </c>
      <c r="B372" s="1" t="n">
        <v>45593</v>
      </c>
      <c r="C372" s="1" t="n">
        <v>46200</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26587-2025</t>
        </is>
      </c>
      <c r="B373" s="1" t="n">
        <v>45807</v>
      </c>
      <c r="C373" s="1" t="n">
        <v>46200</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25385-2024</t>
        </is>
      </c>
      <c r="B374" s="1" t="n">
        <v>45462</v>
      </c>
      <c r="C374" s="1" t="n">
        <v>46200</v>
      </c>
      <c r="D374" t="inlineStr">
        <is>
          <t>JÄMTLANDS LÄN</t>
        </is>
      </c>
      <c r="E374" t="inlineStr">
        <is>
          <t>ÖSTERSUND</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39510-2024</t>
        </is>
      </c>
      <c r="B375" s="1" t="n">
        <v>45551</v>
      </c>
      <c r="C375" s="1" t="n">
        <v>46200</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8027-2022</t>
        </is>
      </c>
      <c r="B376" s="1" t="n">
        <v>44609</v>
      </c>
      <c r="C376" s="1" t="n">
        <v>46200</v>
      </c>
      <c r="D376" t="inlineStr">
        <is>
          <t>JÄMTLANDS LÄN</t>
        </is>
      </c>
      <c r="E376" t="inlineStr">
        <is>
          <t>ÖSTERSUND</t>
        </is>
      </c>
      <c r="G376" t="n">
        <v>1.6</v>
      </c>
      <c r="H376" t="n">
        <v>0</v>
      </c>
      <c r="I376" t="n">
        <v>0</v>
      </c>
      <c r="J376" t="n">
        <v>0</v>
      </c>
      <c r="K376" t="n">
        <v>0</v>
      </c>
      <c r="L376" t="n">
        <v>0</v>
      </c>
      <c r="M376" t="n">
        <v>0</v>
      </c>
      <c r="N376" t="n">
        <v>0</v>
      </c>
      <c r="O376" t="n">
        <v>0</v>
      </c>
      <c r="P376" t="n">
        <v>0</v>
      </c>
      <c r="Q376" t="n">
        <v>0</v>
      </c>
      <c r="R376" s="2" t="inlineStr"/>
    </row>
    <row r="377" ht="15" customHeight="1">
      <c r="A377" t="inlineStr">
        <is>
          <t>A 11933-2022</t>
        </is>
      </c>
      <c r="B377" s="1" t="n">
        <v>44635</v>
      </c>
      <c r="C377" s="1" t="n">
        <v>46200</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7233-2025</t>
        </is>
      </c>
      <c r="B378" s="1" t="n">
        <v>45702</v>
      </c>
      <c r="C378" s="1" t="n">
        <v>46200</v>
      </c>
      <c r="D378" t="inlineStr">
        <is>
          <t>JÄMTLANDS LÄN</t>
        </is>
      </c>
      <c r="E378" t="inlineStr">
        <is>
          <t>ÖSTERSUND</t>
        </is>
      </c>
      <c r="G378" t="n">
        <v>1.7</v>
      </c>
      <c r="H378" t="n">
        <v>0</v>
      </c>
      <c r="I378" t="n">
        <v>0</v>
      </c>
      <c r="J378" t="n">
        <v>0</v>
      </c>
      <c r="K378" t="n">
        <v>0</v>
      </c>
      <c r="L378" t="n">
        <v>0</v>
      </c>
      <c r="M378" t="n">
        <v>0</v>
      </c>
      <c r="N378" t="n">
        <v>0</v>
      </c>
      <c r="O378" t="n">
        <v>0</v>
      </c>
      <c r="P378" t="n">
        <v>0</v>
      </c>
      <c r="Q378" t="n">
        <v>0</v>
      </c>
      <c r="R378" s="2" t="inlineStr"/>
    </row>
    <row r="379" ht="15" customHeight="1">
      <c r="A379" t="inlineStr">
        <is>
          <t>A 4966-2025</t>
        </is>
      </c>
      <c r="B379" s="1" t="n">
        <v>45690</v>
      </c>
      <c r="C379" s="1" t="n">
        <v>46200</v>
      </c>
      <c r="D379" t="inlineStr">
        <is>
          <t>JÄMTLANDS LÄN</t>
        </is>
      </c>
      <c r="E379" t="inlineStr">
        <is>
          <t>ÖSTERSUND</t>
        </is>
      </c>
      <c r="G379" t="n">
        <v>3.4</v>
      </c>
      <c r="H379" t="n">
        <v>0</v>
      </c>
      <c r="I379" t="n">
        <v>0</v>
      </c>
      <c r="J379" t="n">
        <v>0</v>
      </c>
      <c r="K379" t="n">
        <v>0</v>
      </c>
      <c r="L379" t="n">
        <v>0</v>
      </c>
      <c r="M379" t="n">
        <v>0</v>
      </c>
      <c r="N379" t="n">
        <v>0</v>
      </c>
      <c r="O379" t="n">
        <v>0</v>
      </c>
      <c r="P379" t="n">
        <v>0</v>
      </c>
      <c r="Q379" t="n">
        <v>0</v>
      </c>
      <c r="R379" s="2" t="inlineStr"/>
    </row>
    <row r="380" ht="15" customHeight="1">
      <c r="A380" t="inlineStr">
        <is>
          <t>A 27517-2025</t>
        </is>
      </c>
      <c r="B380" s="1" t="n">
        <v>45813</v>
      </c>
      <c r="C380" s="1" t="n">
        <v>46200</v>
      </c>
      <c r="D380" t="inlineStr">
        <is>
          <t>JÄMTLANDS LÄN</t>
        </is>
      </c>
      <c r="E380" t="inlineStr">
        <is>
          <t>ÖSTERSUND</t>
        </is>
      </c>
      <c r="G380" t="n">
        <v>2.2</v>
      </c>
      <c r="H380" t="n">
        <v>0</v>
      </c>
      <c r="I380" t="n">
        <v>0</v>
      </c>
      <c r="J380" t="n">
        <v>0</v>
      </c>
      <c r="K380" t="n">
        <v>0</v>
      </c>
      <c r="L380" t="n">
        <v>0</v>
      </c>
      <c r="M380" t="n">
        <v>0</v>
      </c>
      <c r="N380" t="n">
        <v>0</v>
      </c>
      <c r="O380" t="n">
        <v>0</v>
      </c>
      <c r="P380" t="n">
        <v>0</v>
      </c>
      <c r="Q380" t="n">
        <v>0</v>
      </c>
      <c r="R380" s="2" t="inlineStr"/>
    </row>
    <row r="381" ht="15" customHeight="1">
      <c r="A381" t="inlineStr">
        <is>
          <t>A 49788-2024</t>
        </is>
      </c>
      <c r="B381" s="1" t="n">
        <v>45597</v>
      </c>
      <c r="C381" s="1" t="n">
        <v>46200</v>
      </c>
      <c r="D381" t="inlineStr">
        <is>
          <t>JÄMTLANDS LÄN</t>
        </is>
      </c>
      <c r="E381" t="inlineStr">
        <is>
          <t>ÖSTERSUND</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7956-2025</t>
        </is>
      </c>
      <c r="B382" s="1" t="n">
        <v>45707</v>
      </c>
      <c r="C382" s="1" t="n">
        <v>46200</v>
      </c>
      <c r="D382" t="inlineStr">
        <is>
          <t>JÄMTLANDS LÄN</t>
        </is>
      </c>
      <c r="E382" t="inlineStr">
        <is>
          <t>ÖSTERSUND</t>
        </is>
      </c>
      <c r="F382" t="inlineStr">
        <is>
          <t>Övriga Aktiebolag</t>
        </is>
      </c>
      <c r="G382" t="n">
        <v>111.2</v>
      </c>
      <c r="H382" t="n">
        <v>0</v>
      </c>
      <c r="I382" t="n">
        <v>0</v>
      </c>
      <c r="J382" t="n">
        <v>0</v>
      </c>
      <c r="K382" t="n">
        <v>0</v>
      </c>
      <c r="L382" t="n">
        <v>0</v>
      </c>
      <c r="M382" t="n">
        <v>0</v>
      </c>
      <c r="N382" t="n">
        <v>0</v>
      </c>
      <c r="O382" t="n">
        <v>0</v>
      </c>
      <c r="P382" t="n">
        <v>0</v>
      </c>
      <c r="Q382" t="n">
        <v>0</v>
      </c>
      <c r="R382" s="2" t="inlineStr"/>
    </row>
    <row r="383" ht="15" customHeight="1">
      <c r="A383" t="inlineStr">
        <is>
          <t>A 4901-2025</t>
        </is>
      </c>
      <c r="B383" s="1" t="n">
        <v>45688</v>
      </c>
      <c r="C383" s="1" t="n">
        <v>46200</v>
      </c>
      <c r="D383" t="inlineStr">
        <is>
          <t>JÄMTLANDS LÄN</t>
        </is>
      </c>
      <c r="E383" t="inlineStr">
        <is>
          <t>ÖSTERSUND</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28595-2025</t>
        </is>
      </c>
      <c r="B384" s="1" t="n">
        <v>45819</v>
      </c>
      <c r="C384" s="1" t="n">
        <v>46200</v>
      </c>
      <c r="D384" t="inlineStr">
        <is>
          <t>JÄMTLANDS LÄN</t>
        </is>
      </c>
      <c r="E384" t="inlineStr">
        <is>
          <t>ÖSTERSUND</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2753-2025</t>
        </is>
      </c>
      <c r="B385" s="1" t="n">
        <v>45677</v>
      </c>
      <c r="C385" s="1" t="n">
        <v>46200</v>
      </c>
      <c r="D385" t="inlineStr">
        <is>
          <t>JÄMTLANDS LÄN</t>
        </is>
      </c>
      <c r="E385" t="inlineStr">
        <is>
          <t>ÖSTERSUND</t>
        </is>
      </c>
      <c r="G385" t="n">
        <v>6.4</v>
      </c>
      <c r="H385" t="n">
        <v>0</v>
      </c>
      <c r="I385" t="n">
        <v>0</v>
      </c>
      <c r="J385" t="n">
        <v>0</v>
      </c>
      <c r="K385" t="n">
        <v>0</v>
      </c>
      <c r="L385" t="n">
        <v>0</v>
      </c>
      <c r="M385" t="n">
        <v>0</v>
      </c>
      <c r="N385" t="n">
        <v>0</v>
      </c>
      <c r="O385" t="n">
        <v>0</v>
      </c>
      <c r="P385" t="n">
        <v>0</v>
      </c>
      <c r="Q385" t="n">
        <v>0</v>
      </c>
      <c r="R385" s="2" t="inlineStr"/>
    </row>
    <row r="386" ht="15" customHeight="1">
      <c r="A386" t="inlineStr">
        <is>
          <t>A 28185-2025</t>
        </is>
      </c>
      <c r="B386" s="1" t="n">
        <v>45818</v>
      </c>
      <c r="C386" s="1" t="n">
        <v>46200</v>
      </c>
      <c r="D386" t="inlineStr">
        <is>
          <t>JÄMTLANDS LÄN</t>
        </is>
      </c>
      <c r="E386" t="inlineStr">
        <is>
          <t>ÖSTERSUND</t>
        </is>
      </c>
      <c r="F386" t="inlineStr">
        <is>
          <t>Kyrkan</t>
        </is>
      </c>
      <c r="G386" t="n">
        <v>1</v>
      </c>
      <c r="H386" t="n">
        <v>0</v>
      </c>
      <c r="I386" t="n">
        <v>0</v>
      </c>
      <c r="J386" t="n">
        <v>0</v>
      </c>
      <c r="K386" t="n">
        <v>0</v>
      </c>
      <c r="L386" t="n">
        <v>0</v>
      </c>
      <c r="M386" t="n">
        <v>0</v>
      </c>
      <c r="N386" t="n">
        <v>0</v>
      </c>
      <c r="O386" t="n">
        <v>0</v>
      </c>
      <c r="P386" t="n">
        <v>0</v>
      </c>
      <c r="Q386" t="n">
        <v>0</v>
      </c>
      <c r="R386" s="2" t="inlineStr"/>
    </row>
    <row r="387" ht="15" customHeight="1">
      <c r="A387" t="inlineStr">
        <is>
          <t>A 17709-2024</t>
        </is>
      </c>
      <c r="B387" s="1" t="n">
        <v>45418</v>
      </c>
      <c r="C387" s="1" t="n">
        <v>46200</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58406-2024</t>
        </is>
      </c>
      <c r="B388" s="1" t="n">
        <v>45634</v>
      </c>
      <c r="C388" s="1" t="n">
        <v>46200</v>
      </c>
      <c r="D388" t="inlineStr">
        <is>
          <t>JÄMTLANDS LÄN</t>
        </is>
      </c>
      <c r="E388" t="inlineStr">
        <is>
          <t>ÖSTERSUND</t>
        </is>
      </c>
      <c r="G388" t="n">
        <v>3.8</v>
      </c>
      <c r="H388" t="n">
        <v>0</v>
      </c>
      <c r="I388" t="n">
        <v>0</v>
      </c>
      <c r="J388" t="n">
        <v>0</v>
      </c>
      <c r="K388" t="n">
        <v>0</v>
      </c>
      <c r="L388" t="n">
        <v>0</v>
      </c>
      <c r="M388" t="n">
        <v>0</v>
      </c>
      <c r="N388" t="n">
        <v>0</v>
      </c>
      <c r="O388" t="n">
        <v>0</v>
      </c>
      <c r="P388" t="n">
        <v>0</v>
      </c>
      <c r="Q388" t="n">
        <v>0</v>
      </c>
      <c r="R388" s="2" t="inlineStr"/>
    </row>
    <row r="389" ht="15" customHeight="1">
      <c r="A389" t="inlineStr">
        <is>
          <t>A 2615-2024</t>
        </is>
      </c>
      <c r="B389" s="1" t="n">
        <v>45313</v>
      </c>
      <c r="C389" s="1" t="n">
        <v>46200</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46200</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13166-2023</t>
        </is>
      </c>
      <c r="B391" s="1" t="n">
        <v>45002</v>
      </c>
      <c r="C391" s="1" t="n">
        <v>46200</v>
      </c>
      <c r="D391" t="inlineStr">
        <is>
          <t>JÄMTLANDS LÄN</t>
        </is>
      </c>
      <c r="E391" t="inlineStr">
        <is>
          <t>ÖSTERSUND</t>
        </is>
      </c>
      <c r="F391" t="inlineStr">
        <is>
          <t>Övriga statliga verk och myndigheter</t>
        </is>
      </c>
      <c r="G391" t="n">
        <v>1</v>
      </c>
      <c r="H391" t="n">
        <v>0</v>
      </c>
      <c r="I391" t="n">
        <v>0</v>
      </c>
      <c r="J391" t="n">
        <v>0</v>
      </c>
      <c r="K391" t="n">
        <v>0</v>
      </c>
      <c r="L391" t="n">
        <v>0</v>
      </c>
      <c r="M391" t="n">
        <v>0</v>
      </c>
      <c r="N391" t="n">
        <v>0</v>
      </c>
      <c r="O391" t="n">
        <v>0</v>
      </c>
      <c r="P391" t="n">
        <v>0</v>
      </c>
      <c r="Q391" t="n">
        <v>0</v>
      </c>
      <c r="R391" s="2" t="inlineStr"/>
    </row>
    <row r="392" ht="15" customHeight="1">
      <c r="A392" t="inlineStr">
        <is>
          <t>A 36406-2023</t>
        </is>
      </c>
      <c r="B392" s="1" t="n">
        <v>45149</v>
      </c>
      <c r="C392" s="1" t="n">
        <v>46200</v>
      </c>
      <c r="D392" t="inlineStr">
        <is>
          <t>JÄMTLANDS LÄN</t>
        </is>
      </c>
      <c r="E392" t="inlineStr">
        <is>
          <t>ÖSTERSUND</t>
        </is>
      </c>
      <c r="G392" t="n">
        <v>2.4</v>
      </c>
      <c r="H392" t="n">
        <v>0</v>
      </c>
      <c r="I392" t="n">
        <v>0</v>
      </c>
      <c r="J392" t="n">
        <v>0</v>
      </c>
      <c r="K392" t="n">
        <v>0</v>
      </c>
      <c r="L392" t="n">
        <v>0</v>
      </c>
      <c r="M392" t="n">
        <v>0</v>
      </c>
      <c r="N392" t="n">
        <v>0</v>
      </c>
      <c r="O392" t="n">
        <v>0</v>
      </c>
      <c r="P392" t="n">
        <v>0</v>
      </c>
      <c r="Q392" t="n">
        <v>0</v>
      </c>
      <c r="R392" s="2" t="inlineStr"/>
    </row>
    <row r="393" ht="15" customHeight="1">
      <c r="A393" t="inlineStr">
        <is>
          <t>A 24786-2024</t>
        </is>
      </c>
      <c r="B393" s="1" t="n">
        <v>45460</v>
      </c>
      <c r="C393" s="1" t="n">
        <v>46200</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20400-2024</t>
        </is>
      </c>
      <c r="B394" s="1" t="n">
        <v>45435</v>
      </c>
      <c r="C394" s="1" t="n">
        <v>46200</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53660-2024</t>
        </is>
      </c>
      <c r="B395" s="1" t="n">
        <v>45615</v>
      </c>
      <c r="C395" s="1" t="n">
        <v>46200</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20588-2023</t>
        </is>
      </c>
      <c r="B396" s="1" t="n">
        <v>45057</v>
      </c>
      <c r="C396" s="1" t="n">
        <v>46200</v>
      </c>
      <c r="D396" t="inlineStr">
        <is>
          <t>JÄMTLANDS LÄN</t>
        </is>
      </c>
      <c r="E396" t="inlineStr">
        <is>
          <t>ÖSTERSUND</t>
        </is>
      </c>
      <c r="G396" t="n">
        <v>0.9</v>
      </c>
      <c r="H396" t="n">
        <v>0</v>
      </c>
      <c r="I396" t="n">
        <v>0</v>
      </c>
      <c r="J396" t="n">
        <v>0</v>
      </c>
      <c r="K396" t="n">
        <v>0</v>
      </c>
      <c r="L396" t="n">
        <v>0</v>
      </c>
      <c r="M396" t="n">
        <v>0</v>
      </c>
      <c r="N396" t="n">
        <v>0</v>
      </c>
      <c r="O396" t="n">
        <v>0</v>
      </c>
      <c r="P396" t="n">
        <v>0</v>
      </c>
      <c r="Q396" t="n">
        <v>0</v>
      </c>
      <c r="R396" s="2" t="inlineStr"/>
    </row>
    <row r="397" ht="15" customHeight="1">
      <c r="A397" t="inlineStr">
        <is>
          <t>A 4500-2025</t>
        </is>
      </c>
      <c r="B397" s="1" t="n">
        <v>45686</v>
      </c>
      <c r="C397" s="1" t="n">
        <v>46200</v>
      </c>
      <c r="D397" t="inlineStr">
        <is>
          <t>JÄMTLANDS LÄN</t>
        </is>
      </c>
      <c r="E397" t="inlineStr">
        <is>
          <t>ÖSTERSUND</t>
        </is>
      </c>
      <c r="G397" t="n">
        <v>28.4</v>
      </c>
      <c r="H397" t="n">
        <v>0</v>
      </c>
      <c r="I397" t="n">
        <v>0</v>
      </c>
      <c r="J397" t="n">
        <v>0</v>
      </c>
      <c r="K397" t="n">
        <v>0</v>
      </c>
      <c r="L397" t="n">
        <v>0</v>
      </c>
      <c r="M397" t="n">
        <v>0</v>
      </c>
      <c r="N397" t="n">
        <v>0</v>
      </c>
      <c r="O397" t="n">
        <v>0</v>
      </c>
      <c r="P397" t="n">
        <v>0</v>
      </c>
      <c r="Q397" t="n">
        <v>0</v>
      </c>
      <c r="R397" s="2" t="inlineStr"/>
    </row>
    <row r="398" ht="15" customHeight="1">
      <c r="A398" t="inlineStr">
        <is>
          <t>A 4135-2023</t>
        </is>
      </c>
      <c r="B398" s="1" t="n">
        <v>44952</v>
      </c>
      <c r="C398" s="1" t="n">
        <v>46200</v>
      </c>
      <c r="D398" t="inlineStr">
        <is>
          <t>JÄMTLANDS LÄN</t>
        </is>
      </c>
      <c r="E398" t="inlineStr">
        <is>
          <t>ÖSTERSUND</t>
        </is>
      </c>
      <c r="G398" t="n">
        <v>1.3</v>
      </c>
      <c r="H398" t="n">
        <v>0</v>
      </c>
      <c r="I398" t="n">
        <v>0</v>
      </c>
      <c r="J398" t="n">
        <v>0</v>
      </c>
      <c r="K398" t="n">
        <v>0</v>
      </c>
      <c r="L398" t="n">
        <v>0</v>
      </c>
      <c r="M398" t="n">
        <v>0</v>
      </c>
      <c r="N398" t="n">
        <v>0</v>
      </c>
      <c r="O398" t="n">
        <v>0</v>
      </c>
      <c r="P398" t="n">
        <v>0</v>
      </c>
      <c r="Q398" t="n">
        <v>0</v>
      </c>
      <c r="R398" s="2" t="inlineStr"/>
    </row>
    <row r="399" ht="15" customHeight="1">
      <c r="A399" t="inlineStr">
        <is>
          <t>A 27689-2024</t>
        </is>
      </c>
      <c r="B399" s="1" t="n">
        <v>45475</v>
      </c>
      <c r="C399" s="1" t="n">
        <v>46200</v>
      </c>
      <c r="D399" t="inlineStr">
        <is>
          <t>JÄMTLANDS LÄN</t>
        </is>
      </c>
      <c r="E399" t="inlineStr">
        <is>
          <t>ÖSTERSUND</t>
        </is>
      </c>
      <c r="G399" t="n">
        <v>0.6</v>
      </c>
      <c r="H399" t="n">
        <v>0</v>
      </c>
      <c r="I399" t="n">
        <v>0</v>
      </c>
      <c r="J399" t="n">
        <v>0</v>
      </c>
      <c r="K399" t="n">
        <v>0</v>
      </c>
      <c r="L399" t="n">
        <v>0</v>
      </c>
      <c r="M399" t="n">
        <v>0</v>
      </c>
      <c r="N399" t="n">
        <v>0</v>
      </c>
      <c r="O399" t="n">
        <v>0</v>
      </c>
      <c r="P399" t="n">
        <v>0</v>
      </c>
      <c r="Q399" t="n">
        <v>0</v>
      </c>
      <c r="R399" s="2" t="inlineStr"/>
    </row>
    <row r="400" ht="15" customHeight="1">
      <c r="A400" t="inlineStr">
        <is>
          <t>A 42151-2023</t>
        </is>
      </c>
      <c r="B400" s="1" t="n">
        <v>45177</v>
      </c>
      <c r="C400" s="1" t="n">
        <v>46200</v>
      </c>
      <c r="D400" t="inlineStr">
        <is>
          <t>JÄMTLANDS LÄN</t>
        </is>
      </c>
      <c r="E400" t="inlineStr">
        <is>
          <t>ÖSTERSUND</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59648-2022</t>
        </is>
      </c>
      <c r="B401" s="1" t="n">
        <v>44907</v>
      </c>
      <c r="C401" s="1" t="n">
        <v>46200</v>
      </c>
      <c r="D401" t="inlineStr">
        <is>
          <t>JÄMTLANDS LÄN</t>
        </is>
      </c>
      <c r="E401" t="inlineStr">
        <is>
          <t>ÖSTERSUND</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29128-2022</t>
        </is>
      </c>
      <c r="B402" s="1" t="n">
        <v>44750</v>
      </c>
      <c r="C402" s="1" t="n">
        <v>46200</v>
      </c>
      <c r="D402" t="inlineStr">
        <is>
          <t>JÄMTLANDS LÄN</t>
        </is>
      </c>
      <c r="E402" t="inlineStr">
        <is>
          <t>ÖSTERSUND</t>
        </is>
      </c>
      <c r="G402" t="n">
        <v>3</v>
      </c>
      <c r="H402" t="n">
        <v>0</v>
      </c>
      <c r="I402" t="n">
        <v>0</v>
      </c>
      <c r="J402" t="n">
        <v>0</v>
      </c>
      <c r="K402" t="n">
        <v>0</v>
      </c>
      <c r="L402" t="n">
        <v>0</v>
      </c>
      <c r="M402" t="n">
        <v>0</v>
      </c>
      <c r="N402" t="n">
        <v>0</v>
      </c>
      <c r="O402" t="n">
        <v>0</v>
      </c>
      <c r="P402" t="n">
        <v>0</v>
      </c>
      <c r="Q402" t="n">
        <v>0</v>
      </c>
      <c r="R402" s="2" t="inlineStr"/>
    </row>
    <row r="403" ht="15" customHeight="1">
      <c r="A403" t="inlineStr">
        <is>
          <t>A 44489-2024</t>
        </is>
      </c>
      <c r="B403" s="1" t="n">
        <v>45574</v>
      </c>
      <c r="C403" s="1" t="n">
        <v>46200</v>
      </c>
      <c r="D403" t="inlineStr">
        <is>
          <t>JÄMTLANDS LÄN</t>
        </is>
      </c>
      <c r="E403" t="inlineStr">
        <is>
          <t>ÖSTERSUND</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51479-2023</t>
        </is>
      </c>
      <c r="B404" s="1" t="n">
        <v>45221</v>
      </c>
      <c r="C404" s="1" t="n">
        <v>46200</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1670-2024</t>
        </is>
      </c>
      <c r="B405" s="1" t="n">
        <v>45306</v>
      </c>
      <c r="C405" s="1" t="n">
        <v>46200</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2978-2024</t>
        </is>
      </c>
      <c r="B406" s="1" t="n">
        <v>45315</v>
      </c>
      <c r="C406" s="1" t="n">
        <v>46200</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7549-2025</t>
        </is>
      </c>
      <c r="B407" s="1" t="n">
        <v>45705</v>
      </c>
      <c r="C407" s="1" t="n">
        <v>46200</v>
      </c>
      <c r="D407" t="inlineStr">
        <is>
          <t>JÄMTLANDS LÄN</t>
        </is>
      </c>
      <c r="E407" t="inlineStr">
        <is>
          <t>ÖSTERSUND</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34490-2025</t>
        </is>
      </c>
      <c r="B408" s="1" t="n">
        <v>45847</v>
      </c>
      <c r="C408" s="1" t="n">
        <v>46200</v>
      </c>
      <c r="D408" t="inlineStr">
        <is>
          <t>JÄMTLANDS LÄN</t>
        </is>
      </c>
      <c r="E408" t="inlineStr">
        <is>
          <t>ÖSTERSUND</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34589-2025</t>
        </is>
      </c>
      <c r="B409" s="1" t="n">
        <v>45847</v>
      </c>
      <c r="C409" s="1" t="n">
        <v>46200</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34587-2025</t>
        </is>
      </c>
      <c r="B410" s="1" t="n">
        <v>45847</v>
      </c>
      <c r="C410" s="1" t="n">
        <v>46200</v>
      </c>
      <c r="D410" t="inlineStr">
        <is>
          <t>JÄMTLANDS LÄN</t>
        </is>
      </c>
      <c r="E410" t="inlineStr">
        <is>
          <t>ÖSTERSUND</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56111-2022</t>
        </is>
      </c>
      <c r="B411" s="1" t="n">
        <v>44889</v>
      </c>
      <c r="C411" s="1" t="n">
        <v>46200</v>
      </c>
      <c r="D411" t="inlineStr">
        <is>
          <t>JÄMTLANDS LÄN</t>
        </is>
      </c>
      <c r="E411" t="inlineStr">
        <is>
          <t>ÖSTERSUND</t>
        </is>
      </c>
      <c r="G411" t="n">
        <v>2.5</v>
      </c>
      <c r="H411" t="n">
        <v>0</v>
      </c>
      <c r="I411" t="n">
        <v>0</v>
      </c>
      <c r="J411" t="n">
        <v>0</v>
      </c>
      <c r="K411" t="n">
        <v>0</v>
      </c>
      <c r="L411" t="n">
        <v>0</v>
      </c>
      <c r="M411" t="n">
        <v>0</v>
      </c>
      <c r="N411" t="n">
        <v>0</v>
      </c>
      <c r="O411" t="n">
        <v>0</v>
      </c>
      <c r="P411" t="n">
        <v>0</v>
      </c>
      <c r="Q411" t="n">
        <v>0</v>
      </c>
      <c r="R411" s="2" t="inlineStr"/>
    </row>
    <row r="412" ht="15" customHeight="1">
      <c r="A412" t="inlineStr">
        <is>
          <t>A 28181-2024</t>
        </is>
      </c>
      <c r="B412" s="1" t="n">
        <v>45477</v>
      </c>
      <c r="C412" s="1" t="n">
        <v>46200</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4707-2024</t>
        </is>
      </c>
      <c r="B413" s="1" t="n">
        <v>45328</v>
      </c>
      <c r="C413" s="1" t="n">
        <v>46200</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25228-2025</t>
        </is>
      </c>
      <c r="B414" s="1" t="n">
        <v>45800</v>
      </c>
      <c r="C414" s="1" t="n">
        <v>46200</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14523-2023</t>
        </is>
      </c>
      <c r="B415" s="1" t="n">
        <v>45012</v>
      </c>
      <c r="C415" s="1" t="n">
        <v>46200</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1159-2024</t>
        </is>
      </c>
      <c r="B416" s="1" t="n">
        <v>45302</v>
      </c>
      <c r="C416" s="1" t="n">
        <v>46200</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39493-2023</t>
        </is>
      </c>
      <c r="B417" s="1" t="n">
        <v>45166</v>
      </c>
      <c r="C417" s="1" t="n">
        <v>46200</v>
      </c>
      <c r="D417" t="inlineStr">
        <is>
          <t>JÄMTLANDS LÄN</t>
        </is>
      </c>
      <c r="E417" t="inlineStr">
        <is>
          <t>ÖSTERSUND</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26586-2025</t>
        </is>
      </c>
      <c r="B418" s="1" t="n">
        <v>45807</v>
      </c>
      <c r="C418" s="1" t="n">
        <v>46200</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36098-2025</t>
        </is>
      </c>
      <c r="B419" s="1" t="n">
        <v>45866</v>
      </c>
      <c r="C419" s="1" t="n">
        <v>46200</v>
      </c>
      <c r="D419" t="inlineStr">
        <is>
          <t>JÄMTLANDS LÄN</t>
        </is>
      </c>
      <c r="E419" t="inlineStr">
        <is>
          <t>ÖSTERSUND</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v>
      </c>
      <c r="C420" s="1" t="n">
        <v>46200</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46200</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58952-2024</t>
        </is>
      </c>
      <c r="B422" s="1" t="n">
        <v>45636</v>
      </c>
      <c r="C422" s="1" t="n">
        <v>46200</v>
      </c>
      <c r="D422" t="inlineStr">
        <is>
          <t>JÄMTLANDS LÄN</t>
        </is>
      </c>
      <c r="E422" t="inlineStr">
        <is>
          <t>ÖSTERSUND</t>
        </is>
      </c>
      <c r="G422" t="n">
        <v>3.7</v>
      </c>
      <c r="H422" t="n">
        <v>0</v>
      </c>
      <c r="I422" t="n">
        <v>0</v>
      </c>
      <c r="J422" t="n">
        <v>0</v>
      </c>
      <c r="K422" t="n">
        <v>0</v>
      </c>
      <c r="L422" t="n">
        <v>0</v>
      </c>
      <c r="M422" t="n">
        <v>0</v>
      </c>
      <c r="N422" t="n">
        <v>0</v>
      </c>
      <c r="O422" t="n">
        <v>0</v>
      </c>
      <c r="P422" t="n">
        <v>0</v>
      </c>
      <c r="Q422" t="n">
        <v>0</v>
      </c>
      <c r="R422" s="2" t="inlineStr"/>
    </row>
    <row r="423" ht="15" customHeight="1">
      <c r="A423" t="inlineStr">
        <is>
          <t>A 2730-2025</t>
        </is>
      </c>
      <c r="B423" s="1" t="n">
        <v>45677</v>
      </c>
      <c r="C423" s="1" t="n">
        <v>46200</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46748-2023</t>
        </is>
      </c>
      <c r="B424" s="1" t="n">
        <v>45198</v>
      </c>
      <c r="C424" s="1" t="n">
        <v>46200</v>
      </c>
      <c r="D424" t="inlineStr">
        <is>
          <t>JÄMTLANDS LÄN</t>
        </is>
      </c>
      <c r="E424" t="inlineStr">
        <is>
          <t>ÖSTERSUND</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62225-2022</t>
        </is>
      </c>
      <c r="B425" s="1" t="n">
        <v>44922</v>
      </c>
      <c r="C425" s="1" t="n">
        <v>46200</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20634-2023</t>
        </is>
      </c>
      <c r="B426" s="1" t="n">
        <v>45057</v>
      </c>
      <c r="C426" s="1" t="n">
        <v>46200</v>
      </c>
      <c r="D426" t="inlineStr">
        <is>
          <t>JÄMTLANDS LÄN</t>
        </is>
      </c>
      <c r="E426" t="inlineStr">
        <is>
          <t>ÖSTERSUND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5341-2025</t>
        </is>
      </c>
      <c r="B427" s="1" t="n">
        <v>45692</v>
      </c>
      <c r="C427" s="1" t="n">
        <v>46200</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37085-2025</t>
        </is>
      </c>
      <c r="B428" s="1" t="n">
        <v>45875</v>
      </c>
      <c r="C428" s="1" t="n">
        <v>46200</v>
      </c>
      <c r="D428" t="inlineStr">
        <is>
          <t>JÄMTLANDS LÄN</t>
        </is>
      </c>
      <c r="E428" t="inlineStr">
        <is>
          <t>ÖSTERSUND</t>
        </is>
      </c>
      <c r="G428" t="n">
        <v>5.5</v>
      </c>
      <c r="H428" t="n">
        <v>0</v>
      </c>
      <c r="I428" t="n">
        <v>0</v>
      </c>
      <c r="J428" t="n">
        <v>0</v>
      </c>
      <c r="K428" t="n">
        <v>0</v>
      </c>
      <c r="L428" t="n">
        <v>0</v>
      </c>
      <c r="M428" t="n">
        <v>0</v>
      </c>
      <c r="N428" t="n">
        <v>0</v>
      </c>
      <c r="O428" t="n">
        <v>0</v>
      </c>
      <c r="P428" t="n">
        <v>0</v>
      </c>
      <c r="Q428" t="n">
        <v>0</v>
      </c>
      <c r="R428" s="2" t="inlineStr"/>
    </row>
    <row r="429" ht="15" customHeight="1">
      <c r="A429" t="inlineStr">
        <is>
          <t>A 10306-2023</t>
        </is>
      </c>
      <c r="B429" s="1" t="n">
        <v>44986</v>
      </c>
      <c r="C429" s="1" t="n">
        <v>46200</v>
      </c>
      <c r="D429" t="inlineStr">
        <is>
          <t>JÄMTLANDS LÄN</t>
        </is>
      </c>
      <c r="E429" t="inlineStr">
        <is>
          <t>ÖSTERSUND</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21237-2025</t>
        </is>
      </c>
      <c r="B430" s="1" t="n">
        <v>45779</v>
      </c>
      <c r="C430" s="1" t="n">
        <v>46200</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26321-2022</t>
        </is>
      </c>
      <c r="B431" s="1" t="n">
        <v>44735</v>
      </c>
      <c r="C431" s="1" t="n">
        <v>46200</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43252-2023</t>
        </is>
      </c>
      <c r="B432" s="1" t="n">
        <v>45183</v>
      </c>
      <c r="C432" s="1" t="n">
        <v>46200</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30217-2022</t>
        </is>
      </c>
      <c r="B433" s="1" t="n">
        <v>44757</v>
      </c>
      <c r="C433" s="1" t="n">
        <v>46200</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4480-2025</t>
        </is>
      </c>
      <c r="B434" s="1" t="n">
        <v>45686</v>
      </c>
      <c r="C434" s="1" t="n">
        <v>46200</v>
      </c>
      <c r="D434" t="inlineStr">
        <is>
          <t>JÄMTLANDS LÄN</t>
        </is>
      </c>
      <c r="E434" t="inlineStr">
        <is>
          <t>ÖSTERSUND</t>
        </is>
      </c>
      <c r="G434" t="n">
        <v>27.7</v>
      </c>
      <c r="H434" t="n">
        <v>0</v>
      </c>
      <c r="I434" t="n">
        <v>0</v>
      </c>
      <c r="J434" t="n">
        <v>0</v>
      </c>
      <c r="K434" t="n">
        <v>0</v>
      </c>
      <c r="L434" t="n">
        <v>0</v>
      </c>
      <c r="M434" t="n">
        <v>0</v>
      </c>
      <c r="N434" t="n">
        <v>0</v>
      </c>
      <c r="O434" t="n">
        <v>0</v>
      </c>
      <c r="P434" t="n">
        <v>0</v>
      </c>
      <c r="Q434" t="n">
        <v>0</v>
      </c>
      <c r="R434" s="2" t="inlineStr"/>
    </row>
    <row r="435" ht="15" customHeight="1">
      <c r="A435" t="inlineStr">
        <is>
          <t>A 38871-2025</t>
        </is>
      </c>
      <c r="B435" s="1" t="n">
        <v>45887</v>
      </c>
      <c r="C435" s="1" t="n">
        <v>46200</v>
      </c>
      <c r="D435" t="inlineStr">
        <is>
          <t>JÄMTLANDS LÄN</t>
        </is>
      </c>
      <c r="E435" t="inlineStr">
        <is>
          <t>ÖSTERSUND</t>
        </is>
      </c>
      <c r="G435" t="n">
        <v>3</v>
      </c>
      <c r="H435" t="n">
        <v>0</v>
      </c>
      <c r="I435" t="n">
        <v>0</v>
      </c>
      <c r="J435" t="n">
        <v>0</v>
      </c>
      <c r="K435" t="n">
        <v>0</v>
      </c>
      <c r="L435" t="n">
        <v>0</v>
      </c>
      <c r="M435" t="n">
        <v>0</v>
      </c>
      <c r="N435" t="n">
        <v>0</v>
      </c>
      <c r="O435" t="n">
        <v>0</v>
      </c>
      <c r="P435" t="n">
        <v>0</v>
      </c>
      <c r="Q435" t="n">
        <v>0</v>
      </c>
      <c r="R435" s="2" t="inlineStr"/>
    </row>
    <row r="436" ht="15" customHeight="1">
      <c r="A436" t="inlineStr">
        <is>
          <t>A 55140-2023</t>
        </is>
      </c>
      <c r="B436" s="1" t="n">
        <v>45237</v>
      </c>
      <c r="C436" s="1" t="n">
        <v>46200</v>
      </c>
      <c r="D436" t="inlineStr">
        <is>
          <t>JÄMTLANDS LÄN</t>
        </is>
      </c>
      <c r="E436" t="inlineStr">
        <is>
          <t>ÖSTERSUND</t>
        </is>
      </c>
      <c r="G436" t="n">
        <v>1.8</v>
      </c>
      <c r="H436" t="n">
        <v>0</v>
      </c>
      <c r="I436" t="n">
        <v>0</v>
      </c>
      <c r="J436" t="n">
        <v>0</v>
      </c>
      <c r="K436" t="n">
        <v>0</v>
      </c>
      <c r="L436" t="n">
        <v>0</v>
      </c>
      <c r="M436" t="n">
        <v>0</v>
      </c>
      <c r="N436" t="n">
        <v>0</v>
      </c>
      <c r="O436" t="n">
        <v>0</v>
      </c>
      <c r="P436" t="n">
        <v>0</v>
      </c>
      <c r="Q436" t="n">
        <v>0</v>
      </c>
      <c r="R436" s="2" t="inlineStr"/>
    </row>
    <row r="437" ht="15" customHeight="1">
      <c r="A437" t="inlineStr">
        <is>
          <t>A 54663-2022</t>
        </is>
      </c>
      <c r="B437" s="1" t="n">
        <v>44883</v>
      </c>
      <c r="C437" s="1" t="n">
        <v>46200</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11052-2024</t>
        </is>
      </c>
      <c r="B438" s="1" t="n">
        <v>45370</v>
      </c>
      <c r="C438" s="1" t="n">
        <v>46200</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48893-2025</t>
        </is>
      </c>
      <c r="B439" s="1" t="n">
        <v>45937</v>
      </c>
      <c r="C439" s="1" t="n">
        <v>46200</v>
      </c>
      <c r="D439" t="inlineStr">
        <is>
          <t>JÄMTLANDS LÄN</t>
        </is>
      </c>
      <c r="E439" t="inlineStr">
        <is>
          <t>ÖSTERSUND</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56646-2024</t>
        </is>
      </c>
      <c r="B440" s="1" t="n">
        <v>45625</v>
      </c>
      <c r="C440" s="1" t="n">
        <v>46200</v>
      </c>
      <c r="D440" t="inlineStr">
        <is>
          <t>JÄMTLANDS LÄN</t>
        </is>
      </c>
      <c r="E440" t="inlineStr">
        <is>
          <t>ÖSTERSUND</t>
        </is>
      </c>
      <c r="G440" t="n">
        <v>18.9</v>
      </c>
      <c r="H440" t="n">
        <v>0</v>
      </c>
      <c r="I440" t="n">
        <v>0</v>
      </c>
      <c r="J440" t="n">
        <v>0</v>
      </c>
      <c r="K440" t="n">
        <v>0</v>
      </c>
      <c r="L440" t="n">
        <v>0</v>
      </c>
      <c r="M440" t="n">
        <v>0</v>
      </c>
      <c r="N440" t="n">
        <v>0</v>
      </c>
      <c r="O440" t="n">
        <v>0</v>
      </c>
      <c r="P440" t="n">
        <v>0</v>
      </c>
      <c r="Q440" t="n">
        <v>0</v>
      </c>
      <c r="R440" s="2" t="inlineStr"/>
    </row>
    <row r="441" ht="15" customHeight="1">
      <c r="A441" t="inlineStr">
        <is>
          <t>A 49576-2025</t>
        </is>
      </c>
      <c r="B441" s="1" t="n">
        <v>45939</v>
      </c>
      <c r="C441" s="1" t="n">
        <v>46200</v>
      </c>
      <c r="D441" t="inlineStr">
        <is>
          <t>JÄMTLANDS LÄN</t>
        </is>
      </c>
      <c r="E441" t="inlineStr">
        <is>
          <t>ÖSTERSUND</t>
        </is>
      </c>
      <c r="F441" t="inlineStr">
        <is>
          <t>SCA</t>
        </is>
      </c>
      <c r="G441" t="n">
        <v>17.1</v>
      </c>
      <c r="H441" t="n">
        <v>0</v>
      </c>
      <c r="I441" t="n">
        <v>0</v>
      </c>
      <c r="J441" t="n">
        <v>0</v>
      </c>
      <c r="K441" t="n">
        <v>0</v>
      </c>
      <c r="L441" t="n">
        <v>0</v>
      </c>
      <c r="M441" t="n">
        <v>0</v>
      </c>
      <c r="N441" t="n">
        <v>0</v>
      </c>
      <c r="O441" t="n">
        <v>0</v>
      </c>
      <c r="P441" t="n">
        <v>0</v>
      </c>
      <c r="Q441" t="n">
        <v>0</v>
      </c>
      <c r="R441" s="2" t="inlineStr"/>
    </row>
    <row r="442" ht="15" customHeight="1">
      <c r="A442" t="inlineStr">
        <is>
          <t>A 37597-2023</t>
        </is>
      </c>
      <c r="B442" s="1" t="n">
        <v>45159</v>
      </c>
      <c r="C442" s="1" t="n">
        <v>46200</v>
      </c>
      <c r="D442" t="inlineStr">
        <is>
          <t>JÄMTLANDS LÄN</t>
        </is>
      </c>
      <c r="E442" t="inlineStr">
        <is>
          <t>ÖSTERSUND</t>
        </is>
      </c>
      <c r="G442" t="n">
        <v>4.7</v>
      </c>
      <c r="H442" t="n">
        <v>0</v>
      </c>
      <c r="I442" t="n">
        <v>0</v>
      </c>
      <c r="J442" t="n">
        <v>0</v>
      </c>
      <c r="K442" t="n">
        <v>0</v>
      </c>
      <c r="L442" t="n">
        <v>0</v>
      </c>
      <c r="M442" t="n">
        <v>0</v>
      </c>
      <c r="N442" t="n">
        <v>0</v>
      </c>
      <c r="O442" t="n">
        <v>0</v>
      </c>
      <c r="P442" t="n">
        <v>0</v>
      </c>
      <c r="Q442" t="n">
        <v>0</v>
      </c>
      <c r="R442" s="2" t="inlineStr"/>
    </row>
    <row r="443" ht="15" customHeight="1">
      <c r="A443" t="inlineStr">
        <is>
          <t>A 39103-2025</t>
        </is>
      </c>
      <c r="B443" s="1" t="n">
        <v>45888</v>
      </c>
      <c r="C443" s="1" t="n">
        <v>46200</v>
      </c>
      <c r="D443" t="inlineStr">
        <is>
          <t>JÄMTLANDS LÄN</t>
        </is>
      </c>
      <c r="E443" t="inlineStr">
        <is>
          <t>ÖSTERSUND</t>
        </is>
      </c>
      <c r="G443" t="n">
        <v>23.9</v>
      </c>
      <c r="H443" t="n">
        <v>0</v>
      </c>
      <c r="I443" t="n">
        <v>0</v>
      </c>
      <c r="J443" t="n">
        <v>0</v>
      </c>
      <c r="K443" t="n">
        <v>0</v>
      </c>
      <c r="L443" t="n">
        <v>0</v>
      </c>
      <c r="M443" t="n">
        <v>0</v>
      </c>
      <c r="N443" t="n">
        <v>0</v>
      </c>
      <c r="O443" t="n">
        <v>0</v>
      </c>
      <c r="P443" t="n">
        <v>0</v>
      </c>
      <c r="Q443" t="n">
        <v>0</v>
      </c>
      <c r="R443" s="2" t="inlineStr"/>
    </row>
    <row r="444" ht="15" customHeight="1">
      <c r="A444" t="inlineStr">
        <is>
          <t>A 4520-2025</t>
        </is>
      </c>
      <c r="B444" s="1" t="n">
        <v>45686</v>
      </c>
      <c r="C444" s="1" t="n">
        <v>46200</v>
      </c>
      <c r="D444" t="inlineStr">
        <is>
          <t>JÄMTLANDS LÄN</t>
        </is>
      </c>
      <c r="E444" t="inlineStr">
        <is>
          <t>ÖSTERSUND</t>
        </is>
      </c>
      <c r="G444" t="n">
        <v>15.2</v>
      </c>
      <c r="H444" t="n">
        <v>0</v>
      </c>
      <c r="I444" t="n">
        <v>0</v>
      </c>
      <c r="J444" t="n">
        <v>0</v>
      </c>
      <c r="K444" t="n">
        <v>0</v>
      </c>
      <c r="L444" t="n">
        <v>0</v>
      </c>
      <c r="M444" t="n">
        <v>0</v>
      </c>
      <c r="N444" t="n">
        <v>0</v>
      </c>
      <c r="O444" t="n">
        <v>0</v>
      </c>
      <c r="P444" t="n">
        <v>0</v>
      </c>
      <c r="Q444" t="n">
        <v>0</v>
      </c>
      <c r="R444" s="2" t="inlineStr"/>
    </row>
    <row r="445" ht="15" customHeight="1">
      <c r="A445" t="inlineStr">
        <is>
          <t>A 4523-2025</t>
        </is>
      </c>
      <c r="B445" s="1" t="n">
        <v>45686</v>
      </c>
      <c r="C445" s="1" t="n">
        <v>46200</v>
      </c>
      <c r="D445" t="inlineStr">
        <is>
          <t>JÄMTLANDS LÄN</t>
        </is>
      </c>
      <c r="E445" t="inlineStr">
        <is>
          <t>ÖSTERSUND</t>
        </is>
      </c>
      <c r="G445" t="n">
        <v>15.2</v>
      </c>
      <c r="H445" t="n">
        <v>0</v>
      </c>
      <c r="I445" t="n">
        <v>0</v>
      </c>
      <c r="J445" t="n">
        <v>0</v>
      </c>
      <c r="K445" t="n">
        <v>0</v>
      </c>
      <c r="L445" t="n">
        <v>0</v>
      </c>
      <c r="M445" t="n">
        <v>0</v>
      </c>
      <c r="N445" t="n">
        <v>0</v>
      </c>
      <c r="O445" t="n">
        <v>0</v>
      </c>
      <c r="P445" t="n">
        <v>0</v>
      </c>
      <c r="Q445" t="n">
        <v>0</v>
      </c>
      <c r="R445" s="2" t="inlineStr"/>
    </row>
    <row r="446" ht="15" customHeight="1">
      <c r="A446" t="inlineStr">
        <is>
          <t>A 22713-2025</t>
        </is>
      </c>
      <c r="B446" s="1" t="n">
        <v>45789</v>
      </c>
      <c r="C446" s="1" t="n">
        <v>46200</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25221-2025</t>
        </is>
      </c>
      <c r="B447" s="1" t="n">
        <v>45800</v>
      </c>
      <c r="C447" s="1" t="n">
        <v>46200</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40325-2025</t>
        </is>
      </c>
      <c r="B448" s="1" t="n">
        <v>45895</v>
      </c>
      <c r="C448" s="1" t="n">
        <v>46200</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40326-2025</t>
        </is>
      </c>
      <c r="B449" s="1" t="n">
        <v>45895</v>
      </c>
      <c r="C449" s="1" t="n">
        <v>46200</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50428-2025</t>
        </is>
      </c>
      <c r="B450" s="1" t="n">
        <v>45944</v>
      </c>
      <c r="C450" s="1" t="n">
        <v>46200</v>
      </c>
      <c r="D450" t="inlineStr">
        <is>
          <t>JÄMTLANDS LÄN</t>
        </is>
      </c>
      <c r="E450" t="inlineStr">
        <is>
          <t>ÖSTERSUND</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55365-2024</t>
        </is>
      </c>
      <c r="B451" s="1" t="n">
        <v>45621</v>
      </c>
      <c r="C451" s="1" t="n">
        <v>46200</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44048-2024</t>
        </is>
      </c>
      <c r="B452" s="1" t="n">
        <v>45572</v>
      </c>
      <c r="C452" s="1" t="n">
        <v>46200</v>
      </c>
      <c r="D452" t="inlineStr">
        <is>
          <t>JÄMTLANDS LÄN</t>
        </is>
      </c>
      <c r="E452" t="inlineStr">
        <is>
          <t>ÖSTERSUND</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18429-2025</t>
        </is>
      </c>
      <c r="B453" s="1" t="n">
        <v>45762</v>
      </c>
      <c r="C453" s="1" t="n">
        <v>46200</v>
      </c>
      <c r="D453" t="inlineStr">
        <is>
          <t>JÄMTLANDS LÄN</t>
        </is>
      </c>
      <c r="E453" t="inlineStr">
        <is>
          <t>ÖSTERSUND</t>
        </is>
      </c>
      <c r="F453" t="inlineStr">
        <is>
          <t>Sveaskog</t>
        </is>
      </c>
      <c r="G453" t="n">
        <v>5.5</v>
      </c>
      <c r="H453" t="n">
        <v>0</v>
      </c>
      <c r="I453" t="n">
        <v>0</v>
      </c>
      <c r="J453" t="n">
        <v>0</v>
      </c>
      <c r="K453" t="n">
        <v>0</v>
      </c>
      <c r="L453" t="n">
        <v>0</v>
      </c>
      <c r="M453" t="n">
        <v>0</v>
      </c>
      <c r="N453" t="n">
        <v>0</v>
      </c>
      <c r="O453" t="n">
        <v>0</v>
      </c>
      <c r="P453" t="n">
        <v>0</v>
      </c>
      <c r="Q453" t="n">
        <v>0</v>
      </c>
      <c r="R453" s="2" t="inlineStr"/>
    </row>
    <row r="454" ht="15" customHeight="1">
      <c r="A454" t="inlineStr">
        <is>
          <t>A 22822-2025</t>
        </is>
      </c>
      <c r="B454" s="1" t="n">
        <v>45789</v>
      </c>
      <c r="C454" s="1" t="n">
        <v>46200</v>
      </c>
      <c r="D454" t="inlineStr">
        <is>
          <t>JÄMTLANDS LÄN</t>
        </is>
      </c>
      <c r="E454" t="inlineStr">
        <is>
          <t>ÖSTERSUND</t>
        </is>
      </c>
      <c r="G454" t="n">
        <v>2.2</v>
      </c>
      <c r="H454" t="n">
        <v>0</v>
      </c>
      <c r="I454" t="n">
        <v>0</v>
      </c>
      <c r="J454" t="n">
        <v>0</v>
      </c>
      <c r="K454" t="n">
        <v>0</v>
      </c>
      <c r="L454" t="n">
        <v>0</v>
      </c>
      <c r="M454" t="n">
        <v>0</v>
      </c>
      <c r="N454" t="n">
        <v>0</v>
      </c>
      <c r="O454" t="n">
        <v>0</v>
      </c>
      <c r="P454" t="n">
        <v>0</v>
      </c>
      <c r="Q454" t="n">
        <v>0</v>
      </c>
      <c r="R454" s="2" t="inlineStr"/>
    </row>
    <row r="455" ht="15" customHeight="1">
      <c r="A455" t="inlineStr">
        <is>
          <t>A 22384-2025</t>
        </is>
      </c>
      <c r="B455" s="1" t="n">
        <v>45786</v>
      </c>
      <c r="C455" s="1" t="n">
        <v>46200</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7941-2025</t>
        </is>
      </c>
      <c r="B456" s="1" t="n">
        <v>45707</v>
      </c>
      <c r="C456" s="1" t="n">
        <v>46200</v>
      </c>
      <c r="D456" t="inlineStr">
        <is>
          <t>JÄMTLANDS LÄN</t>
        </is>
      </c>
      <c r="E456" t="inlineStr">
        <is>
          <t>ÖSTERSUND</t>
        </is>
      </c>
      <c r="G456" t="n">
        <v>2</v>
      </c>
      <c r="H456" t="n">
        <v>0</v>
      </c>
      <c r="I456" t="n">
        <v>0</v>
      </c>
      <c r="J456" t="n">
        <v>0</v>
      </c>
      <c r="K456" t="n">
        <v>0</v>
      </c>
      <c r="L456" t="n">
        <v>0</v>
      </c>
      <c r="M456" t="n">
        <v>0</v>
      </c>
      <c r="N456" t="n">
        <v>0</v>
      </c>
      <c r="O456" t="n">
        <v>0</v>
      </c>
      <c r="P456" t="n">
        <v>0</v>
      </c>
      <c r="Q456" t="n">
        <v>0</v>
      </c>
      <c r="R456" s="2" t="inlineStr"/>
    </row>
    <row r="457" ht="15" customHeight="1">
      <c r="A457" t="inlineStr">
        <is>
          <t>A 41582-2025</t>
        </is>
      </c>
      <c r="B457" s="1" t="n">
        <v>45901</v>
      </c>
      <c r="C457" s="1" t="n">
        <v>46200</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41675-2025</t>
        </is>
      </c>
      <c r="B458" s="1" t="n">
        <v>45902</v>
      </c>
      <c r="C458" s="1" t="n">
        <v>46200</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41708-2025</t>
        </is>
      </c>
      <c r="B459" s="1" t="n">
        <v>45902</v>
      </c>
      <c r="C459" s="1" t="n">
        <v>46200</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42129-2025</t>
        </is>
      </c>
      <c r="B460" s="1" t="n">
        <v>45904</v>
      </c>
      <c r="C460" s="1" t="n">
        <v>46200</v>
      </c>
      <c r="D460" t="inlineStr">
        <is>
          <t>JÄMTLANDS LÄN</t>
        </is>
      </c>
      <c r="E460" t="inlineStr">
        <is>
          <t>ÖSTERSUND</t>
        </is>
      </c>
      <c r="G460" t="n">
        <v>0.4</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v>
      </c>
      <c r="C461" s="1" t="n">
        <v>46200</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52975-2025</t>
        </is>
      </c>
      <c r="B462" s="1" t="n">
        <v>45957</v>
      </c>
      <c r="C462" s="1" t="n">
        <v>46200</v>
      </c>
      <c r="D462" t="inlineStr">
        <is>
          <t>JÄMTLANDS LÄN</t>
        </is>
      </c>
      <c r="E462" t="inlineStr">
        <is>
          <t>ÖSTERSUND</t>
        </is>
      </c>
      <c r="F462" t="inlineStr">
        <is>
          <t>SCA</t>
        </is>
      </c>
      <c r="G462" t="n">
        <v>7.5</v>
      </c>
      <c r="H462" t="n">
        <v>0</v>
      </c>
      <c r="I462" t="n">
        <v>0</v>
      </c>
      <c r="J462" t="n">
        <v>0</v>
      </c>
      <c r="K462" t="n">
        <v>0</v>
      </c>
      <c r="L462" t="n">
        <v>0</v>
      </c>
      <c r="M462" t="n">
        <v>0</v>
      </c>
      <c r="N462" t="n">
        <v>0</v>
      </c>
      <c r="O462" t="n">
        <v>0</v>
      </c>
      <c r="P462" t="n">
        <v>0</v>
      </c>
      <c r="Q462" t="n">
        <v>0</v>
      </c>
      <c r="R462" s="2" t="inlineStr"/>
    </row>
    <row r="463" ht="15" customHeight="1">
      <c r="A463" t="inlineStr">
        <is>
          <t>A 17574-2022</t>
        </is>
      </c>
      <c r="B463" s="1" t="n">
        <v>44679</v>
      </c>
      <c r="C463" s="1" t="n">
        <v>46200</v>
      </c>
      <c r="D463" t="inlineStr">
        <is>
          <t>JÄMTLANDS LÄN</t>
        </is>
      </c>
      <c r="E463" t="inlineStr">
        <is>
          <t>ÖSTERSUND</t>
        </is>
      </c>
      <c r="G463" t="n">
        <v>0.8</v>
      </c>
      <c r="H463" t="n">
        <v>0</v>
      </c>
      <c r="I463" t="n">
        <v>0</v>
      </c>
      <c r="J463" t="n">
        <v>0</v>
      </c>
      <c r="K463" t="n">
        <v>0</v>
      </c>
      <c r="L463" t="n">
        <v>0</v>
      </c>
      <c r="M463" t="n">
        <v>0</v>
      </c>
      <c r="N463" t="n">
        <v>0</v>
      </c>
      <c r="O463" t="n">
        <v>0</v>
      </c>
      <c r="P463" t="n">
        <v>0</v>
      </c>
      <c r="Q463" t="n">
        <v>0</v>
      </c>
      <c r="R463" s="2" t="inlineStr"/>
    </row>
    <row r="464" ht="15" customHeight="1">
      <c r="A464" t="inlineStr">
        <is>
          <t>A 53054-2025</t>
        </is>
      </c>
      <c r="B464" s="1" t="n">
        <v>45958</v>
      </c>
      <c r="C464" s="1" t="n">
        <v>46200</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42989-2025</t>
        </is>
      </c>
      <c r="B465" s="1" t="n">
        <v>45909</v>
      </c>
      <c r="C465" s="1" t="n">
        <v>46200</v>
      </c>
      <c r="D465" t="inlineStr">
        <is>
          <t>JÄMTLANDS LÄN</t>
        </is>
      </c>
      <c r="E465" t="inlineStr">
        <is>
          <t>ÖSTERSUND</t>
        </is>
      </c>
      <c r="G465" t="n">
        <v>3</v>
      </c>
      <c r="H465" t="n">
        <v>0</v>
      </c>
      <c r="I465" t="n">
        <v>0</v>
      </c>
      <c r="J465" t="n">
        <v>0</v>
      </c>
      <c r="K465" t="n">
        <v>0</v>
      </c>
      <c r="L465" t="n">
        <v>0</v>
      </c>
      <c r="M465" t="n">
        <v>0</v>
      </c>
      <c r="N465" t="n">
        <v>0</v>
      </c>
      <c r="O465" t="n">
        <v>0</v>
      </c>
      <c r="P465" t="n">
        <v>0</v>
      </c>
      <c r="Q465" t="n">
        <v>0</v>
      </c>
      <c r="R465" s="2" t="inlineStr"/>
    </row>
    <row r="466" ht="15" customHeight="1">
      <c r="A466" t="inlineStr">
        <is>
          <t>A 32998-2021</t>
        </is>
      </c>
      <c r="B466" s="1" t="n">
        <v>44375</v>
      </c>
      <c r="C466" s="1" t="n">
        <v>46200</v>
      </c>
      <c r="D466" t="inlineStr">
        <is>
          <t>JÄMTLANDS LÄN</t>
        </is>
      </c>
      <c r="E466" t="inlineStr">
        <is>
          <t>ÖSTERSUND</t>
        </is>
      </c>
      <c r="G466" t="n">
        <v>0.1</v>
      </c>
      <c r="H466" t="n">
        <v>0</v>
      </c>
      <c r="I466" t="n">
        <v>0</v>
      </c>
      <c r="J466" t="n">
        <v>0</v>
      </c>
      <c r="K466" t="n">
        <v>0</v>
      </c>
      <c r="L466" t="n">
        <v>0</v>
      </c>
      <c r="M466" t="n">
        <v>0</v>
      </c>
      <c r="N466" t="n">
        <v>0</v>
      </c>
      <c r="O466" t="n">
        <v>0</v>
      </c>
      <c r="P466" t="n">
        <v>0</v>
      </c>
      <c r="Q466" t="n">
        <v>0</v>
      </c>
      <c r="R466" s="2" t="inlineStr"/>
    </row>
    <row r="467" ht="15" customHeight="1">
      <c r="A467" t="inlineStr">
        <is>
          <t>A 43411-2025</t>
        </is>
      </c>
      <c r="B467" s="1" t="n">
        <v>45911</v>
      </c>
      <c r="C467" s="1" t="n">
        <v>46200</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51941-2023</t>
        </is>
      </c>
      <c r="B468" s="1" t="n">
        <v>45223</v>
      </c>
      <c r="C468" s="1" t="n">
        <v>46200</v>
      </c>
      <c r="D468" t="inlineStr">
        <is>
          <t>JÄMTLANDS LÄN</t>
        </is>
      </c>
      <c r="E468" t="inlineStr">
        <is>
          <t>ÖSTERSUND</t>
        </is>
      </c>
      <c r="G468" t="n">
        <v>4.6</v>
      </c>
      <c r="H468" t="n">
        <v>0</v>
      </c>
      <c r="I468" t="n">
        <v>0</v>
      </c>
      <c r="J468" t="n">
        <v>0</v>
      </c>
      <c r="K468" t="n">
        <v>0</v>
      </c>
      <c r="L468" t="n">
        <v>0</v>
      </c>
      <c r="M468" t="n">
        <v>0</v>
      </c>
      <c r="N468" t="n">
        <v>0</v>
      </c>
      <c r="O468" t="n">
        <v>0</v>
      </c>
      <c r="P468" t="n">
        <v>0</v>
      </c>
      <c r="Q468" t="n">
        <v>0</v>
      </c>
      <c r="R468" s="2" t="inlineStr"/>
    </row>
    <row r="469" ht="15" customHeight="1">
      <c r="A469" t="inlineStr">
        <is>
          <t>A 22920-2025</t>
        </is>
      </c>
      <c r="B469" s="1" t="n">
        <v>45790</v>
      </c>
      <c r="C469" s="1" t="n">
        <v>46200</v>
      </c>
      <c r="D469" t="inlineStr">
        <is>
          <t>JÄMTLANDS LÄN</t>
        </is>
      </c>
      <c r="E469" t="inlineStr">
        <is>
          <t>ÖSTERSUND</t>
        </is>
      </c>
      <c r="G469" t="n">
        <v>0.4</v>
      </c>
      <c r="H469" t="n">
        <v>0</v>
      </c>
      <c r="I469" t="n">
        <v>0</v>
      </c>
      <c r="J469" t="n">
        <v>0</v>
      </c>
      <c r="K469" t="n">
        <v>0</v>
      </c>
      <c r="L469" t="n">
        <v>0</v>
      </c>
      <c r="M469" t="n">
        <v>0</v>
      </c>
      <c r="N469" t="n">
        <v>0</v>
      </c>
      <c r="O469" t="n">
        <v>0</v>
      </c>
      <c r="P469" t="n">
        <v>0</v>
      </c>
      <c r="Q469" t="n">
        <v>0</v>
      </c>
      <c r="R469" s="2" t="inlineStr"/>
    </row>
    <row r="470" ht="15" customHeight="1">
      <c r="A470" t="inlineStr">
        <is>
          <t>A 33831-2021</t>
        </is>
      </c>
      <c r="B470" s="1" t="n">
        <v>44378</v>
      </c>
      <c r="C470" s="1" t="n">
        <v>46200</v>
      </c>
      <c r="D470" t="inlineStr">
        <is>
          <t>JÄMTLANDS LÄN</t>
        </is>
      </c>
      <c r="E470" t="inlineStr">
        <is>
          <t>ÖSTERSUND</t>
        </is>
      </c>
      <c r="G470" t="n">
        <v>2.5</v>
      </c>
      <c r="H470" t="n">
        <v>0</v>
      </c>
      <c r="I470" t="n">
        <v>0</v>
      </c>
      <c r="J470" t="n">
        <v>0</v>
      </c>
      <c r="K470" t="n">
        <v>0</v>
      </c>
      <c r="L470" t="n">
        <v>0</v>
      </c>
      <c r="M470" t="n">
        <v>0</v>
      </c>
      <c r="N470" t="n">
        <v>0</v>
      </c>
      <c r="O470" t="n">
        <v>0</v>
      </c>
      <c r="P470" t="n">
        <v>0</v>
      </c>
      <c r="Q470" t="n">
        <v>0</v>
      </c>
      <c r="R470" s="2" t="inlineStr"/>
    </row>
    <row r="471" ht="15" customHeight="1">
      <c r="A471" t="inlineStr">
        <is>
          <t>A 44446-2025</t>
        </is>
      </c>
      <c r="B471" s="1" t="n">
        <v>45916</v>
      </c>
      <c r="C471" s="1" t="n">
        <v>46200</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23877-2025</t>
        </is>
      </c>
      <c r="B472" s="1" t="n">
        <v>45793</v>
      </c>
      <c r="C472" s="1" t="n">
        <v>46200</v>
      </c>
      <c r="D472" t="inlineStr">
        <is>
          <t>JÄMTLANDS LÄN</t>
        </is>
      </c>
      <c r="E472" t="inlineStr">
        <is>
          <t>ÖSTERSUND</t>
        </is>
      </c>
      <c r="G472" t="n">
        <v>0.5</v>
      </c>
      <c r="H472" t="n">
        <v>0</v>
      </c>
      <c r="I472" t="n">
        <v>0</v>
      </c>
      <c r="J472" t="n">
        <v>0</v>
      </c>
      <c r="K472" t="n">
        <v>0</v>
      </c>
      <c r="L472" t="n">
        <v>0</v>
      </c>
      <c r="M472" t="n">
        <v>0</v>
      </c>
      <c r="N472" t="n">
        <v>0</v>
      </c>
      <c r="O472" t="n">
        <v>0</v>
      </c>
      <c r="P472" t="n">
        <v>0</v>
      </c>
      <c r="Q472" t="n">
        <v>0</v>
      </c>
      <c r="R472" s="2" t="inlineStr"/>
    </row>
    <row r="473" ht="15" customHeight="1">
      <c r="A473" t="inlineStr">
        <is>
          <t>A 54133-2025</t>
        </is>
      </c>
      <c r="B473" s="1" t="n">
        <v>45964</v>
      </c>
      <c r="C473" s="1" t="n">
        <v>46200</v>
      </c>
      <c r="D473" t="inlineStr">
        <is>
          <t>JÄMTLANDS LÄN</t>
        </is>
      </c>
      <c r="E473" t="inlineStr">
        <is>
          <t>ÖSTERSUND</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51936-2023</t>
        </is>
      </c>
      <c r="B474" s="1" t="n">
        <v>45223</v>
      </c>
      <c r="C474" s="1" t="n">
        <v>46200</v>
      </c>
      <c r="D474" t="inlineStr">
        <is>
          <t>JÄMTLANDS LÄN</t>
        </is>
      </c>
      <c r="E474" t="inlineStr">
        <is>
          <t>ÖSTERSUND</t>
        </is>
      </c>
      <c r="G474" t="n">
        <v>8.4</v>
      </c>
      <c r="H474" t="n">
        <v>0</v>
      </c>
      <c r="I474" t="n">
        <v>0</v>
      </c>
      <c r="J474" t="n">
        <v>0</v>
      </c>
      <c r="K474" t="n">
        <v>0</v>
      </c>
      <c r="L474" t="n">
        <v>0</v>
      </c>
      <c r="M474" t="n">
        <v>0</v>
      </c>
      <c r="N474" t="n">
        <v>0</v>
      </c>
      <c r="O474" t="n">
        <v>0</v>
      </c>
      <c r="P474" t="n">
        <v>0</v>
      </c>
      <c r="Q474" t="n">
        <v>0</v>
      </c>
      <c r="R474" s="2" t="inlineStr"/>
    </row>
    <row r="475" ht="15" customHeight="1">
      <c r="A475" t="inlineStr">
        <is>
          <t>A 54973-2023</t>
        </is>
      </c>
      <c r="B475" s="1" t="n">
        <v>45236</v>
      </c>
      <c r="C475" s="1" t="n">
        <v>46200</v>
      </c>
      <c r="D475" t="inlineStr">
        <is>
          <t>JÄMTLANDS LÄN</t>
        </is>
      </c>
      <c r="E475" t="inlineStr">
        <is>
          <t>ÖSTERSUND</t>
        </is>
      </c>
      <c r="G475" t="n">
        <v>15.4</v>
      </c>
      <c r="H475" t="n">
        <v>0</v>
      </c>
      <c r="I475" t="n">
        <v>0</v>
      </c>
      <c r="J475" t="n">
        <v>0</v>
      </c>
      <c r="K475" t="n">
        <v>0</v>
      </c>
      <c r="L475" t="n">
        <v>0</v>
      </c>
      <c r="M475" t="n">
        <v>0</v>
      </c>
      <c r="N475" t="n">
        <v>0</v>
      </c>
      <c r="O475" t="n">
        <v>0</v>
      </c>
      <c r="P475" t="n">
        <v>0</v>
      </c>
      <c r="Q475" t="n">
        <v>0</v>
      </c>
      <c r="R475" s="2" t="inlineStr"/>
    </row>
    <row r="476" ht="15" customHeight="1">
      <c r="A476" t="inlineStr">
        <is>
          <t>A 28179-2024</t>
        </is>
      </c>
      <c r="B476" s="1" t="n">
        <v>45477</v>
      </c>
      <c r="C476" s="1" t="n">
        <v>46200</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45389-2025</t>
        </is>
      </c>
      <c r="B477" s="1" t="n">
        <v>45922</v>
      </c>
      <c r="C477" s="1" t="n">
        <v>46200</v>
      </c>
      <c r="D477" t="inlineStr">
        <is>
          <t>JÄMTLANDS LÄN</t>
        </is>
      </c>
      <c r="E477" t="inlineStr">
        <is>
          <t>ÖSTERSUND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45391-2025</t>
        </is>
      </c>
      <c r="B478" s="1" t="n">
        <v>45922</v>
      </c>
      <c r="C478" s="1" t="n">
        <v>46200</v>
      </c>
      <c r="D478" t="inlineStr">
        <is>
          <t>JÄMTLANDS LÄN</t>
        </is>
      </c>
      <c r="E478" t="inlineStr">
        <is>
          <t>ÖSTERSUND</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45385-2025</t>
        </is>
      </c>
      <c r="B479" s="1" t="n">
        <v>45922</v>
      </c>
      <c r="C479" s="1" t="n">
        <v>46200</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13921-2023</t>
        </is>
      </c>
      <c r="B480" s="1" t="n">
        <v>45008</v>
      </c>
      <c r="C480" s="1" t="n">
        <v>46200</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207-2025</t>
        </is>
      </c>
      <c r="B481" s="1" t="n">
        <v>45660</v>
      </c>
      <c r="C481" s="1" t="n">
        <v>46200</v>
      </c>
      <c r="D481" t="inlineStr">
        <is>
          <t>JÄMTLANDS LÄN</t>
        </is>
      </c>
      <c r="E481" t="inlineStr">
        <is>
          <t>ÖSTERSUND</t>
        </is>
      </c>
      <c r="G481" t="n">
        <v>4</v>
      </c>
      <c r="H481" t="n">
        <v>0</v>
      </c>
      <c r="I481" t="n">
        <v>0</v>
      </c>
      <c r="J481" t="n">
        <v>0</v>
      </c>
      <c r="K481" t="n">
        <v>0</v>
      </c>
      <c r="L481" t="n">
        <v>0</v>
      </c>
      <c r="M481" t="n">
        <v>0</v>
      </c>
      <c r="N481" t="n">
        <v>0</v>
      </c>
      <c r="O481" t="n">
        <v>0</v>
      </c>
      <c r="P481" t="n">
        <v>0</v>
      </c>
      <c r="Q481" t="n">
        <v>0</v>
      </c>
      <c r="R481" s="2" t="inlineStr"/>
    </row>
    <row r="482" ht="15" customHeight="1">
      <c r="A482" t="inlineStr">
        <is>
          <t>A 45386-2025</t>
        </is>
      </c>
      <c r="B482" s="1" t="n">
        <v>45922</v>
      </c>
      <c r="C482" s="1" t="n">
        <v>46200</v>
      </c>
      <c r="D482" t="inlineStr">
        <is>
          <t>JÄMTLANDS LÄN</t>
        </is>
      </c>
      <c r="E482" t="inlineStr">
        <is>
          <t>ÖSTERSUND</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45388-2025</t>
        </is>
      </c>
      <c r="B483" s="1" t="n">
        <v>45922</v>
      </c>
      <c r="C483" s="1" t="n">
        <v>46200</v>
      </c>
      <c r="D483" t="inlineStr">
        <is>
          <t>JÄMTLANDS LÄN</t>
        </is>
      </c>
      <c r="E483" t="inlineStr">
        <is>
          <t>ÖSTERSUND</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45481-2025</t>
        </is>
      </c>
      <c r="B484" s="1" t="n">
        <v>45922</v>
      </c>
      <c r="C484" s="1" t="n">
        <v>46200</v>
      </c>
      <c r="D484" t="inlineStr">
        <is>
          <t>JÄMTLANDS LÄN</t>
        </is>
      </c>
      <c r="E484" t="inlineStr">
        <is>
          <t>ÖSTERSUND</t>
        </is>
      </c>
      <c r="G484" t="n">
        <v>3</v>
      </c>
      <c r="H484" t="n">
        <v>0</v>
      </c>
      <c r="I484" t="n">
        <v>0</v>
      </c>
      <c r="J484" t="n">
        <v>0</v>
      </c>
      <c r="K484" t="n">
        <v>0</v>
      </c>
      <c r="L484" t="n">
        <v>0</v>
      </c>
      <c r="M484" t="n">
        <v>0</v>
      </c>
      <c r="N484" t="n">
        <v>0</v>
      </c>
      <c r="O484" t="n">
        <v>0</v>
      </c>
      <c r="P484" t="n">
        <v>0</v>
      </c>
      <c r="Q484" t="n">
        <v>0</v>
      </c>
      <c r="R484" s="2" t="inlineStr"/>
    </row>
    <row r="485" ht="15" customHeight="1">
      <c r="A485" t="inlineStr">
        <is>
          <t>A 46132-2025</t>
        </is>
      </c>
      <c r="B485" s="1" t="n">
        <v>45924</v>
      </c>
      <c r="C485" s="1" t="n">
        <v>46200</v>
      </c>
      <c r="D485" t="inlineStr">
        <is>
          <t>JÄMTLANDS LÄN</t>
        </is>
      </c>
      <c r="E485" t="inlineStr">
        <is>
          <t>ÖSTERSUND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46152-2025</t>
        </is>
      </c>
      <c r="B486" s="1" t="n">
        <v>45924</v>
      </c>
      <c r="C486" s="1" t="n">
        <v>46200</v>
      </c>
      <c r="D486" t="inlineStr">
        <is>
          <t>JÄMTLANDS LÄN</t>
        </is>
      </c>
      <c r="E486" t="inlineStr">
        <is>
          <t>ÖSTERSUND</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47805-2024</t>
        </is>
      </c>
      <c r="B487" s="1" t="n">
        <v>45588</v>
      </c>
      <c r="C487" s="1" t="n">
        <v>46200</v>
      </c>
      <c r="D487" t="inlineStr">
        <is>
          <t>JÄMTLANDS LÄN</t>
        </is>
      </c>
      <c r="E487" t="inlineStr">
        <is>
          <t>ÖSTERSUND</t>
        </is>
      </c>
      <c r="G487" t="n">
        <v>7.4</v>
      </c>
      <c r="H487" t="n">
        <v>0</v>
      </c>
      <c r="I487" t="n">
        <v>0</v>
      </c>
      <c r="J487" t="n">
        <v>0</v>
      </c>
      <c r="K487" t="n">
        <v>0</v>
      </c>
      <c r="L487" t="n">
        <v>0</v>
      </c>
      <c r="M487" t="n">
        <v>0</v>
      </c>
      <c r="N487" t="n">
        <v>0</v>
      </c>
      <c r="O487" t="n">
        <v>0</v>
      </c>
      <c r="P487" t="n">
        <v>0</v>
      </c>
      <c r="Q487" t="n">
        <v>0</v>
      </c>
      <c r="R487" s="2" t="inlineStr"/>
    </row>
    <row r="488" ht="15" customHeight="1">
      <c r="A488" t="inlineStr">
        <is>
          <t>A 45338-2024</t>
        </is>
      </c>
      <c r="B488" s="1" t="n">
        <v>45576</v>
      </c>
      <c r="C488" s="1" t="n">
        <v>46200</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45895-2024</t>
        </is>
      </c>
      <c r="B489" s="1" t="n">
        <v>45580</v>
      </c>
      <c r="C489" s="1" t="n">
        <v>46200</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41780-2024</t>
        </is>
      </c>
      <c r="B490" s="1" t="n">
        <v>45561</v>
      </c>
      <c r="C490" s="1" t="n">
        <v>46200</v>
      </c>
      <c r="D490" t="inlineStr">
        <is>
          <t>JÄMTLANDS LÄN</t>
        </is>
      </c>
      <c r="E490" t="inlineStr">
        <is>
          <t>ÖSTERSUND</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46732-2024</t>
        </is>
      </c>
      <c r="B491" s="1" t="n">
        <v>45583</v>
      </c>
      <c r="C491" s="1" t="n">
        <v>46200</v>
      </c>
      <c r="D491" t="inlineStr">
        <is>
          <t>JÄMTLANDS LÄN</t>
        </is>
      </c>
      <c r="E491" t="inlineStr">
        <is>
          <t>ÖSTERSUND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53176-2024</t>
        </is>
      </c>
      <c r="B492" s="1" t="n">
        <v>45611</v>
      </c>
      <c r="C492" s="1" t="n">
        <v>46200</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24946-2025</t>
        </is>
      </c>
      <c r="B493" s="1" t="n">
        <v>45799</v>
      </c>
      <c r="C493" s="1" t="n">
        <v>46200</v>
      </c>
      <c r="D493" t="inlineStr">
        <is>
          <t>JÄMTLANDS LÄN</t>
        </is>
      </c>
      <c r="E493" t="inlineStr">
        <is>
          <t>ÖSTERSUND</t>
        </is>
      </c>
      <c r="G493" t="n">
        <v>4.8</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v>
      </c>
      <c r="C494" s="1" t="n">
        <v>46200</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25572-2025</t>
        </is>
      </c>
      <c r="B495" s="1" t="n">
        <v>45803</v>
      </c>
      <c r="C495" s="1" t="n">
        <v>46200</v>
      </c>
      <c r="D495" t="inlineStr">
        <is>
          <t>JÄMTLANDS LÄN</t>
        </is>
      </c>
      <c r="E495" t="inlineStr">
        <is>
          <t>ÖSTERSUND</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58373-2025</t>
        </is>
      </c>
      <c r="B496" s="1" t="n">
        <v>45985</v>
      </c>
      <c r="C496" s="1" t="n">
        <v>46200</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58583-2025</t>
        </is>
      </c>
      <c r="B497" s="1" t="n">
        <v>45986</v>
      </c>
      <c r="C497" s="1" t="n">
        <v>46200</v>
      </c>
      <c r="D497" t="inlineStr">
        <is>
          <t>JÄMTLANDS LÄN</t>
        </is>
      </c>
      <c r="E497" t="inlineStr">
        <is>
          <t>ÖSTERSUND</t>
        </is>
      </c>
      <c r="G497" t="n">
        <v>43.1</v>
      </c>
      <c r="H497" t="n">
        <v>0</v>
      </c>
      <c r="I497" t="n">
        <v>0</v>
      </c>
      <c r="J497" t="n">
        <v>0</v>
      </c>
      <c r="K497" t="n">
        <v>0</v>
      </c>
      <c r="L497" t="n">
        <v>0</v>
      </c>
      <c r="M497" t="n">
        <v>0</v>
      </c>
      <c r="N497" t="n">
        <v>0</v>
      </c>
      <c r="O497" t="n">
        <v>0</v>
      </c>
      <c r="P497" t="n">
        <v>0</v>
      </c>
      <c r="Q497" t="n">
        <v>0</v>
      </c>
      <c r="R497" s="2" t="inlineStr"/>
    </row>
    <row r="498" ht="15" customHeight="1">
      <c r="A498" t="inlineStr">
        <is>
          <t>A 59015-2025</t>
        </is>
      </c>
      <c r="B498" s="1" t="n">
        <v>45987</v>
      </c>
      <c r="C498" s="1" t="n">
        <v>46200</v>
      </c>
      <c r="D498" t="inlineStr">
        <is>
          <t>JÄMTLANDS LÄN</t>
        </is>
      </c>
      <c r="E498" t="inlineStr">
        <is>
          <t>ÖSTERSUND</t>
        </is>
      </c>
      <c r="G498" t="n">
        <v>2.4</v>
      </c>
      <c r="H498" t="n">
        <v>0</v>
      </c>
      <c r="I498" t="n">
        <v>0</v>
      </c>
      <c r="J498" t="n">
        <v>0</v>
      </c>
      <c r="K498" t="n">
        <v>0</v>
      </c>
      <c r="L498" t="n">
        <v>0</v>
      </c>
      <c r="M498" t="n">
        <v>0</v>
      </c>
      <c r="N498" t="n">
        <v>0</v>
      </c>
      <c r="O498" t="n">
        <v>0</v>
      </c>
      <c r="P498" t="n">
        <v>0</v>
      </c>
      <c r="Q498" t="n">
        <v>0</v>
      </c>
      <c r="R498" s="2" t="inlineStr"/>
    </row>
    <row r="499" ht="15" customHeight="1">
      <c r="A499" t="inlineStr">
        <is>
          <t>A 59619-2025</t>
        </is>
      </c>
      <c r="B499" s="1" t="n">
        <v>45992</v>
      </c>
      <c r="C499" s="1" t="n">
        <v>46200</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59612-2025</t>
        </is>
      </c>
      <c r="B500" s="1" t="n">
        <v>45992</v>
      </c>
      <c r="C500" s="1" t="n">
        <v>46200</v>
      </c>
      <c r="D500" t="inlineStr">
        <is>
          <t>JÄMTLANDS LÄN</t>
        </is>
      </c>
      <c r="E500" t="inlineStr">
        <is>
          <t>ÖSTERSUND</t>
        </is>
      </c>
      <c r="G500" t="n">
        <v>2.3</v>
      </c>
      <c r="H500" t="n">
        <v>0</v>
      </c>
      <c r="I500" t="n">
        <v>0</v>
      </c>
      <c r="J500" t="n">
        <v>0</v>
      </c>
      <c r="K500" t="n">
        <v>0</v>
      </c>
      <c r="L500" t="n">
        <v>0</v>
      </c>
      <c r="M500" t="n">
        <v>0</v>
      </c>
      <c r="N500" t="n">
        <v>0</v>
      </c>
      <c r="O500" t="n">
        <v>0</v>
      </c>
      <c r="P500" t="n">
        <v>0</v>
      </c>
      <c r="Q500" t="n">
        <v>0</v>
      </c>
      <c r="R500" s="2" t="inlineStr"/>
    </row>
    <row r="501" ht="15" customHeight="1">
      <c r="A501" t="inlineStr">
        <is>
          <t>A 59687-2025</t>
        </is>
      </c>
      <c r="B501" s="1" t="n">
        <v>45992</v>
      </c>
      <c r="C501" s="1" t="n">
        <v>46200</v>
      </c>
      <c r="D501" t="inlineStr">
        <is>
          <t>JÄMTLANDS LÄN</t>
        </is>
      </c>
      <c r="E501" t="inlineStr">
        <is>
          <t>ÖSTERSUND</t>
        </is>
      </c>
      <c r="G501" t="n">
        <v>5</v>
      </c>
      <c r="H501" t="n">
        <v>0</v>
      </c>
      <c r="I501" t="n">
        <v>0</v>
      </c>
      <c r="J501" t="n">
        <v>0</v>
      </c>
      <c r="K501" t="n">
        <v>0</v>
      </c>
      <c r="L501" t="n">
        <v>0</v>
      </c>
      <c r="M501" t="n">
        <v>0</v>
      </c>
      <c r="N501" t="n">
        <v>0</v>
      </c>
      <c r="O501" t="n">
        <v>0</v>
      </c>
      <c r="P501" t="n">
        <v>0</v>
      </c>
      <c r="Q501" t="n">
        <v>0</v>
      </c>
      <c r="R501" s="2" t="inlineStr"/>
    </row>
    <row r="502" ht="15" customHeight="1">
      <c r="A502" t="inlineStr">
        <is>
          <t>A 26144-2025</t>
        </is>
      </c>
      <c r="B502" s="1" t="n">
        <v>45805</v>
      </c>
      <c r="C502" s="1" t="n">
        <v>46200</v>
      </c>
      <c r="D502" t="inlineStr">
        <is>
          <t>JÄMTLANDS LÄN</t>
        </is>
      </c>
      <c r="E502" t="inlineStr">
        <is>
          <t>ÖSTERSUND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47357-2024</t>
        </is>
      </c>
      <c r="B503" s="1" t="n">
        <v>45587</v>
      </c>
      <c r="C503" s="1" t="n">
        <v>46200</v>
      </c>
      <c r="D503" t="inlineStr">
        <is>
          <t>JÄMTLANDS LÄN</t>
        </is>
      </c>
      <c r="E503" t="inlineStr">
        <is>
          <t>ÖSTERSUND</t>
        </is>
      </c>
      <c r="G503" t="n">
        <v>2.4</v>
      </c>
      <c r="H503" t="n">
        <v>0</v>
      </c>
      <c r="I503" t="n">
        <v>0</v>
      </c>
      <c r="J503" t="n">
        <v>0</v>
      </c>
      <c r="K503" t="n">
        <v>0</v>
      </c>
      <c r="L503" t="n">
        <v>0</v>
      </c>
      <c r="M503" t="n">
        <v>0</v>
      </c>
      <c r="N503" t="n">
        <v>0</v>
      </c>
      <c r="O503" t="n">
        <v>0</v>
      </c>
      <c r="P503" t="n">
        <v>0</v>
      </c>
      <c r="Q503" t="n">
        <v>0</v>
      </c>
      <c r="R503" s="2" t="inlineStr"/>
    </row>
    <row r="504" ht="15" customHeight="1">
      <c r="A504" t="inlineStr">
        <is>
          <t>A 60048-2025</t>
        </is>
      </c>
      <c r="B504" s="1" t="n">
        <v>45993</v>
      </c>
      <c r="C504" s="1" t="n">
        <v>46200</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61235-2025</t>
        </is>
      </c>
      <c r="B505" s="1" t="n">
        <v>46000</v>
      </c>
      <c r="C505" s="1" t="n">
        <v>46200</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5135-2025</t>
        </is>
      </c>
      <c r="B506" s="1" t="n">
        <v>45691</v>
      </c>
      <c r="C506" s="1" t="n">
        <v>46200</v>
      </c>
      <c r="D506" t="inlineStr">
        <is>
          <t>JÄMTLANDS LÄN</t>
        </is>
      </c>
      <c r="E506" t="inlineStr">
        <is>
          <t>ÖSTERSUND</t>
        </is>
      </c>
      <c r="F506" t="inlineStr">
        <is>
          <t>Övriga Aktiebolag</t>
        </is>
      </c>
      <c r="G506" t="n">
        <v>126.9</v>
      </c>
      <c r="H506" t="n">
        <v>0</v>
      </c>
      <c r="I506" t="n">
        <v>0</v>
      </c>
      <c r="J506" t="n">
        <v>0</v>
      </c>
      <c r="K506" t="n">
        <v>0</v>
      </c>
      <c r="L506" t="n">
        <v>0</v>
      </c>
      <c r="M506" t="n">
        <v>0</v>
      </c>
      <c r="N506" t="n">
        <v>0</v>
      </c>
      <c r="O506" t="n">
        <v>0</v>
      </c>
      <c r="P506" t="n">
        <v>0</v>
      </c>
      <c r="Q506" t="n">
        <v>0</v>
      </c>
      <c r="R506" s="2" t="inlineStr"/>
    </row>
    <row r="507" ht="15" customHeight="1">
      <c r="A507" t="inlineStr">
        <is>
          <t>A 61427-2025</t>
        </is>
      </c>
      <c r="B507" s="1" t="n">
        <v>46000</v>
      </c>
      <c r="C507" s="1" t="n">
        <v>46200</v>
      </c>
      <c r="D507" t="inlineStr">
        <is>
          <t>JÄMTLANDS LÄN</t>
        </is>
      </c>
      <c r="E507" t="inlineStr">
        <is>
          <t>ÖSTERSUND</t>
        </is>
      </c>
      <c r="G507" t="n">
        <v>0.3</v>
      </c>
      <c r="H507" t="n">
        <v>0</v>
      </c>
      <c r="I507" t="n">
        <v>0</v>
      </c>
      <c r="J507" t="n">
        <v>0</v>
      </c>
      <c r="K507" t="n">
        <v>0</v>
      </c>
      <c r="L507" t="n">
        <v>0</v>
      </c>
      <c r="M507" t="n">
        <v>0</v>
      </c>
      <c r="N507" t="n">
        <v>0</v>
      </c>
      <c r="O507" t="n">
        <v>0</v>
      </c>
      <c r="P507" t="n">
        <v>0</v>
      </c>
      <c r="Q507" t="n">
        <v>0</v>
      </c>
      <c r="R507" s="2" t="inlineStr"/>
    </row>
    <row r="508" ht="15" customHeight="1">
      <c r="A508" t="inlineStr">
        <is>
          <t>A 61985-2025</t>
        </is>
      </c>
      <c r="B508" s="1" t="n">
        <v>46003</v>
      </c>
      <c r="C508" s="1" t="n">
        <v>46200</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v>
      </c>
      <c r="C509" s="1" t="n">
        <v>46200</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61964-2025</t>
        </is>
      </c>
      <c r="B510" s="1" t="n">
        <v>46003</v>
      </c>
      <c r="C510" s="1" t="n">
        <v>46200</v>
      </c>
      <c r="D510" t="inlineStr">
        <is>
          <t>JÄMTLANDS LÄN</t>
        </is>
      </c>
      <c r="E510" t="inlineStr">
        <is>
          <t>ÖSTERSUND</t>
        </is>
      </c>
      <c r="G510" t="n">
        <v>16.5</v>
      </c>
      <c r="H510" t="n">
        <v>0</v>
      </c>
      <c r="I510" t="n">
        <v>0</v>
      </c>
      <c r="J510" t="n">
        <v>0</v>
      </c>
      <c r="K510" t="n">
        <v>0</v>
      </c>
      <c r="L510" t="n">
        <v>0</v>
      </c>
      <c r="M510" t="n">
        <v>0</v>
      </c>
      <c r="N510" t="n">
        <v>0</v>
      </c>
      <c r="O510" t="n">
        <v>0</v>
      </c>
      <c r="P510" t="n">
        <v>0</v>
      </c>
      <c r="Q510" t="n">
        <v>0</v>
      </c>
      <c r="R510" s="2" t="inlineStr"/>
    </row>
    <row r="511" ht="15" customHeight="1">
      <c r="A511" t="inlineStr">
        <is>
          <t>A 61982-2025</t>
        </is>
      </c>
      <c r="B511" s="1" t="n">
        <v>46003</v>
      </c>
      <c r="C511" s="1" t="n">
        <v>46200</v>
      </c>
      <c r="D511" t="inlineStr">
        <is>
          <t>JÄMTLANDS LÄN</t>
        </is>
      </c>
      <c r="E511" t="inlineStr">
        <is>
          <t>ÖSTERSUND</t>
        </is>
      </c>
      <c r="G511" t="n">
        <v>4.7</v>
      </c>
      <c r="H511" t="n">
        <v>0</v>
      </c>
      <c r="I511" t="n">
        <v>0</v>
      </c>
      <c r="J511" t="n">
        <v>0</v>
      </c>
      <c r="K511" t="n">
        <v>0</v>
      </c>
      <c r="L511" t="n">
        <v>0</v>
      </c>
      <c r="M511" t="n">
        <v>0</v>
      </c>
      <c r="N511" t="n">
        <v>0</v>
      </c>
      <c r="O511" t="n">
        <v>0</v>
      </c>
      <c r="P511" t="n">
        <v>0</v>
      </c>
      <c r="Q511" t="n">
        <v>0</v>
      </c>
      <c r="R511" s="2" t="inlineStr"/>
    </row>
    <row r="512" ht="15" customHeight="1">
      <c r="A512" t="inlineStr">
        <is>
          <t>A 61849-2025</t>
        </is>
      </c>
      <c r="B512" s="1" t="n">
        <v>46003</v>
      </c>
      <c r="C512" s="1" t="n">
        <v>46200</v>
      </c>
      <c r="D512" t="inlineStr">
        <is>
          <t>JÄMTLANDS LÄN</t>
        </is>
      </c>
      <c r="E512" t="inlineStr">
        <is>
          <t>ÖSTERSUND</t>
        </is>
      </c>
      <c r="G512" t="n">
        <v>5.5</v>
      </c>
      <c r="H512" t="n">
        <v>0</v>
      </c>
      <c r="I512" t="n">
        <v>0</v>
      </c>
      <c r="J512" t="n">
        <v>0</v>
      </c>
      <c r="K512" t="n">
        <v>0</v>
      </c>
      <c r="L512" t="n">
        <v>0</v>
      </c>
      <c r="M512" t="n">
        <v>0</v>
      </c>
      <c r="N512" t="n">
        <v>0</v>
      </c>
      <c r="O512" t="n">
        <v>0</v>
      </c>
      <c r="P512" t="n">
        <v>0</v>
      </c>
      <c r="Q512" t="n">
        <v>0</v>
      </c>
      <c r="R512" s="2" t="inlineStr"/>
    </row>
    <row r="513" ht="15" customHeight="1">
      <c r="A513" t="inlineStr">
        <is>
          <t>A 62176-2025</t>
        </is>
      </c>
      <c r="B513" s="1" t="n">
        <v>46006</v>
      </c>
      <c r="C513" s="1" t="n">
        <v>46200</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62437-2025</t>
        </is>
      </c>
      <c r="B514" s="1" t="n">
        <v>46007</v>
      </c>
      <c r="C514" s="1" t="n">
        <v>46200</v>
      </c>
      <c r="D514" t="inlineStr">
        <is>
          <t>JÄMTLANDS LÄN</t>
        </is>
      </c>
      <c r="E514" t="inlineStr">
        <is>
          <t>ÖSTERSUND</t>
        </is>
      </c>
      <c r="G514" t="n">
        <v>6.3</v>
      </c>
      <c r="H514" t="n">
        <v>0</v>
      </c>
      <c r="I514" t="n">
        <v>0</v>
      </c>
      <c r="J514" t="n">
        <v>0</v>
      </c>
      <c r="K514" t="n">
        <v>0</v>
      </c>
      <c r="L514" t="n">
        <v>0</v>
      </c>
      <c r="M514" t="n">
        <v>0</v>
      </c>
      <c r="N514" t="n">
        <v>0</v>
      </c>
      <c r="O514" t="n">
        <v>0</v>
      </c>
      <c r="P514" t="n">
        <v>0</v>
      </c>
      <c r="Q514" t="n">
        <v>0</v>
      </c>
      <c r="R514" s="2" t="inlineStr"/>
    </row>
    <row r="515" ht="15" customHeight="1">
      <c r="A515" t="inlineStr">
        <is>
          <t>A 4936-2026</t>
        </is>
      </c>
      <c r="B515" s="1" t="n">
        <v>46048</v>
      </c>
      <c r="C515" s="1" t="n">
        <v>46200</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62369-2025</t>
        </is>
      </c>
      <c r="B516" s="1" t="n">
        <v>46007</v>
      </c>
      <c r="C516" s="1" t="n">
        <v>46200</v>
      </c>
      <c r="D516" t="inlineStr">
        <is>
          <t>JÄMTLANDS LÄN</t>
        </is>
      </c>
      <c r="E516" t="inlineStr">
        <is>
          <t>ÖSTERSUND</t>
        </is>
      </c>
      <c r="F516" t="inlineStr">
        <is>
          <t>Sveaskog</t>
        </is>
      </c>
      <c r="G516" t="n">
        <v>20.3</v>
      </c>
      <c r="H516" t="n">
        <v>0</v>
      </c>
      <c r="I516" t="n">
        <v>0</v>
      </c>
      <c r="J516" t="n">
        <v>0</v>
      </c>
      <c r="K516" t="n">
        <v>0</v>
      </c>
      <c r="L516" t="n">
        <v>0</v>
      </c>
      <c r="M516" t="n">
        <v>0</v>
      </c>
      <c r="N516" t="n">
        <v>0</v>
      </c>
      <c r="O516" t="n">
        <v>0</v>
      </c>
      <c r="P516" t="n">
        <v>0</v>
      </c>
      <c r="Q516" t="n">
        <v>0</v>
      </c>
      <c r="R516" s="2" t="inlineStr"/>
    </row>
    <row r="517" ht="15" customHeight="1">
      <c r="A517" t="inlineStr">
        <is>
          <t>A 63195-2025</t>
        </is>
      </c>
      <c r="B517" s="1" t="n">
        <v>46010</v>
      </c>
      <c r="C517" s="1" t="n">
        <v>46200</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63245-2025</t>
        </is>
      </c>
      <c r="B518" s="1" t="n">
        <v>46010</v>
      </c>
      <c r="C518" s="1" t="n">
        <v>46200</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63516-2025</t>
        </is>
      </c>
      <c r="B519" s="1" t="n">
        <v>46013</v>
      </c>
      <c r="C519" s="1" t="n">
        <v>46200</v>
      </c>
      <c r="D519" t="inlineStr">
        <is>
          <t>JÄMTLANDS LÄN</t>
        </is>
      </c>
      <c r="E519" t="inlineStr">
        <is>
          <t>ÖSTERSUND</t>
        </is>
      </c>
      <c r="G519" t="n">
        <v>4.8</v>
      </c>
      <c r="H519" t="n">
        <v>0</v>
      </c>
      <c r="I519" t="n">
        <v>0</v>
      </c>
      <c r="J519" t="n">
        <v>0</v>
      </c>
      <c r="K519" t="n">
        <v>0</v>
      </c>
      <c r="L519" t="n">
        <v>0</v>
      </c>
      <c r="M519" t="n">
        <v>0</v>
      </c>
      <c r="N519" t="n">
        <v>0</v>
      </c>
      <c r="O519" t="n">
        <v>0</v>
      </c>
      <c r="P519" t="n">
        <v>0</v>
      </c>
      <c r="Q519" t="n">
        <v>0</v>
      </c>
      <c r="R519" s="2" t="inlineStr"/>
    </row>
    <row r="520" ht="15" customHeight="1">
      <c r="A520" t="inlineStr">
        <is>
          <t>A 63475-2025</t>
        </is>
      </c>
      <c r="B520" s="1" t="n">
        <v>46013</v>
      </c>
      <c r="C520" s="1" t="n">
        <v>46200</v>
      </c>
      <c r="D520" t="inlineStr">
        <is>
          <t>JÄMTLANDS LÄN</t>
        </is>
      </c>
      <c r="E520" t="inlineStr">
        <is>
          <t>ÖSTERSUND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63693-2025</t>
        </is>
      </c>
      <c r="B521" s="1" t="n">
        <v>46014</v>
      </c>
      <c r="C521" s="1" t="n">
        <v>46200</v>
      </c>
      <c r="D521" t="inlineStr">
        <is>
          <t>JÄMTLANDS LÄN</t>
        </is>
      </c>
      <c r="E521" t="inlineStr">
        <is>
          <t>ÖSTERSUND</t>
        </is>
      </c>
      <c r="G521" t="n">
        <v>1.5</v>
      </c>
      <c r="H521" t="n">
        <v>0</v>
      </c>
      <c r="I521" t="n">
        <v>0</v>
      </c>
      <c r="J521" t="n">
        <v>0</v>
      </c>
      <c r="K521" t="n">
        <v>0</v>
      </c>
      <c r="L521" t="n">
        <v>0</v>
      </c>
      <c r="M521" t="n">
        <v>0</v>
      </c>
      <c r="N521" t="n">
        <v>0</v>
      </c>
      <c r="O521" t="n">
        <v>0</v>
      </c>
      <c r="P521" t="n">
        <v>0</v>
      </c>
      <c r="Q521" t="n">
        <v>0</v>
      </c>
      <c r="R521" s="2" t="inlineStr"/>
    </row>
    <row r="522" ht="15" customHeight="1">
      <c r="A522" t="inlineStr">
        <is>
          <t>A 63807-2025</t>
        </is>
      </c>
      <c r="B522" s="1" t="n">
        <v>46019</v>
      </c>
      <c r="C522" s="1" t="n">
        <v>46200</v>
      </c>
      <c r="D522" t="inlineStr">
        <is>
          <t>JÄMTLANDS LÄN</t>
        </is>
      </c>
      <c r="E522" t="inlineStr">
        <is>
          <t>ÖSTERSUND</t>
        </is>
      </c>
      <c r="G522" t="n">
        <v>2.4</v>
      </c>
      <c r="H522" t="n">
        <v>0</v>
      </c>
      <c r="I522" t="n">
        <v>0</v>
      </c>
      <c r="J522" t="n">
        <v>0</v>
      </c>
      <c r="K522" t="n">
        <v>0</v>
      </c>
      <c r="L522" t="n">
        <v>0</v>
      </c>
      <c r="M522" t="n">
        <v>0</v>
      </c>
      <c r="N522" t="n">
        <v>0</v>
      </c>
      <c r="O522" t="n">
        <v>0</v>
      </c>
      <c r="P522" t="n">
        <v>0</v>
      </c>
      <c r="Q522" t="n">
        <v>0</v>
      </c>
      <c r="R522" s="2" t="inlineStr"/>
    </row>
    <row r="523" ht="15" customHeight="1">
      <c r="A523" t="inlineStr">
        <is>
          <t>A 63982-2025</t>
        </is>
      </c>
      <c r="B523" s="1" t="n">
        <v>46021</v>
      </c>
      <c r="C523" s="1" t="n">
        <v>46200</v>
      </c>
      <c r="D523" t="inlineStr">
        <is>
          <t>JÄMTLANDS LÄN</t>
        </is>
      </c>
      <c r="E523" t="inlineStr">
        <is>
          <t>ÖSTERSUND</t>
        </is>
      </c>
      <c r="G523" t="n">
        <v>6.5</v>
      </c>
      <c r="H523" t="n">
        <v>0</v>
      </c>
      <c r="I523" t="n">
        <v>0</v>
      </c>
      <c r="J523" t="n">
        <v>0</v>
      </c>
      <c r="K523" t="n">
        <v>0</v>
      </c>
      <c r="L523" t="n">
        <v>0</v>
      </c>
      <c r="M523" t="n">
        <v>0</v>
      </c>
      <c r="N523" t="n">
        <v>0</v>
      </c>
      <c r="O523" t="n">
        <v>0</v>
      </c>
      <c r="P523" t="n">
        <v>0</v>
      </c>
      <c r="Q523" t="n">
        <v>0</v>
      </c>
      <c r="R523" s="2" t="inlineStr"/>
    </row>
    <row r="524" ht="15" customHeight="1">
      <c r="A524" t="inlineStr">
        <is>
          <t>A 623-2026</t>
        </is>
      </c>
      <c r="B524" s="1" t="n">
        <v>46024</v>
      </c>
      <c r="C524" s="1" t="n">
        <v>46200</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330-2026</t>
        </is>
      </c>
      <c r="B525" s="1" t="n">
        <v>46027</v>
      </c>
      <c r="C525" s="1" t="n">
        <v>46200</v>
      </c>
      <c r="D525" t="inlineStr">
        <is>
          <t>JÄMTLANDS LÄN</t>
        </is>
      </c>
      <c r="E525" t="inlineStr">
        <is>
          <t>ÖSTERSUND</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485-2026</t>
        </is>
      </c>
      <c r="B526" s="1" t="n">
        <v>46029</v>
      </c>
      <c r="C526" s="1" t="n">
        <v>46200</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1552-2026</t>
        </is>
      </c>
      <c r="B527" s="1" t="n">
        <v>46034</v>
      </c>
      <c r="C527" s="1" t="n">
        <v>46200</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2700-2026</t>
        </is>
      </c>
      <c r="B528" s="1" t="n">
        <v>46037</v>
      </c>
      <c r="C528" s="1" t="n">
        <v>46200</v>
      </c>
      <c r="D528" t="inlineStr">
        <is>
          <t>JÄMTLANDS LÄN</t>
        </is>
      </c>
      <c r="E528" t="inlineStr">
        <is>
          <t>ÖSTERSUND</t>
        </is>
      </c>
      <c r="G528" t="n">
        <v>8.6</v>
      </c>
      <c r="H528" t="n">
        <v>0</v>
      </c>
      <c r="I528" t="n">
        <v>0</v>
      </c>
      <c r="J528" t="n">
        <v>0</v>
      </c>
      <c r="K528" t="n">
        <v>0</v>
      </c>
      <c r="L528" t="n">
        <v>0</v>
      </c>
      <c r="M528" t="n">
        <v>0</v>
      </c>
      <c r="N528" t="n">
        <v>0</v>
      </c>
      <c r="O528" t="n">
        <v>0</v>
      </c>
      <c r="P528" t="n">
        <v>0</v>
      </c>
      <c r="Q528" t="n">
        <v>0</v>
      </c>
      <c r="R528" s="2" t="inlineStr"/>
    </row>
    <row r="529" ht="15" customHeight="1">
      <c r="A529" t="inlineStr">
        <is>
          <t>A 1901-2026</t>
        </is>
      </c>
      <c r="B529" s="1" t="n">
        <v>46032</v>
      </c>
      <c r="C529" s="1" t="n">
        <v>46200</v>
      </c>
      <c r="D529" t="inlineStr">
        <is>
          <t>JÄMTLANDS LÄN</t>
        </is>
      </c>
      <c r="E529" t="inlineStr">
        <is>
          <t>ÖSTERSUND</t>
        </is>
      </c>
      <c r="G529" t="n">
        <v>6.4</v>
      </c>
      <c r="H529" t="n">
        <v>0</v>
      </c>
      <c r="I529" t="n">
        <v>0</v>
      </c>
      <c r="J529" t="n">
        <v>0</v>
      </c>
      <c r="K529" t="n">
        <v>0</v>
      </c>
      <c r="L529" t="n">
        <v>0</v>
      </c>
      <c r="M529" t="n">
        <v>0</v>
      </c>
      <c r="N529" t="n">
        <v>0</v>
      </c>
      <c r="O529" t="n">
        <v>0</v>
      </c>
      <c r="P529" t="n">
        <v>0</v>
      </c>
      <c r="Q529" t="n">
        <v>0</v>
      </c>
      <c r="R529" s="2" t="inlineStr"/>
    </row>
    <row r="530" ht="15" customHeight="1">
      <c r="A530" t="inlineStr">
        <is>
          <t>A 7938-2025</t>
        </is>
      </c>
      <c r="B530" s="1" t="n">
        <v>45707</v>
      </c>
      <c r="C530" s="1" t="n">
        <v>46200</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2694-2026</t>
        </is>
      </c>
      <c r="B531" s="1" t="n">
        <v>46037</v>
      </c>
      <c r="C531" s="1" t="n">
        <v>46200</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15686-2025</t>
        </is>
      </c>
      <c r="B532" s="1" t="n">
        <v>45748</v>
      </c>
      <c r="C532" s="1" t="n">
        <v>46200</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2971-2026</t>
        </is>
      </c>
      <c r="B533" s="1" t="n">
        <v>46038</v>
      </c>
      <c r="C533" s="1" t="n">
        <v>46200</v>
      </c>
      <c r="D533" t="inlineStr">
        <is>
          <t>JÄMTLANDS LÄN</t>
        </is>
      </c>
      <c r="E533" t="inlineStr">
        <is>
          <t>ÖSTERSUND</t>
        </is>
      </c>
      <c r="G533" t="n">
        <v>0.5</v>
      </c>
      <c r="H533" t="n">
        <v>0</v>
      </c>
      <c r="I533" t="n">
        <v>0</v>
      </c>
      <c r="J533" t="n">
        <v>0</v>
      </c>
      <c r="K533" t="n">
        <v>0</v>
      </c>
      <c r="L533" t="n">
        <v>0</v>
      </c>
      <c r="M533" t="n">
        <v>0</v>
      </c>
      <c r="N533" t="n">
        <v>0</v>
      </c>
      <c r="O533" t="n">
        <v>0</v>
      </c>
      <c r="P533" t="n">
        <v>0</v>
      </c>
      <c r="Q533" t="n">
        <v>0</v>
      </c>
      <c r="R533" s="2" t="inlineStr"/>
    </row>
    <row r="534" ht="15" customHeight="1">
      <c r="A534" t="inlineStr">
        <is>
          <t>A 3197-2026</t>
        </is>
      </c>
      <c r="B534" s="1" t="n">
        <v>46041</v>
      </c>
      <c r="C534" s="1" t="n">
        <v>46200</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4406-2026</t>
        </is>
      </c>
      <c r="B535" s="1" t="n">
        <v>46045</v>
      </c>
      <c r="C535" s="1" t="n">
        <v>46200</v>
      </c>
      <c r="D535" t="inlineStr">
        <is>
          <t>JÄMTLANDS LÄN</t>
        </is>
      </c>
      <c r="E535" t="inlineStr">
        <is>
          <t>ÖSTERSUND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4423-2026</t>
        </is>
      </c>
      <c r="B536" s="1" t="n">
        <v>46045</v>
      </c>
      <c r="C536" s="1" t="n">
        <v>46200</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5360-2026</t>
        </is>
      </c>
      <c r="B537" s="1" t="n">
        <v>46050</v>
      </c>
      <c r="C537" s="1" t="n">
        <v>46200</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5684-2026</t>
        </is>
      </c>
      <c r="B538" s="1" t="n">
        <v>46051</v>
      </c>
      <c r="C538" s="1" t="n">
        <v>46200</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6831-2026</t>
        </is>
      </c>
      <c r="B539" s="1" t="n">
        <v>46057</v>
      </c>
      <c r="C539" s="1" t="n">
        <v>46200</v>
      </c>
      <c r="D539" t="inlineStr">
        <is>
          <t>JÄMTLANDS LÄN</t>
        </is>
      </c>
      <c r="E539" t="inlineStr">
        <is>
          <t>ÖSTERSUND</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6761-2026</t>
        </is>
      </c>
      <c r="B540" s="1" t="n">
        <v>46056</v>
      </c>
      <c r="C540" s="1" t="n">
        <v>46200</v>
      </c>
      <c r="D540" t="inlineStr">
        <is>
          <t>JÄMTLANDS LÄN</t>
        </is>
      </c>
      <c r="E540" t="inlineStr">
        <is>
          <t>ÖSTERSUND</t>
        </is>
      </c>
      <c r="G540" t="n">
        <v>2.8</v>
      </c>
      <c r="H540" t="n">
        <v>0</v>
      </c>
      <c r="I540" t="n">
        <v>0</v>
      </c>
      <c r="J540" t="n">
        <v>0</v>
      </c>
      <c r="K540" t="n">
        <v>0</v>
      </c>
      <c r="L540" t="n">
        <v>0</v>
      </c>
      <c r="M540" t="n">
        <v>0</v>
      </c>
      <c r="N540" t="n">
        <v>0</v>
      </c>
      <c r="O540" t="n">
        <v>0</v>
      </c>
      <c r="P540" t="n">
        <v>0</v>
      </c>
      <c r="Q540" t="n">
        <v>0</v>
      </c>
      <c r="R540" s="2" t="inlineStr"/>
    </row>
    <row r="541" ht="15" customHeight="1">
      <c r="A541" t="inlineStr">
        <is>
          <t>A 7437-2026</t>
        </is>
      </c>
      <c r="B541" s="1" t="n">
        <v>46059</v>
      </c>
      <c r="C541" s="1" t="n">
        <v>46200</v>
      </c>
      <c r="D541" t="inlineStr">
        <is>
          <t>JÄMTLANDS LÄN</t>
        </is>
      </c>
      <c r="E541" t="inlineStr">
        <is>
          <t>ÖSTERSUND</t>
        </is>
      </c>
      <c r="G541" t="n">
        <v>2.3</v>
      </c>
      <c r="H541" t="n">
        <v>0</v>
      </c>
      <c r="I541" t="n">
        <v>0</v>
      </c>
      <c r="J541" t="n">
        <v>0</v>
      </c>
      <c r="K541" t="n">
        <v>0</v>
      </c>
      <c r="L541" t="n">
        <v>0</v>
      </c>
      <c r="M541" t="n">
        <v>0</v>
      </c>
      <c r="N541" t="n">
        <v>0</v>
      </c>
      <c r="O541" t="n">
        <v>0</v>
      </c>
      <c r="P541" t="n">
        <v>0</v>
      </c>
      <c r="Q541" t="n">
        <v>0</v>
      </c>
      <c r="R541" s="2" t="inlineStr"/>
    </row>
    <row r="542" ht="15" customHeight="1">
      <c r="A542" t="inlineStr">
        <is>
          <t>A 8109-2026</t>
        </is>
      </c>
      <c r="B542" s="1" t="n">
        <v>46062</v>
      </c>
      <c r="C542" s="1" t="n">
        <v>46200</v>
      </c>
      <c r="D542" t="inlineStr">
        <is>
          <t>JÄMTLANDS LÄN</t>
        </is>
      </c>
      <c r="E542" t="inlineStr">
        <is>
          <t>ÖSTERSUND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7712-2026</t>
        </is>
      </c>
      <c r="B543" s="1" t="n">
        <v>46062</v>
      </c>
      <c r="C543" s="1" t="n">
        <v>46200</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8168-2026</t>
        </is>
      </c>
      <c r="B544" s="1" t="n">
        <v>46064</v>
      </c>
      <c r="C544" s="1" t="n">
        <v>46200</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8733-2026</t>
        </is>
      </c>
      <c r="B545" s="1" t="n">
        <v>46066</v>
      </c>
      <c r="C545" s="1" t="n">
        <v>46200</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8832-2026</t>
        </is>
      </c>
      <c r="B546" s="1" t="n">
        <v>46066</v>
      </c>
      <c r="C546" s="1" t="n">
        <v>46200</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8833-2026</t>
        </is>
      </c>
      <c r="B547" s="1" t="n">
        <v>46066</v>
      </c>
      <c r="C547" s="1" t="n">
        <v>46200</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9191-2026</t>
        </is>
      </c>
      <c r="B548" s="1" t="n">
        <v>46070</v>
      </c>
      <c r="C548" s="1" t="n">
        <v>46200</v>
      </c>
      <c r="D548" t="inlineStr">
        <is>
          <t>JÄMTLANDS LÄN</t>
        </is>
      </c>
      <c r="E548" t="inlineStr">
        <is>
          <t>ÖSTERSUND</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9949-2026</t>
        </is>
      </c>
      <c r="B549" s="1" t="n">
        <v>46073</v>
      </c>
      <c r="C549" s="1" t="n">
        <v>46200</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9958-2026</t>
        </is>
      </c>
      <c r="B550" s="1" t="n">
        <v>46073</v>
      </c>
      <c r="C550" s="1" t="n">
        <v>46200</v>
      </c>
      <c r="D550" t="inlineStr">
        <is>
          <t>JÄMTLANDS LÄN</t>
        </is>
      </c>
      <c r="E550" t="inlineStr">
        <is>
          <t>ÖSTERSUND</t>
        </is>
      </c>
      <c r="G550" t="n">
        <v>3.2</v>
      </c>
      <c r="H550" t="n">
        <v>0</v>
      </c>
      <c r="I550" t="n">
        <v>0</v>
      </c>
      <c r="J550" t="n">
        <v>0</v>
      </c>
      <c r="K550" t="n">
        <v>0</v>
      </c>
      <c r="L550" t="n">
        <v>0</v>
      </c>
      <c r="M550" t="n">
        <v>0</v>
      </c>
      <c r="N550" t="n">
        <v>0</v>
      </c>
      <c r="O550" t="n">
        <v>0</v>
      </c>
      <c r="P550" t="n">
        <v>0</v>
      </c>
      <c r="Q550" t="n">
        <v>0</v>
      </c>
      <c r="R550" s="2" t="inlineStr"/>
    </row>
    <row r="551" ht="15" customHeight="1">
      <c r="A551" t="inlineStr">
        <is>
          <t>A 10779-2026</t>
        </is>
      </c>
      <c r="B551" s="1" t="n">
        <v>46078</v>
      </c>
      <c r="C551" s="1" t="n">
        <v>46200</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10714-2026</t>
        </is>
      </c>
      <c r="B552" s="1" t="n">
        <v>46078</v>
      </c>
      <c r="C552" s="1" t="n">
        <v>46200</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10319-2026</t>
        </is>
      </c>
      <c r="B553" s="1" t="n">
        <v>46076</v>
      </c>
      <c r="C553" s="1" t="n">
        <v>46200</v>
      </c>
      <c r="D553" t="inlineStr">
        <is>
          <t>JÄMTLANDS LÄN</t>
        </is>
      </c>
      <c r="E553" t="inlineStr">
        <is>
          <t>ÖSTERSUND</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10846-2026</t>
        </is>
      </c>
      <c r="B554" s="1" t="n">
        <v>46078</v>
      </c>
      <c r="C554" s="1" t="n">
        <v>46200</v>
      </c>
      <c r="D554" t="inlineStr">
        <is>
          <t>JÄMTLANDS LÄN</t>
        </is>
      </c>
      <c r="E554" t="inlineStr">
        <is>
          <t>ÖSTERSUND</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10266-2025</t>
        </is>
      </c>
      <c r="B555" s="1" t="n">
        <v>45720</v>
      </c>
      <c r="C555" s="1" t="n">
        <v>46200</v>
      </c>
      <c r="D555" t="inlineStr">
        <is>
          <t>JÄMTLANDS LÄN</t>
        </is>
      </c>
      <c r="E555" t="inlineStr">
        <is>
          <t>ÖSTERSUND</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14947-2025</t>
        </is>
      </c>
      <c r="B556" s="1" t="n">
        <v>45743</v>
      </c>
      <c r="C556" s="1" t="n">
        <v>46200</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10756-2025</t>
        </is>
      </c>
      <c r="B557" s="1" t="n">
        <v>45722</v>
      </c>
      <c r="C557" s="1" t="n">
        <v>46200</v>
      </c>
      <c r="D557" t="inlineStr">
        <is>
          <t>JÄMTLANDS LÄN</t>
        </is>
      </c>
      <c r="E557" t="inlineStr">
        <is>
          <t>ÖSTERSUND</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56811-2025</t>
        </is>
      </c>
      <c r="B558" s="1" t="n">
        <v>45978</v>
      </c>
      <c r="C558" s="1" t="n">
        <v>46200</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22612-2025</t>
        </is>
      </c>
      <c r="B559" s="1" t="n">
        <v>45789</v>
      </c>
      <c r="C559" s="1" t="n">
        <v>46200</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13651-2025</t>
        </is>
      </c>
      <c r="B560" s="1" t="n">
        <v>45736</v>
      </c>
      <c r="C560" s="1" t="n">
        <v>46200</v>
      </c>
      <c r="D560" t="inlineStr">
        <is>
          <t>JÄMTLANDS LÄN</t>
        </is>
      </c>
      <c r="E560" t="inlineStr">
        <is>
          <t>ÖSTERSUND</t>
        </is>
      </c>
      <c r="G560" t="n">
        <v>3.7</v>
      </c>
      <c r="H560" t="n">
        <v>0</v>
      </c>
      <c r="I560" t="n">
        <v>0</v>
      </c>
      <c r="J560" t="n">
        <v>0</v>
      </c>
      <c r="K560" t="n">
        <v>0</v>
      </c>
      <c r="L560" t="n">
        <v>0</v>
      </c>
      <c r="M560" t="n">
        <v>0</v>
      </c>
      <c r="N560" t="n">
        <v>0</v>
      </c>
      <c r="O560" t="n">
        <v>0</v>
      </c>
      <c r="P560" t="n">
        <v>0</v>
      </c>
      <c r="Q560" t="n">
        <v>0</v>
      </c>
      <c r="R560" s="2" t="inlineStr"/>
    </row>
    <row r="561" ht="15" customHeight="1">
      <c r="A561" t="inlineStr">
        <is>
          <t>A 13655-2025</t>
        </is>
      </c>
      <c r="B561" s="1" t="n">
        <v>45736</v>
      </c>
      <c r="C561" s="1" t="n">
        <v>46200</v>
      </c>
      <c r="D561" t="inlineStr">
        <is>
          <t>JÄMTLANDS LÄN</t>
        </is>
      </c>
      <c r="E561" t="inlineStr">
        <is>
          <t>ÖSTERSUND</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14831-2025</t>
        </is>
      </c>
      <c r="B562" s="1" t="n">
        <v>45743</v>
      </c>
      <c r="C562" s="1" t="n">
        <v>46200</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14182-2025</t>
        </is>
      </c>
      <c r="B563" s="1" t="n">
        <v>45740</v>
      </c>
      <c r="C563" s="1" t="n">
        <v>46200</v>
      </c>
      <c r="D563" t="inlineStr">
        <is>
          <t>JÄMTLANDS LÄN</t>
        </is>
      </c>
      <c r="E563" t="inlineStr">
        <is>
          <t>ÖSTERSUND</t>
        </is>
      </c>
      <c r="F563" t="inlineStr">
        <is>
          <t>Övriga Aktiebolag</t>
        </is>
      </c>
      <c r="G563" t="n">
        <v>20.1</v>
      </c>
      <c r="H563" t="n">
        <v>0</v>
      </c>
      <c r="I563" t="n">
        <v>0</v>
      </c>
      <c r="J563" t="n">
        <v>0</v>
      </c>
      <c r="K563" t="n">
        <v>0</v>
      </c>
      <c r="L563" t="n">
        <v>0</v>
      </c>
      <c r="M563" t="n">
        <v>0</v>
      </c>
      <c r="N563" t="n">
        <v>0</v>
      </c>
      <c r="O563" t="n">
        <v>0</v>
      </c>
      <c r="P563" t="n">
        <v>0</v>
      </c>
      <c r="Q563" t="n">
        <v>0</v>
      </c>
      <c r="R563" s="2" t="inlineStr"/>
    </row>
    <row r="564" ht="15" customHeight="1">
      <c r="A564" t="inlineStr">
        <is>
          <t>A 10267-2025</t>
        </is>
      </c>
      <c r="B564" s="1" t="n">
        <v>45720</v>
      </c>
      <c r="C564" s="1" t="n">
        <v>46200</v>
      </c>
      <c r="D564" t="inlineStr">
        <is>
          <t>JÄMTLANDS LÄN</t>
        </is>
      </c>
      <c r="E564" t="inlineStr">
        <is>
          <t>ÖSTERSUND</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18577-2025</t>
        </is>
      </c>
      <c r="B565" s="1" t="n">
        <v>45763</v>
      </c>
      <c r="C565" s="1" t="n">
        <v>46200</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12726-2026</t>
        </is>
      </c>
      <c r="B566" s="1" t="n">
        <v>46091</v>
      </c>
      <c r="C566" s="1" t="n">
        <v>46200</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13994-2026</t>
        </is>
      </c>
      <c r="B567" s="1" t="n">
        <v>46098</v>
      </c>
      <c r="C567" s="1" t="n">
        <v>46200</v>
      </c>
      <c r="D567" t="inlineStr">
        <is>
          <t>JÄMTLANDS LÄN</t>
        </is>
      </c>
      <c r="E567" t="inlineStr">
        <is>
          <t>ÖSTERSUND</t>
        </is>
      </c>
      <c r="G567" t="n">
        <v>0.4</v>
      </c>
      <c r="H567" t="n">
        <v>0</v>
      </c>
      <c r="I567" t="n">
        <v>0</v>
      </c>
      <c r="J567" t="n">
        <v>0</v>
      </c>
      <c r="K567" t="n">
        <v>0</v>
      </c>
      <c r="L567" t="n">
        <v>0</v>
      </c>
      <c r="M567" t="n">
        <v>0</v>
      </c>
      <c r="N567" t="n">
        <v>0</v>
      </c>
      <c r="O567" t="n">
        <v>0</v>
      </c>
      <c r="P567" t="n">
        <v>0</v>
      </c>
      <c r="Q567" t="n">
        <v>0</v>
      </c>
      <c r="R567" s="2" t="inlineStr"/>
    </row>
    <row r="568" ht="15" customHeight="1">
      <c r="A568" t="inlineStr">
        <is>
          <t>A 13674-2026</t>
        </is>
      </c>
      <c r="B568" s="1" t="n">
        <v>46097</v>
      </c>
      <c r="C568" s="1" t="n">
        <v>46200</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17136-2026</t>
        </is>
      </c>
      <c r="B569" s="1" t="n">
        <v>46114</v>
      </c>
      <c r="C569" s="1" t="n">
        <v>46200</v>
      </c>
      <c r="D569" t="inlineStr">
        <is>
          <t>JÄMTLANDS LÄN</t>
        </is>
      </c>
      <c r="E569" t="inlineStr">
        <is>
          <t>ÖSTERSUND</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23772-2026</t>
        </is>
      </c>
      <c r="B570" s="1" t="n">
        <v>46164</v>
      </c>
      <c r="C570" s="1" t="n">
        <v>46200</v>
      </c>
      <c r="D570" t="inlineStr">
        <is>
          <t>JÄMTLANDS LÄN</t>
        </is>
      </c>
      <c r="E570" t="inlineStr">
        <is>
          <t>ÖSTERSUND</t>
        </is>
      </c>
      <c r="F570" t="inlineStr">
        <is>
          <t>SCA</t>
        </is>
      </c>
      <c r="G570" t="n">
        <v>24.4</v>
      </c>
      <c r="H570" t="n">
        <v>0</v>
      </c>
      <c r="I570" t="n">
        <v>0</v>
      </c>
      <c r="J570" t="n">
        <v>0</v>
      </c>
      <c r="K570" t="n">
        <v>0</v>
      </c>
      <c r="L570" t="n">
        <v>0</v>
      </c>
      <c r="M570" t="n">
        <v>0</v>
      </c>
      <c r="N570" t="n">
        <v>0</v>
      </c>
      <c r="O570" t="n">
        <v>0</v>
      </c>
      <c r="P570" t="n">
        <v>0</v>
      </c>
      <c r="Q570" t="n">
        <v>0</v>
      </c>
      <c r="R570" s="2" t="inlineStr"/>
    </row>
    <row r="571" ht="15" customHeight="1">
      <c r="A571" t="inlineStr">
        <is>
          <t>A 23750-2026</t>
        </is>
      </c>
      <c r="B571" s="1" t="n">
        <v>46164</v>
      </c>
      <c r="C571" s="1" t="n">
        <v>46200</v>
      </c>
      <c r="D571" t="inlineStr">
        <is>
          <t>JÄMTLANDS LÄN</t>
        </is>
      </c>
      <c r="E571" t="inlineStr">
        <is>
          <t>ÖSTERSUND</t>
        </is>
      </c>
      <c r="F571" t="inlineStr">
        <is>
          <t>SCA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23760-2026</t>
        </is>
      </c>
      <c r="B572" s="1" t="n">
        <v>46164</v>
      </c>
      <c r="C572" s="1" t="n">
        <v>46200</v>
      </c>
      <c r="D572" t="inlineStr">
        <is>
          <t>JÄMTLANDS LÄN</t>
        </is>
      </c>
      <c r="E572" t="inlineStr">
        <is>
          <t>ÖSTERSUND</t>
        </is>
      </c>
      <c r="F572" t="inlineStr">
        <is>
          <t>SCA</t>
        </is>
      </c>
      <c r="G572" t="n">
        <v>14.2</v>
      </c>
      <c r="H572" t="n">
        <v>0</v>
      </c>
      <c r="I572" t="n">
        <v>0</v>
      </c>
      <c r="J572" t="n">
        <v>0</v>
      </c>
      <c r="K572" t="n">
        <v>0</v>
      </c>
      <c r="L572" t="n">
        <v>0</v>
      </c>
      <c r="M572" t="n">
        <v>0</v>
      </c>
      <c r="N572" t="n">
        <v>0</v>
      </c>
      <c r="O572" t="n">
        <v>0</v>
      </c>
      <c r="P572" t="n">
        <v>0</v>
      </c>
      <c r="Q572" t="n">
        <v>0</v>
      </c>
      <c r="R572" s="2" t="inlineStr"/>
    </row>
    <row r="573" ht="15" customHeight="1">
      <c r="A573" t="inlineStr">
        <is>
          <t>A 16970-2026</t>
        </is>
      </c>
      <c r="B573" s="1" t="n">
        <v>46114</v>
      </c>
      <c r="C573" s="1" t="n">
        <v>46200</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23685-2026</t>
        </is>
      </c>
      <c r="B574" s="1" t="n">
        <v>46164</v>
      </c>
      <c r="C574" s="1" t="n">
        <v>46200</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23761-2026</t>
        </is>
      </c>
      <c r="B575" s="1" t="n">
        <v>46164</v>
      </c>
      <c r="C575" s="1" t="n">
        <v>46200</v>
      </c>
      <c r="D575" t="inlineStr">
        <is>
          <t>JÄMTLANDS LÄN</t>
        </is>
      </c>
      <c r="E575" t="inlineStr">
        <is>
          <t>ÖSTERSUND</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23762-2026</t>
        </is>
      </c>
      <c r="B576" s="1" t="n">
        <v>46164</v>
      </c>
      <c r="C576" s="1" t="n">
        <v>46200</v>
      </c>
      <c r="D576" t="inlineStr">
        <is>
          <t>JÄMTLANDS LÄN</t>
        </is>
      </c>
      <c r="E576" t="inlineStr">
        <is>
          <t>ÖSTERSUND</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23638-2026</t>
        </is>
      </c>
      <c r="B577" s="1" t="n">
        <v>46164</v>
      </c>
      <c r="C577" s="1" t="n">
        <v>46200</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23798-2026</t>
        </is>
      </c>
      <c r="B578" s="1" t="n">
        <v>46164</v>
      </c>
      <c r="C578" s="1" t="n">
        <v>46200</v>
      </c>
      <c r="D578" t="inlineStr">
        <is>
          <t>JÄMTLANDS LÄN</t>
        </is>
      </c>
      <c r="E578" t="inlineStr">
        <is>
          <t>ÖSTERSUND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23758-2026</t>
        </is>
      </c>
      <c r="B579" s="1" t="n">
        <v>46164</v>
      </c>
      <c r="C579" s="1" t="n">
        <v>46200</v>
      </c>
      <c r="D579" t="inlineStr">
        <is>
          <t>JÄMTLANDS LÄN</t>
        </is>
      </c>
      <c r="E579" t="inlineStr">
        <is>
          <t>ÖSTERSUND</t>
        </is>
      </c>
      <c r="F579" t="inlineStr">
        <is>
          <t>SCA</t>
        </is>
      </c>
      <c r="G579" t="n">
        <v>10.8</v>
      </c>
      <c r="H579" t="n">
        <v>0</v>
      </c>
      <c r="I579" t="n">
        <v>0</v>
      </c>
      <c r="J579" t="n">
        <v>0</v>
      </c>
      <c r="K579" t="n">
        <v>0</v>
      </c>
      <c r="L579" t="n">
        <v>0</v>
      </c>
      <c r="M579" t="n">
        <v>0</v>
      </c>
      <c r="N579" t="n">
        <v>0</v>
      </c>
      <c r="O579" t="n">
        <v>0</v>
      </c>
      <c r="P579" t="n">
        <v>0</v>
      </c>
      <c r="Q579" t="n">
        <v>0</v>
      </c>
      <c r="R579" s="2" t="inlineStr"/>
    </row>
    <row r="580" ht="15" customHeight="1">
      <c r="A580" t="inlineStr">
        <is>
          <t>A 23759-2026</t>
        </is>
      </c>
      <c r="B580" s="1" t="n">
        <v>46164</v>
      </c>
      <c r="C580" s="1" t="n">
        <v>46200</v>
      </c>
      <c r="D580" t="inlineStr">
        <is>
          <t>JÄMTLANDS LÄN</t>
        </is>
      </c>
      <c r="E580" t="inlineStr">
        <is>
          <t>ÖSTERSUND</t>
        </is>
      </c>
      <c r="F580" t="inlineStr">
        <is>
          <t>SCA</t>
        </is>
      </c>
      <c r="G580" t="n">
        <v>19.1</v>
      </c>
      <c r="H580" t="n">
        <v>0</v>
      </c>
      <c r="I580" t="n">
        <v>0</v>
      </c>
      <c r="J580" t="n">
        <v>0</v>
      </c>
      <c r="K580" t="n">
        <v>0</v>
      </c>
      <c r="L580" t="n">
        <v>0</v>
      </c>
      <c r="M580" t="n">
        <v>0</v>
      </c>
      <c r="N580" t="n">
        <v>0</v>
      </c>
      <c r="O580" t="n">
        <v>0</v>
      </c>
      <c r="P580" t="n">
        <v>0</v>
      </c>
      <c r="Q580" t="n">
        <v>0</v>
      </c>
      <c r="R580" s="2" t="inlineStr"/>
    </row>
    <row r="581" ht="15" customHeight="1">
      <c r="A581" t="inlineStr">
        <is>
          <t>A 17560-2026</t>
        </is>
      </c>
      <c r="B581" s="1" t="n">
        <v>46120</v>
      </c>
      <c r="C581" s="1" t="n">
        <v>46200</v>
      </c>
      <c r="D581" t="inlineStr">
        <is>
          <t>JÄMTLANDS LÄN</t>
        </is>
      </c>
      <c r="E581" t="inlineStr">
        <is>
          <t>ÖSTERSUND</t>
        </is>
      </c>
      <c r="G581" t="n">
        <v>3.9</v>
      </c>
      <c r="H581" t="n">
        <v>0</v>
      </c>
      <c r="I581" t="n">
        <v>0</v>
      </c>
      <c r="J581" t="n">
        <v>0</v>
      </c>
      <c r="K581" t="n">
        <v>0</v>
      </c>
      <c r="L581" t="n">
        <v>0</v>
      </c>
      <c r="M581" t="n">
        <v>0</v>
      </c>
      <c r="N581" t="n">
        <v>0</v>
      </c>
      <c r="O581" t="n">
        <v>0</v>
      </c>
      <c r="P581" t="n">
        <v>0</v>
      </c>
      <c r="Q581" t="n">
        <v>0</v>
      </c>
      <c r="R581" s="2" t="inlineStr"/>
    </row>
    <row r="582" ht="15" customHeight="1">
      <c r="A582" t="inlineStr">
        <is>
          <t>A 23460-2026</t>
        </is>
      </c>
      <c r="B582" s="1" t="n">
        <v>46163</v>
      </c>
      <c r="C582" s="1" t="n">
        <v>46200</v>
      </c>
      <c r="D582" t="inlineStr">
        <is>
          <t>JÄMTLANDS LÄN</t>
        </is>
      </c>
      <c r="E582" t="inlineStr">
        <is>
          <t>ÖSTERSUND</t>
        </is>
      </c>
      <c r="G582" t="n">
        <v>4.7</v>
      </c>
      <c r="H582" t="n">
        <v>0</v>
      </c>
      <c r="I582" t="n">
        <v>0</v>
      </c>
      <c r="J582" t="n">
        <v>0</v>
      </c>
      <c r="K582" t="n">
        <v>0</v>
      </c>
      <c r="L582" t="n">
        <v>0</v>
      </c>
      <c r="M582" t="n">
        <v>0</v>
      </c>
      <c r="N582" t="n">
        <v>0</v>
      </c>
      <c r="O582" t="n">
        <v>0</v>
      </c>
      <c r="P582" t="n">
        <v>0</v>
      </c>
      <c r="Q582" t="n">
        <v>0</v>
      </c>
      <c r="R582" s="2" t="inlineStr"/>
    </row>
    <row r="583" ht="15" customHeight="1">
      <c r="A583" t="inlineStr">
        <is>
          <t>A 23484-2026</t>
        </is>
      </c>
      <c r="B583" s="1" t="n">
        <v>46163</v>
      </c>
      <c r="C583" s="1" t="n">
        <v>46200</v>
      </c>
      <c r="D583" t="inlineStr">
        <is>
          <t>JÄMTLANDS LÄN</t>
        </is>
      </c>
      <c r="E583" t="inlineStr">
        <is>
          <t>ÖSTERSUND</t>
        </is>
      </c>
      <c r="G583" t="n">
        <v>6.8</v>
      </c>
      <c r="H583" t="n">
        <v>0</v>
      </c>
      <c r="I583" t="n">
        <v>0</v>
      </c>
      <c r="J583" t="n">
        <v>0</v>
      </c>
      <c r="K583" t="n">
        <v>0</v>
      </c>
      <c r="L583" t="n">
        <v>0</v>
      </c>
      <c r="M583" t="n">
        <v>0</v>
      </c>
      <c r="N583" t="n">
        <v>0</v>
      </c>
      <c r="O583" t="n">
        <v>0</v>
      </c>
      <c r="P583" t="n">
        <v>0</v>
      </c>
      <c r="Q583" t="n">
        <v>0</v>
      </c>
      <c r="R583" s="2" t="inlineStr"/>
    </row>
    <row r="584" ht="15" customHeight="1">
      <c r="A584" t="inlineStr">
        <is>
          <t>A 23610-2026</t>
        </is>
      </c>
      <c r="B584" s="1" t="n">
        <v>46163</v>
      </c>
      <c r="C584" s="1" t="n">
        <v>46200</v>
      </c>
      <c r="D584" t="inlineStr">
        <is>
          <t>JÄMTLANDS LÄN</t>
        </is>
      </c>
      <c r="E584" t="inlineStr">
        <is>
          <t>ÖSTERSUND</t>
        </is>
      </c>
      <c r="G584" t="n">
        <v>7.8</v>
      </c>
      <c r="H584" t="n">
        <v>0</v>
      </c>
      <c r="I584" t="n">
        <v>0</v>
      </c>
      <c r="J584" t="n">
        <v>0</v>
      </c>
      <c r="K584" t="n">
        <v>0</v>
      </c>
      <c r="L584" t="n">
        <v>0</v>
      </c>
      <c r="M584" t="n">
        <v>0</v>
      </c>
      <c r="N584" t="n">
        <v>0</v>
      </c>
      <c r="O584" t="n">
        <v>0</v>
      </c>
      <c r="P584" t="n">
        <v>0</v>
      </c>
      <c r="Q584" t="n">
        <v>0</v>
      </c>
      <c r="R584" s="2" t="inlineStr"/>
    </row>
    <row r="585" ht="15" customHeight="1">
      <c r="A585" t="inlineStr">
        <is>
          <t>A 18065-2026</t>
        </is>
      </c>
      <c r="B585" s="1" t="n">
        <v>46125</v>
      </c>
      <c r="C585" s="1" t="n">
        <v>46200</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18410-2026</t>
        </is>
      </c>
      <c r="B586" s="1" t="n">
        <v>46126</v>
      </c>
      <c r="C586" s="1" t="n">
        <v>46200</v>
      </c>
      <c r="D586" t="inlineStr">
        <is>
          <t>JÄMTLANDS LÄN</t>
        </is>
      </c>
      <c r="E586" t="inlineStr">
        <is>
          <t>ÖSTERSUND</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17972-2026</t>
        </is>
      </c>
      <c r="B587" s="1" t="n">
        <v>46123</v>
      </c>
      <c r="C587" s="1" t="n">
        <v>46200</v>
      </c>
      <c r="D587" t="inlineStr">
        <is>
          <t>JÄMTLANDS LÄN</t>
        </is>
      </c>
      <c r="E587" t="inlineStr">
        <is>
          <t>ÖSTERSUND</t>
        </is>
      </c>
      <c r="G587" t="n">
        <v>6.3</v>
      </c>
      <c r="H587" t="n">
        <v>0</v>
      </c>
      <c r="I587" t="n">
        <v>0</v>
      </c>
      <c r="J587" t="n">
        <v>0</v>
      </c>
      <c r="K587" t="n">
        <v>0</v>
      </c>
      <c r="L587" t="n">
        <v>0</v>
      </c>
      <c r="M587" t="n">
        <v>0</v>
      </c>
      <c r="N587" t="n">
        <v>0</v>
      </c>
      <c r="O587" t="n">
        <v>0</v>
      </c>
      <c r="P587" t="n">
        <v>0</v>
      </c>
      <c r="Q587" t="n">
        <v>0</v>
      </c>
      <c r="R587" s="2" t="inlineStr"/>
    </row>
    <row r="588" ht="15" customHeight="1">
      <c r="A588" t="inlineStr">
        <is>
          <t>A 17973-2026</t>
        </is>
      </c>
      <c r="B588" s="1" t="n">
        <v>46123</v>
      </c>
      <c r="C588" s="1" t="n">
        <v>46200</v>
      </c>
      <c r="D588" t="inlineStr">
        <is>
          <t>JÄMTLANDS LÄN</t>
        </is>
      </c>
      <c r="E588" t="inlineStr">
        <is>
          <t>ÖSTERSUND</t>
        </is>
      </c>
      <c r="G588" t="n">
        <v>5.5</v>
      </c>
      <c r="H588" t="n">
        <v>0</v>
      </c>
      <c r="I588" t="n">
        <v>0</v>
      </c>
      <c r="J588" t="n">
        <v>0</v>
      </c>
      <c r="K588" t="n">
        <v>0</v>
      </c>
      <c r="L588" t="n">
        <v>0</v>
      </c>
      <c r="M588" t="n">
        <v>0</v>
      </c>
      <c r="N588" t="n">
        <v>0</v>
      </c>
      <c r="O588" t="n">
        <v>0</v>
      </c>
      <c r="P588" t="n">
        <v>0</v>
      </c>
      <c r="Q588" t="n">
        <v>0</v>
      </c>
      <c r="R588" s="2" t="inlineStr"/>
    </row>
    <row r="589" ht="15" customHeight="1">
      <c r="A589" t="inlineStr">
        <is>
          <t>A 18411-2026</t>
        </is>
      </c>
      <c r="B589" s="1" t="n">
        <v>46126</v>
      </c>
      <c r="C589" s="1" t="n">
        <v>46200</v>
      </c>
      <c r="D589" t="inlineStr">
        <is>
          <t>JÄMTLANDS LÄN</t>
        </is>
      </c>
      <c r="E589" t="inlineStr">
        <is>
          <t>ÖSTERSUND</t>
        </is>
      </c>
      <c r="F589" t="inlineStr">
        <is>
          <t>SCA</t>
        </is>
      </c>
      <c r="G589" t="n">
        <v>9.4</v>
      </c>
      <c r="H589" t="n">
        <v>0</v>
      </c>
      <c r="I589" t="n">
        <v>0</v>
      </c>
      <c r="J589" t="n">
        <v>0</v>
      </c>
      <c r="K589" t="n">
        <v>0</v>
      </c>
      <c r="L589" t="n">
        <v>0</v>
      </c>
      <c r="M589" t="n">
        <v>0</v>
      </c>
      <c r="N589" t="n">
        <v>0</v>
      </c>
      <c r="O589" t="n">
        <v>0</v>
      </c>
      <c r="P589" t="n">
        <v>0</v>
      </c>
      <c r="Q589" t="n">
        <v>0</v>
      </c>
      <c r="R589" s="2" t="inlineStr"/>
    </row>
    <row r="590" ht="15" customHeight="1">
      <c r="A590" t="inlineStr">
        <is>
          <t>A 18802-2026</t>
        </is>
      </c>
      <c r="B590" s="1" t="n">
        <v>46128</v>
      </c>
      <c r="C590" s="1" t="n">
        <v>46200</v>
      </c>
      <c r="D590" t="inlineStr">
        <is>
          <t>JÄMTLANDS LÄN</t>
        </is>
      </c>
      <c r="E590" t="inlineStr">
        <is>
          <t>ÖSTERSUND</t>
        </is>
      </c>
      <c r="G590" t="n">
        <v>3.4</v>
      </c>
      <c r="H590" t="n">
        <v>0</v>
      </c>
      <c r="I590" t="n">
        <v>0</v>
      </c>
      <c r="J590" t="n">
        <v>0</v>
      </c>
      <c r="K590" t="n">
        <v>0</v>
      </c>
      <c r="L590" t="n">
        <v>0</v>
      </c>
      <c r="M590" t="n">
        <v>0</v>
      </c>
      <c r="N590" t="n">
        <v>0</v>
      </c>
      <c r="O590" t="n">
        <v>0</v>
      </c>
      <c r="P590" t="n">
        <v>0</v>
      </c>
      <c r="Q590" t="n">
        <v>0</v>
      </c>
      <c r="R590" s="2" t="inlineStr"/>
    </row>
    <row r="591" ht="15" customHeight="1">
      <c r="A591" t="inlineStr">
        <is>
          <t>A 18700-2026</t>
        </is>
      </c>
      <c r="B591" s="1" t="n">
        <v>46128</v>
      </c>
      <c r="C591" s="1" t="n">
        <v>46200</v>
      </c>
      <c r="D591" t="inlineStr">
        <is>
          <t>JÄMTLANDS LÄN</t>
        </is>
      </c>
      <c r="E591" t="inlineStr">
        <is>
          <t>ÖSTERSUND</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19468-2026</t>
        </is>
      </c>
      <c r="B592" s="1" t="n">
        <v>46133</v>
      </c>
      <c r="C592" s="1" t="n">
        <v>46200</v>
      </c>
      <c r="D592" t="inlineStr">
        <is>
          <t>JÄMTLANDS LÄN</t>
        </is>
      </c>
      <c r="E592" t="inlineStr">
        <is>
          <t>ÖSTERSUND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19149-2026</t>
        </is>
      </c>
      <c r="B593" s="1" t="n">
        <v>46132</v>
      </c>
      <c r="C593" s="1" t="n">
        <v>46200</v>
      </c>
      <c r="D593" t="inlineStr">
        <is>
          <t>JÄMTLANDS LÄN</t>
        </is>
      </c>
      <c r="E593" t="inlineStr">
        <is>
          <t>ÖSTERSUND</t>
        </is>
      </c>
      <c r="G593" t="n">
        <v>2.5</v>
      </c>
      <c r="H593" t="n">
        <v>0</v>
      </c>
      <c r="I593" t="n">
        <v>0</v>
      </c>
      <c r="J593" t="n">
        <v>0</v>
      </c>
      <c r="K593" t="n">
        <v>0</v>
      </c>
      <c r="L593" t="n">
        <v>0</v>
      </c>
      <c r="M593" t="n">
        <v>0</v>
      </c>
      <c r="N593" t="n">
        <v>0</v>
      </c>
      <c r="O593" t="n">
        <v>0</v>
      </c>
      <c r="P593" t="n">
        <v>0</v>
      </c>
      <c r="Q593" t="n">
        <v>0</v>
      </c>
      <c r="R593" s="2" t="inlineStr"/>
    </row>
    <row r="594" ht="15" customHeight="1">
      <c r="A594" t="inlineStr">
        <is>
          <t>A 19162-2026</t>
        </is>
      </c>
      <c r="B594" s="1" t="n">
        <v>46132</v>
      </c>
      <c r="C594" s="1" t="n">
        <v>46200</v>
      </c>
      <c r="D594" t="inlineStr">
        <is>
          <t>JÄMTLANDS LÄN</t>
        </is>
      </c>
      <c r="E594" t="inlineStr">
        <is>
          <t>ÖSTERSUND</t>
        </is>
      </c>
      <c r="G594" t="n">
        <v>3.3</v>
      </c>
      <c r="H594" t="n">
        <v>0</v>
      </c>
      <c r="I594" t="n">
        <v>0</v>
      </c>
      <c r="J594" t="n">
        <v>0</v>
      </c>
      <c r="K594" t="n">
        <v>0</v>
      </c>
      <c r="L594" t="n">
        <v>0</v>
      </c>
      <c r="M594" t="n">
        <v>0</v>
      </c>
      <c r="N594" t="n">
        <v>0</v>
      </c>
      <c r="O594" t="n">
        <v>0</v>
      </c>
      <c r="P594" t="n">
        <v>0</v>
      </c>
      <c r="Q594" t="n">
        <v>0</v>
      </c>
      <c r="R594" s="2" t="inlineStr"/>
    </row>
    <row r="595" ht="15" customHeight="1">
      <c r="A595" t="inlineStr">
        <is>
          <t>A 25242-2026</t>
        </is>
      </c>
      <c r="B595" s="1" t="n">
        <v>46175</v>
      </c>
      <c r="C595" s="1" t="n">
        <v>46200</v>
      </c>
      <c r="D595" t="inlineStr">
        <is>
          <t>JÄMTLANDS LÄN</t>
        </is>
      </c>
      <c r="E595" t="inlineStr">
        <is>
          <t>ÖSTERSUND</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19789-2026</t>
        </is>
      </c>
      <c r="B596" s="1" t="n">
        <v>46135</v>
      </c>
      <c r="C596" s="1" t="n">
        <v>46200</v>
      </c>
      <c r="D596" t="inlineStr">
        <is>
          <t>JÄMTLANDS LÄN</t>
        </is>
      </c>
      <c r="E596" t="inlineStr">
        <is>
          <t>ÖSTERSUND</t>
        </is>
      </c>
      <c r="G596" t="n">
        <v>2.7</v>
      </c>
      <c r="H596" t="n">
        <v>0</v>
      </c>
      <c r="I596" t="n">
        <v>0</v>
      </c>
      <c r="J596" t="n">
        <v>0</v>
      </c>
      <c r="K596" t="n">
        <v>0</v>
      </c>
      <c r="L596" t="n">
        <v>0</v>
      </c>
      <c r="M596" t="n">
        <v>0</v>
      </c>
      <c r="N596" t="n">
        <v>0</v>
      </c>
      <c r="O596" t="n">
        <v>0</v>
      </c>
      <c r="P596" t="n">
        <v>0</v>
      </c>
      <c r="Q596" t="n">
        <v>0</v>
      </c>
      <c r="R596" s="2" t="inlineStr"/>
    </row>
    <row r="597" ht="15" customHeight="1">
      <c r="A597" t="inlineStr">
        <is>
          <t>A 19881-2026</t>
        </is>
      </c>
      <c r="B597" s="1" t="n">
        <v>46135</v>
      </c>
      <c r="C597" s="1" t="n">
        <v>46200</v>
      </c>
      <c r="D597" t="inlineStr">
        <is>
          <t>JÄMTLANDS LÄN</t>
        </is>
      </c>
      <c r="E597" t="inlineStr">
        <is>
          <t>ÖSTERSUND</t>
        </is>
      </c>
      <c r="G597" t="n">
        <v>3.4</v>
      </c>
      <c r="H597" t="n">
        <v>0</v>
      </c>
      <c r="I597" t="n">
        <v>0</v>
      </c>
      <c r="J597" t="n">
        <v>0</v>
      </c>
      <c r="K597" t="n">
        <v>0</v>
      </c>
      <c r="L597" t="n">
        <v>0</v>
      </c>
      <c r="M597" t="n">
        <v>0</v>
      </c>
      <c r="N597" t="n">
        <v>0</v>
      </c>
      <c r="O597" t="n">
        <v>0</v>
      </c>
      <c r="P597" t="n">
        <v>0</v>
      </c>
      <c r="Q597" t="n">
        <v>0</v>
      </c>
      <c r="R597" s="2" t="inlineStr"/>
    </row>
    <row r="598" ht="15" customHeight="1">
      <c r="A598" t="inlineStr">
        <is>
          <t>A 61267-2025</t>
        </is>
      </c>
      <c r="B598" s="1" t="n">
        <v>46000</v>
      </c>
      <c r="C598" s="1" t="n">
        <v>46200</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53378-2023</t>
        </is>
      </c>
      <c r="B599" s="1" t="n">
        <v>45223</v>
      </c>
      <c r="C599" s="1" t="n">
        <v>46200</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721-2026</t>
        </is>
      </c>
      <c r="B600" s="1" t="n">
        <v>46029</v>
      </c>
      <c r="C600" s="1" t="n">
        <v>46200</v>
      </c>
      <c r="D600" t="inlineStr">
        <is>
          <t>JÄMTLANDS LÄN</t>
        </is>
      </c>
      <c r="E600" t="inlineStr">
        <is>
          <t>ÖSTERSUND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19914-2026</t>
        </is>
      </c>
      <c r="B601" s="1" t="n">
        <v>46136</v>
      </c>
      <c r="C601" s="1" t="n">
        <v>46200</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33779-2024</t>
        </is>
      </c>
      <c r="B602" s="1" t="n">
        <v>45520</v>
      </c>
      <c r="C602" s="1" t="n">
        <v>46200</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20375-2026</t>
        </is>
      </c>
      <c r="B603" s="1" t="n">
        <v>46139</v>
      </c>
      <c r="C603" s="1" t="n">
        <v>46200</v>
      </c>
      <c r="D603" t="inlineStr">
        <is>
          <t>JÄMTLANDS LÄN</t>
        </is>
      </c>
      <c r="E603" t="inlineStr">
        <is>
          <t>ÖSTERSUND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52913-2021</t>
        </is>
      </c>
      <c r="B604" s="1" t="n">
        <v>44466</v>
      </c>
      <c r="C604" s="1" t="n">
        <v>46200</v>
      </c>
      <c r="D604" t="inlineStr">
        <is>
          <t>JÄMTLANDS LÄN</t>
        </is>
      </c>
      <c r="E604" t="inlineStr">
        <is>
          <t>ÖSTERSUND</t>
        </is>
      </c>
      <c r="G604" t="n">
        <v>4.2</v>
      </c>
      <c r="H604" t="n">
        <v>0</v>
      </c>
      <c r="I604" t="n">
        <v>0</v>
      </c>
      <c r="J604" t="n">
        <v>0</v>
      </c>
      <c r="K604" t="n">
        <v>0</v>
      </c>
      <c r="L604" t="n">
        <v>0</v>
      </c>
      <c r="M604" t="n">
        <v>0</v>
      </c>
      <c r="N604" t="n">
        <v>0</v>
      </c>
      <c r="O604" t="n">
        <v>0</v>
      </c>
      <c r="P604" t="n">
        <v>0</v>
      </c>
      <c r="Q604" t="n">
        <v>0</v>
      </c>
      <c r="R604" s="2" t="inlineStr"/>
    </row>
    <row r="605" ht="15" customHeight="1">
      <c r="A605" t="inlineStr">
        <is>
          <t>A 62623-2025</t>
        </is>
      </c>
      <c r="B605" s="1" t="n">
        <v>46008</v>
      </c>
      <c r="C605" s="1" t="n">
        <v>46200</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20369-2026</t>
        </is>
      </c>
      <c r="B606" s="1" t="n">
        <v>46139</v>
      </c>
      <c r="C606" s="1" t="n">
        <v>46200</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20174-2026</t>
        </is>
      </c>
      <c r="B607" s="1" t="n">
        <v>46139</v>
      </c>
      <c r="C607" s="1" t="n">
        <v>46200</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6067-2025</t>
        </is>
      </c>
      <c r="B608" s="1" t="n">
        <v>45696</v>
      </c>
      <c r="C608" s="1" t="n">
        <v>46200</v>
      </c>
      <c r="D608" t="inlineStr">
        <is>
          <t>JÄMTLANDS LÄN</t>
        </is>
      </c>
      <c r="E608" t="inlineStr">
        <is>
          <t>ÖSTERSUND</t>
        </is>
      </c>
      <c r="G608" t="n">
        <v>2.1</v>
      </c>
      <c r="H608" t="n">
        <v>0</v>
      </c>
      <c r="I608" t="n">
        <v>0</v>
      </c>
      <c r="J608" t="n">
        <v>0</v>
      </c>
      <c r="K608" t="n">
        <v>0</v>
      </c>
      <c r="L608" t="n">
        <v>0</v>
      </c>
      <c r="M608" t="n">
        <v>0</v>
      </c>
      <c r="N608" t="n">
        <v>0</v>
      </c>
      <c r="O608" t="n">
        <v>0</v>
      </c>
      <c r="P608" t="n">
        <v>0</v>
      </c>
      <c r="Q608" t="n">
        <v>0</v>
      </c>
      <c r="R608" s="2" t="inlineStr"/>
    </row>
    <row r="609" ht="15" customHeight="1">
      <c r="A609" t="inlineStr">
        <is>
          <t>A 32368-2025</t>
        </is>
      </c>
      <c r="B609" s="1" t="n">
        <v>45837</v>
      </c>
      <c r="C609" s="1" t="n">
        <v>46200</v>
      </c>
      <c r="D609" t="inlineStr">
        <is>
          <t>JÄMTLANDS LÄN</t>
        </is>
      </c>
      <c r="E609" t="inlineStr">
        <is>
          <t>ÖSTERSUND</t>
        </is>
      </c>
      <c r="F609" t="inlineStr">
        <is>
          <t>Övriga Aktiebolag</t>
        </is>
      </c>
      <c r="G609" t="n">
        <v>19.5</v>
      </c>
      <c r="H609" t="n">
        <v>0</v>
      </c>
      <c r="I609" t="n">
        <v>0</v>
      </c>
      <c r="J609" t="n">
        <v>0</v>
      </c>
      <c r="K609" t="n">
        <v>0</v>
      </c>
      <c r="L609" t="n">
        <v>0</v>
      </c>
      <c r="M609" t="n">
        <v>0</v>
      </c>
      <c r="N609" t="n">
        <v>0</v>
      </c>
      <c r="O609" t="n">
        <v>0</v>
      </c>
      <c r="P609" t="n">
        <v>0</v>
      </c>
      <c r="Q609" t="n">
        <v>0</v>
      </c>
      <c r="R609" s="2" t="inlineStr"/>
    </row>
    <row r="610" ht="15" customHeight="1">
      <c r="A610" t="inlineStr">
        <is>
          <t>A 33808-2022</t>
        </is>
      </c>
      <c r="B610" s="1" t="n">
        <v>44790</v>
      </c>
      <c r="C610" s="1" t="n">
        <v>46200</v>
      </c>
      <c r="D610" t="inlineStr">
        <is>
          <t>JÄMTLANDS LÄN</t>
        </is>
      </c>
      <c r="E610" t="inlineStr">
        <is>
          <t>ÖSTERSUND</t>
        </is>
      </c>
      <c r="G610" t="n">
        <v>4.1</v>
      </c>
      <c r="H610" t="n">
        <v>0</v>
      </c>
      <c r="I610" t="n">
        <v>0</v>
      </c>
      <c r="J610" t="n">
        <v>0</v>
      </c>
      <c r="K610" t="n">
        <v>0</v>
      </c>
      <c r="L610" t="n">
        <v>0</v>
      </c>
      <c r="M610" t="n">
        <v>0</v>
      </c>
      <c r="N610" t="n">
        <v>0</v>
      </c>
      <c r="O610" t="n">
        <v>0</v>
      </c>
      <c r="P610" t="n">
        <v>0</v>
      </c>
      <c r="Q610" t="n">
        <v>0</v>
      </c>
      <c r="R610" s="2" t="inlineStr"/>
    </row>
    <row r="611" ht="15" customHeight="1">
      <c r="A611" t="inlineStr">
        <is>
          <t>A 26570-2026</t>
        </is>
      </c>
      <c r="B611" s="1" t="n">
        <v>46183</v>
      </c>
      <c r="C611" s="1" t="n">
        <v>46200</v>
      </c>
      <c r="D611" t="inlineStr">
        <is>
          <t>JÄMTLANDS LÄN</t>
        </is>
      </c>
      <c r="E611" t="inlineStr">
        <is>
          <t>ÖSTERSUND</t>
        </is>
      </c>
      <c r="G611" t="n">
        <v>23.7</v>
      </c>
      <c r="H611" t="n">
        <v>0</v>
      </c>
      <c r="I611" t="n">
        <v>0</v>
      </c>
      <c r="J611" t="n">
        <v>0</v>
      </c>
      <c r="K611" t="n">
        <v>0</v>
      </c>
      <c r="L611" t="n">
        <v>0</v>
      </c>
      <c r="M611" t="n">
        <v>0</v>
      </c>
      <c r="N611" t="n">
        <v>0</v>
      </c>
      <c r="O611" t="n">
        <v>0</v>
      </c>
      <c r="P611" t="n">
        <v>0</v>
      </c>
      <c r="Q611" t="n">
        <v>0</v>
      </c>
      <c r="R611" s="2" t="inlineStr"/>
    </row>
    <row r="612" ht="15" customHeight="1">
      <c r="A612" t="inlineStr">
        <is>
          <t>A 26568-2026</t>
        </is>
      </c>
      <c r="B612" s="1" t="n">
        <v>46183</v>
      </c>
      <c r="C612" s="1" t="n">
        <v>46200</v>
      </c>
      <c r="D612" t="inlineStr">
        <is>
          <t>JÄMTLANDS LÄN</t>
        </is>
      </c>
      <c r="E612" t="inlineStr">
        <is>
          <t>ÖSTERSUND</t>
        </is>
      </c>
      <c r="G612" t="n">
        <v>3.5</v>
      </c>
      <c r="H612" t="n">
        <v>0</v>
      </c>
      <c r="I612" t="n">
        <v>0</v>
      </c>
      <c r="J612" t="n">
        <v>0</v>
      </c>
      <c r="K612" t="n">
        <v>0</v>
      </c>
      <c r="L612" t="n">
        <v>0</v>
      </c>
      <c r="M612" t="n">
        <v>0</v>
      </c>
      <c r="N612" t="n">
        <v>0</v>
      </c>
      <c r="O612" t="n">
        <v>0</v>
      </c>
      <c r="P612" t="n">
        <v>0</v>
      </c>
      <c r="Q612" t="n">
        <v>0</v>
      </c>
      <c r="R612" s="2" t="inlineStr"/>
    </row>
    <row r="613" ht="15" customHeight="1">
      <c r="A613" t="inlineStr">
        <is>
          <t>A 20913-2026</t>
        </is>
      </c>
      <c r="B613" s="1" t="n">
        <v>46142</v>
      </c>
      <c r="C613" s="1" t="n">
        <v>46200</v>
      </c>
      <c r="D613" t="inlineStr">
        <is>
          <t>JÄMTLANDS LÄN</t>
        </is>
      </c>
      <c r="E613" t="inlineStr">
        <is>
          <t>ÖSTERSUND</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26782-2026</t>
        </is>
      </c>
      <c r="B614" s="1" t="n">
        <v>46184</v>
      </c>
      <c r="C614" s="1" t="n">
        <v>46200</v>
      </c>
      <c r="D614" t="inlineStr">
        <is>
          <t>JÄMTLANDS LÄN</t>
        </is>
      </c>
      <c r="E614" t="inlineStr">
        <is>
          <t>ÖSTERSUND</t>
        </is>
      </c>
      <c r="G614" t="n">
        <v>1.6</v>
      </c>
      <c r="H614" t="n">
        <v>0</v>
      </c>
      <c r="I614" t="n">
        <v>0</v>
      </c>
      <c r="J614" t="n">
        <v>0</v>
      </c>
      <c r="K614" t="n">
        <v>0</v>
      </c>
      <c r="L614" t="n">
        <v>0</v>
      </c>
      <c r="M614" t="n">
        <v>0</v>
      </c>
      <c r="N614" t="n">
        <v>0</v>
      </c>
      <c r="O614" t="n">
        <v>0</v>
      </c>
      <c r="P614" t="n">
        <v>0</v>
      </c>
      <c r="Q614" t="n">
        <v>0</v>
      </c>
      <c r="R614" s="2" t="inlineStr"/>
    </row>
    <row r="615" ht="15" customHeight="1">
      <c r="A615" t="inlineStr">
        <is>
          <t>A 27269-2026</t>
        </is>
      </c>
      <c r="B615" s="1" t="n">
        <v>46184</v>
      </c>
      <c r="C615" s="1" t="n">
        <v>46200</v>
      </c>
      <c r="D615" t="inlineStr">
        <is>
          <t>JÄMTLANDS LÄN</t>
        </is>
      </c>
      <c r="E615" t="inlineStr">
        <is>
          <t>ÖSTERSUND</t>
        </is>
      </c>
      <c r="G615" t="n">
        <v>2.5</v>
      </c>
      <c r="H615" t="n">
        <v>0</v>
      </c>
      <c r="I615" t="n">
        <v>0</v>
      </c>
      <c r="J615" t="n">
        <v>0</v>
      </c>
      <c r="K615" t="n">
        <v>0</v>
      </c>
      <c r="L615" t="n">
        <v>0</v>
      </c>
      <c r="M615" t="n">
        <v>0</v>
      </c>
      <c r="N615" t="n">
        <v>0</v>
      </c>
      <c r="O615" t="n">
        <v>0</v>
      </c>
      <c r="P615" t="n">
        <v>0</v>
      </c>
      <c r="Q615" t="n">
        <v>0</v>
      </c>
      <c r="R615" s="2" t="inlineStr"/>
    </row>
    <row r="616" ht="15" customHeight="1">
      <c r="A616" t="inlineStr">
        <is>
          <t>A 27261-2026</t>
        </is>
      </c>
      <c r="B616" s="1" t="n">
        <v>46188</v>
      </c>
      <c r="C616" s="1" t="n">
        <v>46200</v>
      </c>
      <c r="D616" t="inlineStr">
        <is>
          <t>JÄMTLANDS LÄN</t>
        </is>
      </c>
      <c r="E616" t="inlineStr">
        <is>
          <t>ÖSTERSUND</t>
        </is>
      </c>
      <c r="G616" t="n">
        <v>2.3</v>
      </c>
      <c r="H616" t="n">
        <v>0</v>
      </c>
      <c r="I616" t="n">
        <v>0</v>
      </c>
      <c r="J616" t="n">
        <v>0</v>
      </c>
      <c r="K616" t="n">
        <v>0</v>
      </c>
      <c r="L616" t="n">
        <v>0</v>
      </c>
      <c r="M616" t="n">
        <v>0</v>
      </c>
      <c r="N616" t="n">
        <v>0</v>
      </c>
      <c r="O616" t="n">
        <v>0</v>
      </c>
      <c r="P616" t="n">
        <v>0</v>
      </c>
      <c r="Q616" t="n">
        <v>0</v>
      </c>
      <c r="R616" s="2" t="inlineStr"/>
    </row>
    <row r="617" ht="15" customHeight="1">
      <c r="A617" t="inlineStr">
        <is>
          <t>A 27881-2026</t>
        </is>
      </c>
      <c r="B617" s="1" t="n">
        <v>46191</v>
      </c>
      <c r="C617" s="1" t="n">
        <v>46200</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27636-2026</t>
        </is>
      </c>
      <c r="B618" s="1" t="n">
        <v>46190</v>
      </c>
      <c r="C618" s="1" t="n">
        <v>46200</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27625-2026</t>
        </is>
      </c>
      <c r="B619" s="1" t="n">
        <v>46190</v>
      </c>
      <c r="C619" s="1" t="n">
        <v>46200</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27653-2026</t>
        </is>
      </c>
      <c r="B620" s="1" t="n">
        <v>46190</v>
      </c>
      <c r="C620" s="1" t="n">
        <v>46200</v>
      </c>
      <c r="D620" t="inlineStr">
        <is>
          <t>JÄMTLANDS LÄN</t>
        </is>
      </c>
      <c r="E620" t="inlineStr">
        <is>
          <t>ÖSTERSUND</t>
        </is>
      </c>
      <c r="G620" t="n">
        <v>4.2</v>
      </c>
      <c r="H620" t="n">
        <v>0</v>
      </c>
      <c r="I620" t="n">
        <v>0</v>
      </c>
      <c r="J620" t="n">
        <v>0</v>
      </c>
      <c r="K620" t="n">
        <v>0</v>
      </c>
      <c r="L620" t="n">
        <v>0</v>
      </c>
      <c r="M620" t="n">
        <v>0</v>
      </c>
      <c r="N620" t="n">
        <v>0</v>
      </c>
      <c r="O620" t="n">
        <v>0</v>
      </c>
      <c r="P620" t="n">
        <v>0</v>
      </c>
      <c r="Q620" t="n">
        <v>0</v>
      </c>
      <c r="R620" s="2" t="inlineStr"/>
    </row>
    <row r="621" ht="15" customHeight="1">
      <c r="A621" t="inlineStr">
        <is>
          <t>A 22108-2026</t>
        </is>
      </c>
      <c r="B621" s="1" t="n">
        <v>46153</v>
      </c>
      <c r="C621" s="1" t="n">
        <v>46200</v>
      </c>
      <c r="D621" t="inlineStr">
        <is>
          <t>JÄMTLANDS LÄN</t>
        </is>
      </c>
      <c r="E621" t="inlineStr">
        <is>
          <t>ÖSTERSUND</t>
        </is>
      </c>
      <c r="G621" t="n">
        <v>1.8</v>
      </c>
      <c r="H621" t="n">
        <v>0</v>
      </c>
      <c r="I621" t="n">
        <v>0</v>
      </c>
      <c r="J621" t="n">
        <v>0</v>
      </c>
      <c r="K621" t="n">
        <v>0</v>
      </c>
      <c r="L621" t="n">
        <v>0</v>
      </c>
      <c r="M621" t="n">
        <v>0</v>
      </c>
      <c r="N621" t="n">
        <v>0</v>
      </c>
      <c r="O621" t="n">
        <v>0</v>
      </c>
      <c r="P621" t="n">
        <v>0</v>
      </c>
      <c r="Q621" t="n">
        <v>0</v>
      </c>
      <c r="R621" s="2" t="inlineStr"/>
    </row>
    <row r="622" ht="15" customHeight="1">
      <c r="A622" t="inlineStr">
        <is>
          <t>A 25933-2026</t>
        </is>
      </c>
      <c r="B622" s="1" t="n">
        <v>46180</v>
      </c>
      <c r="C622" s="1" t="n">
        <v>46200</v>
      </c>
      <c r="D622" t="inlineStr">
        <is>
          <t>JÄMTLANDS LÄN</t>
        </is>
      </c>
      <c r="E622" t="inlineStr">
        <is>
          <t>ÖSTERSUND</t>
        </is>
      </c>
      <c r="G622" t="n">
        <v>13.9</v>
      </c>
      <c r="H622" t="n">
        <v>0</v>
      </c>
      <c r="I622" t="n">
        <v>0</v>
      </c>
      <c r="J622" t="n">
        <v>0</v>
      </c>
      <c r="K622" t="n">
        <v>0</v>
      </c>
      <c r="L622" t="n">
        <v>0</v>
      </c>
      <c r="M622" t="n">
        <v>0</v>
      </c>
      <c r="N622" t="n">
        <v>0</v>
      </c>
      <c r="O622" t="n">
        <v>0</v>
      </c>
      <c r="P622" t="n">
        <v>0</v>
      </c>
      <c r="Q622" t="n">
        <v>0</v>
      </c>
      <c r="R622" s="2" t="inlineStr"/>
    </row>
    <row r="623" ht="15" customHeight="1">
      <c r="A623" t="inlineStr">
        <is>
          <t>A 28104-2026</t>
        </is>
      </c>
      <c r="B623" s="1" t="n">
        <v>46195</v>
      </c>
      <c r="C623" s="1" t="n">
        <v>46200</v>
      </c>
      <c r="D623" t="inlineStr">
        <is>
          <t>JÄMTLANDS LÄN</t>
        </is>
      </c>
      <c r="E623" t="inlineStr">
        <is>
          <t>ÖSTERSUND</t>
        </is>
      </c>
      <c r="G623" t="n">
        <v>7.8</v>
      </c>
      <c r="H623" t="n">
        <v>0</v>
      </c>
      <c r="I623" t="n">
        <v>0</v>
      </c>
      <c r="J623" t="n">
        <v>0</v>
      </c>
      <c r="K623" t="n">
        <v>0</v>
      </c>
      <c r="L623" t="n">
        <v>0</v>
      </c>
      <c r="M623" t="n">
        <v>0</v>
      </c>
      <c r="N623" t="n">
        <v>0</v>
      </c>
      <c r="O623" t="n">
        <v>0</v>
      </c>
      <c r="P623" t="n">
        <v>0</v>
      </c>
      <c r="Q623" t="n">
        <v>0</v>
      </c>
      <c r="R623" s="2" t="inlineStr"/>
    </row>
    <row r="624" ht="15" customHeight="1">
      <c r="A624" t="inlineStr">
        <is>
          <t>A 28059-2026</t>
        </is>
      </c>
      <c r="B624" s="1" t="n">
        <v>46195</v>
      </c>
      <c r="C624" s="1" t="n">
        <v>46200</v>
      </c>
      <c r="D624" t="inlineStr">
        <is>
          <t>JÄMTLANDS LÄN</t>
        </is>
      </c>
      <c r="E624" t="inlineStr">
        <is>
          <t>ÖSTERSUND</t>
        </is>
      </c>
      <c r="G624" t="n">
        <v>7</v>
      </c>
      <c r="H624" t="n">
        <v>0</v>
      </c>
      <c r="I624" t="n">
        <v>0</v>
      </c>
      <c r="J624" t="n">
        <v>0</v>
      </c>
      <c r="K624" t="n">
        <v>0</v>
      </c>
      <c r="L624" t="n">
        <v>0</v>
      </c>
      <c r="M624" t="n">
        <v>0</v>
      </c>
      <c r="N624" t="n">
        <v>0</v>
      </c>
      <c r="O624" t="n">
        <v>0</v>
      </c>
      <c r="P624" t="n">
        <v>0</v>
      </c>
      <c r="Q624" t="n">
        <v>0</v>
      </c>
      <c r="R624" s="2" t="inlineStr"/>
    </row>
    <row r="625" ht="15" customHeight="1">
      <c r="A625" t="inlineStr">
        <is>
          <t>A 21861-2026</t>
        </is>
      </c>
      <c r="B625" s="1" t="n">
        <v>46150</v>
      </c>
      <c r="C625" s="1" t="n">
        <v>46200</v>
      </c>
      <c r="D625" t="inlineStr">
        <is>
          <t>JÄMTLANDS LÄN</t>
        </is>
      </c>
      <c r="E625" t="inlineStr">
        <is>
          <t>ÖSTERSUND</t>
        </is>
      </c>
      <c r="G625" t="n">
        <v>9.4</v>
      </c>
      <c r="H625" t="n">
        <v>0</v>
      </c>
      <c r="I625" t="n">
        <v>0</v>
      </c>
      <c r="J625" t="n">
        <v>0</v>
      </c>
      <c r="K625" t="n">
        <v>0</v>
      </c>
      <c r="L625" t="n">
        <v>0</v>
      </c>
      <c r="M625" t="n">
        <v>0</v>
      </c>
      <c r="N625" t="n">
        <v>0</v>
      </c>
      <c r="O625" t="n">
        <v>0</v>
      </c>
      <c r="P625" t="n">
        <v>0</v>
      </c>
      <c r="Q625" t="n">
        <v>0</v>
      </c>
      <c r="R625" s="2" t="inlineStr"/>
    </row>
    <row r="626" ht="15" customHeight="1">
      <c r="A626" t="inlineStr">
        <is>
          <t>A 28050-2026</t>
        </is>
      </c>
      <c r="B626" s="1" t="n">
        <v>46195</v>
      </c>
      <c r="C626" s="1" t="n">
        <v>46200</v>
      </c>
      <c r="D626" t="inlineStr">
        <is>
          <t>JÄMTLANDS LÄN</t>
        </is>
      </c>
      <c r="E626" t="inlineStr">
        <is>
          <t>ÖSTERSUND</t>
        </is>
      </c>
      <c r="G626" t="n">
        <v>5.4</v>
      </c>
      <c r="H626" t="n">
        <v>0</v>
      </c>
      <c r="I626" t="n">
        <v>0</v>
      </c>
      <c r="J626" t="n">
        <v>0</v>
      </c>
      <c r="K626" t="n">
        <v>0</v>
      </c>
      <c r="L626" t="n">
        <v>0</v>
      </c>
      <c r="M626" t="n">
        <v>0</v>
      </c>
      <c r="N626" t="n">
        <v>0</v>
      </c>
      <c r="O626" t="n">
        <v>0</v>
      </c>
      <c r="P626" t="n">
        <v>0</v>
      </c>
      <c r="Q626" t="n">
        <v>0</v>
      </c>
      <c r="R626" s="2" t="inlineStr"/>
    </row>
    <row r="627" ht="15" customHeight="1">
      <c r="A627" t="inlineStr">
        <is>
          <t>A 21854-2026</t>
        </is>
      </c>
      <c r="B627" s="1" t="n">
        <v>46150</v>
      </c>
      <c r="C627" s="1" t="n">
        <v>46200</v>
      </c>
      <c r="D627" t="inlineStr">
        <is>
          <t>JÄMTLANDS LÄN</t>
        </is>
      </c>
      <c r="E627" t="inlineStr">
        <is>
          <t>ÖSTERSUND</t>
        </is>
      </c>
      <c r="G627" t="n">
        <v>6.4</v>
      </c>
      <c r="H627" t="n">
        <v>0</v>
      </c>
      <c r="I627" t="n">
        <v>0</v>
      </c>
      <c r="J627" t="n">
        <v>0</v>
      </c>
      <c r="K627" t="n">
        <v>0</v>
      </c>
      <c r="L627" t="n">
        <v>0</v>
      </c>
      <c r="M627" t="n">
        <v>0</v>
      </c>
      <c r="N627" t="n">
        <v>0</v>
      </c>
      <c r="O627" t="n">
        <v>0</v>
      </c>
      <c r="P627" t="n">
        <v>0</v>
      </c>
      <c r="Q627" t="n">
        <v>0</v>
      </c>
      <c r="R627" s="2" t="inlineStr"/>
    </row>
    <row r="628" ht="15" customHeight="1">
      <c r="A628" t="inlineStr">
        <is>
          <t>A 21866-2026</t>
        </is>
      </c>
      <c r="B628" s="1" t="n">
        <v>46150</v>
      </c>
      <c r="C628" s="1" t="n">
        <v>46200</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5024-2025</t>
        </is>
      </c>
      <c r="B629" s="1" t="n">
        <v>45691</v>
      </c>
      <c r="C629" s="1" t="n">
        <v>46200</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5549-2025</t>
        </is>
      </c>
      <c r="B630" s="1" t="n">
        <v>45693</v>
      </c>
      <c r="C630" s="1" t="n">
        <v>46200</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22385-2026</t>
        </is>
      </c>
      <c r="B631" s="1" t="n">
        <v>46154</v>
      </c>
      <c r="C631" s="1" t="n">
        <v>46200</v>
      </c>
      <c r="D631" t="inlineStr">
        <is>
          <t>JÄMTLANDS LÄN</t>
        </is>
      </c>
      <c r="E631" t="inlineStr">
        <is>
          <t>ÖSTERSUND</t>
        </is>
      </c>
      <c r="F631" t="inlineStr">
        <is>
          <t>SCA</t>
        </is>
      </c>
      <c r="G631" t="n">
        <v>6.6</v>
      </c>
      <c r="H631" t="n">
        <v>0</v>
      </c>
      <c r="I631" t="n">
        <v>0</v>
      </c>
      <c r="J631" t="n">
        <v>0</v>
      </c>
      <c r="K631" t="n">
        <v>0</v>
      </c>
      <c r="L631" t="n">
        <v>0</v>
      </c>
      <c r="M631" t="n">
        <v>0</v>
      </c>
      <c r="N631" t="n">
        <v>0</v>
      </c>
      <c r="O631" t="n">
        <v>0</v>
      </c>
      <c r="P631" t="n">
        <v>0</v>
      </c>
      <c r="Q631" t="n">
        <v>0</v>
      </c>
      <c r="R631" s="2" t="inlineStr"/>
    </row>
    <row r="632">
      <c r="A632" t="inlineStr">
        <is>
          <t>A 22677-2026</t>
        </is>
      </c>
      <c r="B632" s="1" t="n">
        <v>46156</v>
      </c>
      <c r="C632" s="1" t="n">
        <v>46200</v>
      </c>
      <c r="D632" t="inlineStr">
        <is>
          <t>JÄMTLANDS LÄN</t>
        </is>
      </c>
      <c r="E632" t="inlineStr">
        <is>
          <t>ÖSTERSUND</t>
        </is>
      </c>
      <c r="F632" t="inlineStr">
        <is>
          <t>SCA</t>
        </is>
      </c>
      <c r="G632" t="n">
        <v>2.2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2026-06-27T00:54:04Z</dcterms:created>
  <dcterms:modified xmlns:dcterms="http://purl.org/dc/terms/" xmlns:xsi="http://www.w3.org/2001/XMLSchema-instance" xsi:type="dcterms:W3CDTF">2026-06-27T00:54:04Z</dcterms:modified>
</cp:coreProperties>
</file>