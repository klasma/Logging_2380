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46050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46050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46050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46050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46050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46050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46050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46050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46050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46050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46050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46050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46050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46050</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46050</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46050</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46050</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46050</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46050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46050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46050</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46050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46050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46050</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46050</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7457-2023</t>
        </is>
      </c>
      <c r="B28" s="1" t="n">
        <v>44971</v>
      </c>
      <c r="C28" s="1" t="n">
        <v>46050</v>
      </c>
      <c r="D28" t="inlineStr">
        <is>
          <t>JÄMTLANDS LÄN</t>
        </is>
      </c>
      <c r="E28" t="inlineStr">
        <is>
          <t>ÖSTERSUND</t>
        </is>
      </c>
      <c r="F28" t="inlineStr">
        <is>
          <t>Kommuner</t>
        </is>
      </c>
      <c r="G28" t="n">
        <v>2.5</v>
      </c>
      <c r="H28" t="n">
        <v>0</v>
      </c>
      <c r="I28" t="n">
        <v>3</v>
      </c>
      <c r="J28" t="n">
        <v>6</v>
      </c>
      <c r="K28" t="n">
        <v>1</v>
      </c>
      <c r="L28" t="n">
        <v>0</v>
      </c>
      <c r="M28" t="n">
        <v>0</v>
      </c>
      <c r="N28" t="n">
        <v>0</v>
      </c>
      <c r="O28" t="n">
        <v>7</v>
      </c>
      <c r="P28" t="n">
        <v>1</v>
      </c>
      <c r="Q28" t="n">
        <v>10</v>
      </c>
      <c r="R28" s="2" t="inlineStr">
        <is>
          <t>Ruttaggsvamp
Frygisk spindling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61766-2024</t>
        </is>
      </c>
      <c r="B29" s="1" t="n">
        <v>45649</v>
      </c>
      <c r="C29" s="1" t="n">
        <v>46050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46050</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46050</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16845-2025</t>
        </is>
      </c>
      <c r="B32" s="1" t="n">
        <v>45754.67761574074</v>
      </c>
      <c r="C32" s="1" t="n">
        <v>46050</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27907-2024</t>
        </is>
      </c>
      <c r="B33" s="1" t="n">
        <v>45475.94597222222</v>
      </c>
      <c r="C33" s="1" t="n">
        <v>46050</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45224-2024</t>
        </is>
      </c>
      <c r="B34" s="1" t="n">
        <v>45575.77440972222</v>
      </c>
      <c r="C34" s="1" t="n">
        <v>46050</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51908-2025</t>
        </is>
      </c>
      <c r="B35" s="1" t="n">
        <v>45952.46650462963</v>
      </c>
      <c r="C35" s="1" t="n">
        <v>46050</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34816-2024</t>
        </is>
      </c>
      <c r="B36" s="1" t="n">
        <v>45526</v>
      </c>
      <c r="C36" s="1" t="n">
        <v>46050</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21753-2023</t>
        </is>
      </c>
      <c r="B37" s="1" t="n">
        <v>45063</v>
      </c>
      <c r="C37" s="1" t="n">
        <v>46050</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17716-2024</t>
        </is>
      </c>
      <c r="B38" s="1" t="n">
        <v>45415</v>
      </c>
      <c r="C38" s="1" t="n">
        <v>46050</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63193-2025</t>
        </is>
      </c>
      <c r="B39" s="1" t="n">
        <v>46010.45428240741</v>
      </c>
      <c r="C39" s="1" t="n">
        <v>46050</v>
      </c>
      <c r="D39" t="inlineStr">
        <is>
          <t>JÄMTLANDS LÄN</t>
        </is>
      </c>
      <c r="E39" t="inlineStr">
        <is>
          <t>ÖSTERSUND</t>
        </is>
      </c>
      <c r="G39" t="n">
        <v>9</v>
      </c>
      <c r="H39" t="n">
        <v>1</v>
      </c>
      <c r="I39" t="n">
        <v>1</v>
      </c>
      <c r="J39" t="n">
        <v>7</v>
      </c>
      <c r="K39" t="n">
        <v>0</v>
      </c>
      <c r="L39" t="n">
        <v>0</v>
      </c>
      <c r="M39" t="n">
        <v>0</v>
      </c>
      <c r="N39" t="n">
        <v>0</v>
      </c>
      <c r="O39" t="n">
        <v>7</v>
      </c>
      <c r="P39" t="n">
        <v>0</v>
      </c>
      <c r="Q39" t="n">
        <v>8</v>
      </c>
      <c r="R39" s="2" t="inlineStr">
        <is>
          <t>Garnlav
Granticka
Harticka
Lunglav
Skrovellav
Tretåig hackspett
Ullticka
Kransrams</t>
        </is>
      </c>
      <c r="S39">
        <f>HYPERLINK("https://klasma.github.io/Logging_2380/artfynd/A 63193-2025 artfynd.xlsx", "A 63193-2025")</f>
        <v/>
      </c>
      <c r="T39">
        <f>HYPERLINK("https://klasma.github.io/Logging_2380/kartor/A 63193-2025 karta.png", "A 63193-2025")</f>
        <v/>
      </c>
      <c r="U39">
        <f>HYPERLINK("https://klasma.github.io/Logging_2380/knärot/A 63193-2025 karta knärot.png", "A 63193-2025")</f>
        <v/>
      </c>
      <c r="V39">
        <f>HYPERLINK("https://klasma.github.io/Logging_2380/klagomål/A 63193-2025 FSC-klagomål.docx", "A 63193-2025")</f>
        <v/>
      </c>
      <c r="W39">
        <f>HYPERLINK("https://klasma.github.io/Logging_2380/klagomålsmail/A 63193-2025 FSC-klagomål mail.docx", "A 63193-2025")</f>
        <v/>
      </c>
      <c r="X39">
        <f>HYPERLINK("https://klasma.github.io/Logging_2380/tillsyn/A 63193-2025 tillsynsbegäran.docx", "A 63193-2025")</f>
        <v/>
      </c>
      <c r="Y39">
        <f>HYPERLINK("https://klasma.github.io/Logging_2380/tillsynsmail/A 63193-2025 tillsynsbegäran mail.docx", "A 63193-2025")</f>
        <v/>
      </c>
      <c r="Z39">
        <f>HYPERLINK("https://klasma.github.io/Logging_2380/fåglar/A 63193-2025 prioriterade fågelarter.docx", "A 63193-2025")</f>
        <v/>
      </c>
    </row>
    <row r="40" ht="15" customHeight="1">
      <c r="A40" t="inlineStr">
        <is>
          <t>A 56648-2025</t>
        </is>
      </c>
      <c r="B40" s="1" t="n">
        <v>45975.63604166666</v>
      </c>
      <c r="C40" s="1" t="n">
        <v>46050</v>
      </c>
      <c r="D40" t="inlineStr">
        <is>
          <t>JÄMTLANDS LÄN</t>
        </is>
      </c>
      <c r="E40" t="inlineStr">
        <is>
          <t>ÖSTERSUND</t>
        </is>
      </c>
      <c r="G40" t="n">
        <v>4.3</v>
      </c>
      <c r="H40" t="n">
        <v>4</v>
      </c>
      <c r="I40" t="n">
        <v>1</v>
      </c>
      <c r="J40" t="n">
        <v>6</v>
      </c>
      <c r="K40" t="n">
        <v>0</v>
      </c>
      <c r="L40" t="n">
        <v>0</v>
      </c>
      <c r="M40" t="n">
        <v>0</v>
      </c>
      <c r="N40" t="n">
        <v>0</v>
      </c>
      <c r="O40" t="n">
        <v>6</v>
      </c>
      <c r="P40" t="n">
        <v>0</v>
      </c>
      <c r="Q40" t="n">
        <v>8</v>
      </c>
      <c r="R40" s="2" t="inlineStr">
        <is>
          <t>Garnlav
Granticka
Spillkråka
Talltita
Tretåig hackspett
Ullticka
Stuplav
Revlummer</t>
        </is>
      </c>
      <c r="S40">
        <f>HYPERLINK("https://klasma.github.io/Logging_2380/artfynd/A 56648-2025 artfynd.xlsx", "A 56648-2025")</f>
        <v/>
      </c>
      <c r="T40">
        <f>HYPERLINK("https://klasma.github.io/Logging_2380/kartor/A 56648-2025 karta.png", "A 56648-2025")</f>
        <v/>
      </c>
      <c r="V40">
        <f>HYPERLINK("https://klasma.github.io/Logging_2380/klagomål/A 56648-2025 FSC-klagomål.docx", "A 56648-2025")</f>
        <v/>
      </c>
      <c r="W40">
        <f>HYPERLINK("https://klasma.github.io/Logging_2380/klagomålsmail/A 56648-2025 FSC-klagomål mail.docx", "A 56648-2025")</f>
        <v/>
      </c>
      <c r="X40">
        <f>HYPERLINK("https://klasma.github.io/Logging_2380/tillsyn/A 56648-2025 tillsynsbegäran.docx", "A 56648-2025")</f>
        <v/>
      </c>
      <c r="Y40">
        <f>HYPERLINK("https://klasma.github.io/Logging_2380/tillsynsmail/A 56648-2025 tillsynsbegäran mail.docx", "A 56648-2025")</f>
        <v/>
      </c>
      <c r="Z40">
        <f>HYPERLINK("https://klasma.github.io/Logging_2380/fåglar/A 56648-2025 prioriterade fågelarter.docx", "A 56648-2025")</f>
        <v/>
      </c>
    </row>
    <row r="41" ht="15" customHeight="1">
      <c r="A41" t="inlineStr">
        <is>
          <t>A 10744-2024</t>
        </is>
      </c>
      <c r="B41" s="1" t="n">
        <v>45369</v>
      </c>
      <c r="C41" s="1" t="n">
        <v>46050</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40777-2023</t>
        </is>
      </c>
      <c r="B42" s="1" t="n">
        <v>45170</v>
      </c>
      <c r="C42" s="1" t="n">
        <v>46050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46050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39735-2021</t>
        </is>
      </c>
      <c r="B44" s="1" t="n">
        <v>44414</v>
      </c>
      <c r="C44" s="1" t="n">
        <v>46050</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31122-2025</t>
        </is>
      </c>
      <c r="B45" s="1" t="n">
        <v>45831</v>
      </c>
      <c r="C45" s="1" t="n">
        <v>46050</v>
      </c>
      <c r="D45" t="inlineStr">
        <is>
          <t>JÄMTLANDS LÄN</t>
        </is>
      </c>
      <c r="E45" t="inlineStr">
        <is>
          <t>ÖSTERSUND</t>
        </is>
      </c>
      <c r="G45" t="n">
        <v>5.5</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53292-2025</t>
        </is>
      </c>
      <c r="B46" s="1" t="n">
        <v>45958</v>
      </c>
      <c r="C46" s="1" t="n">
        <v>46050</v>
      </c>
      <c r="D46" t="inlineStr">
        <is>
          <t>JÄMTLANDS LÄN</t>
        </is>
      </c>
      <c r="E46" t="inlineStr">
        <is>
          <t>ÖSTERSUND</t>
        </is>
      </c>
      <c r="G46" t="n">
        <v>3</v>
      </c>
      <c r="H46" t="n">
        <v>5</v>
      </c>
      <c r="I46" t="n">
        <v>0</v>
      </c>
      <c r="J46" t="n">
        <v>3</v>
      </c>
      <c r="K46" t="n">
        <v>1</v>
      </c>
      <c r="L46" t="n">
        <v>0</v>
      </c>
      <c r="M46" t="n">
        <v>0</v>
      </c>
      <c r="N46" t="n">
        <v>0</v>
      </c>
      <c r="O46" t="n">
        <v>4</v>
      </c>
      <c r="P46" t="n">
        <v>1</v>
      </c>
      <c r="Q46" t="n">
        <v>7</v>
      </c>
      <c r="R46" s="2" t="inlineStr">
        <is>
          <t>Knärot
Garnlav
Granticka
Talltita
Kungsfågel
Blåsippa
Revlummer</t>
        </is>
      </c>
      <c r="S46">
        <f>HYPERLINK("https://klasma.github.io/Logging_2380/artfynd/A 53292-2025 artfynd.xlsx", "A 53292-2025")</f>
        <v/>
      </c>
      <c r="T46">
        <f>HYPERLINK("https://klasma.github.io/Logging_2380/kartor/A 53292-2025 karta.png", "A 53292-2025")</f>
        <v/>
      </c>
      <c r="U46">
        <f>HYPERLINK("https://klasma.github.io/Logging_2380/knärot/A 53292-2025 karta knärot.png", "A 53292-2025")</f>
        <v/>
      </c>
      <c r="V46">
        <f>HYPERLINK("https://klasma.github.io/Logging_2380/klagomål/A 53292-2025 FSC-klagomål.docx", "A 53292-2025")</f>
        <v/>
      </c>
      <c r="W46">
        <f>HYPERLINK("https://klasma.github.io/Logging_2380/klagomålsmail/A 53292-2025 FSC-klagomål mail.docx", "A 53292-2025")</f>
        <v/>
      </c>
      <c r="X46">
        <f>HYPERLINK("https://klasma.github.io/Logging_2380/tillsyn/A 53292-2025 tillsynsbegäran.docx", "A 53292-2025")</f>
        <v/>
      </c>
      <c r="Y46">
        <f>HYPERLINK("https://klasma.github.io/Logging_2380/tillsynsmail/A 53292-2025 tillsynsbegäran mail.docx", "A 53292-2025")</f>
        <v/>
      </c>
      <c r="Z46">
        <f>HYPERLINK("https://klasma.github.io/Logging_2380/fåglar/A 53292-2025 prioriterade fågelarter.docx", "A 53292-2025")</f>
        <v/>
      </c>
    </row>
    <row r="47" ht="15" customHeight="1">
      <c r="A47" t="inlineStr">
        <is>
          <t>A 57729-2025</t>
        </is>
      </c>
      <c r="B47" s="1" t="n">
        <v>45981.50630787037</v>
      </c>
      <c r="C47" s="1" t="n">
        <v>46050</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52297-2025</t>
        </is>
      </c>
      <c r="B48" s="1" t="n">
        <v>45953.61092592592</v>
      </c>
      <c r="C48" s="1" t="n">
        <v>46050</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26372-2025</t>
        </is>
      </c>
      <c r="B49" s="1" t="n">
        <v>45806</v>
      </c>
      <c r="C49" s="1" t="n">
        <v>46050</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48736-2025</t>
        </is>
      </c>
      <c r="B50" s="1" t="n">
        <v>45936.66547453704</v>
      </c>
      <c r="C50" s="1" t="n">
        <v>46050</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39586-2025</t>
        </is>
      </c>
      <c r="B51" s="1" t="n">
        <v>45890</v>
      </c>
      <c r="C51" s="1" t="n">
        <v>46050</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50529-2025</t>
        </is>
      </c>
      <c r="B52" s="1" t="n">
        <v>45945.47331018518</v>
      </c>
      <c r="C52" s="1" t="n">
        <v>46050</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5203-2026</t>
        </is>
      </c>
      <c r="B53" s="1" t="n">
        <v>46049.67512731482</v>
      </c>
      <c r="C53" s="1" t="n">
        <v>46050</v>
      </c>
      <c r="D53" t="inlineStr">
        <is>
          <t>JÄMTLANDS LÄN</t>
        </is>
      </c>
      <c r="E53" t="inlineStr">
        <is>
          <t>ÖSTERSUND</t>
        </is>
      </c>
      <c r="G53" t="n">
        <v>14.6</v>
      </c>
      <c r="H53" t="n">
        <v>3</v>
      </c>
      <c r="I53" t="n">
        <v>2</v>
      </c>
      <c r="J53" t="n">
        <v>3</v>
      </c>
      <c r="K53" t="n">
        <v>1</v>
      </c>
      <c r="L53" t="n">
        <v>0</v>
      </c>
      <c r="M53" t="n">
        <v>0</v>
      </c>
      <c r="N53" t="n">
        <v>0</v>
      </c>
      <c r="O53" t="n">
        <v>4</v>
      </c>
      <c r="P53" t="n">
        <v>1</v>
      </c>
      <c r="Q53" t="n">
        <v>7</v>
      </c>
      <c r="R53" s="2" t="inlineStr">
        <is>
          <t>Knärot
Garnlav
Talltita
Ullticka
Kransrams
Svavelriska
Revlummer</t>
        </is>
      </c>
      <c r="S53">
        <f>HYPERLINK("https://klasma.github.io/Logging_2380/artfynd/A 5203-2026 artfynd.xlsx", "A 5203-2026")</f>
        <v/>
      </c>
      <c r="T53">
        <f>HYPERLINK("https://klasma.github.io/Logging_2380/kartor/A 5203-2026 karta.png", "A 5203-2026")</f>
        <v/>
      </c>
      <c r="U53">
        <f>HYPERLINK("https://klasma.github.io/Logging_2380/knärot/A 5203-2026 karta knärot.png", "A 5203-2026")</f>
        <v/>
      </c>
      <c r="V53">
        <f>HYPERLINK("https://klasma.github.io/Logging_2380/klagomål/A 5203-2026 FSC-klagomål.docx", "A 5203-2026")</f>
        <v/>
      </c>
      <c r="W53">
        <f>HYPERLINK("https://klasma.github.io/Logging_2380/klagomålsmail/A 5203-2026 FSC-klagomål mail.docx", "A 5203-2026")</f>
        <v/>
      </c>
      <c r="X53">
        <f>HYPERLINK("https://klasma.github.io/Logging_2380/tillsyn/A 5203-2026 tillsynsbegäran.docx", "A 5203-2026")</f>
        <v/>
      </c>
      <c r="Y53">
        <f>HYPERLINK("https://klasma.github.io/Logging_2380/tillsynsmail/A 5203-2026 tillsynsbegäran mail.docx", "A 5203-2026")</f>
        <v/>
      </c>
      <c r="Z53">
        <f>HYPERLINK("https://klasma.github.io/Logging_2380/fåglar/A 5203-2026 prioriterade fågelarter.docx", "A 5203-2026")</f>
        <v/>
      </c>
    </row>
    <row r="54" ht="15" customHeight="1">
      <c r="A54" t="inlineStr">
        <is>
          <t>A 16369-2023</t>
        </is>
      </c>
      <c r="B54" s="1" t="n">
        <v>45028</v>
      </c>
      <c r="C54" s="1" t="n">
        <v>46050</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54608-2023</t>
        </is>
      </c>
      <c r="B55" s="1" t="n">
        <v>45233</v>
      </c>
      <c r="C55" s="1" t="n">
        <v>46050</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28512-2021</t>
        </is>
      </c>
      <c r="B56" s="1" t="n">
        <v>44356</v>
      </c>
      <c r="C56" s="1" t="n">
        <v>46050</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18338-2025</t>
        </is>
      </c>
      <c r="B57" s="1" t="n">
        <v>45762.51075231482</v>
      </c>
      <c r="C57" s="1" t="n">
        <v>46050</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376-2023</t>
        </is>
      </c>
      <c r="B58" s="1" t="n">
        <v>44929</v>
      </c>
      <c r="C58" s="1" t="n">
        <v>46050</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46050</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24523-2021</t>
        </is>
      </c>
      <c r="B60" s="1" t="n">
        <v>44337</v>
      </c>
      <c r="C60" s="1" t="n">
        <v>46050</v>
      </c>
      <c r="D60" t="inlineStr">
        <is>
          <t>JÄMTLANDS LÄN</t>
        </is>
      </c>
      <c r="E60" t="inlineStr">
        <is>
          <t>ÖSTERSUND</t>
        </is>
      </c>
      <c r="G60" t="n">
        <v>9.300000000000001</v>
      </c>
      <c r="H60" t="n">
        <v>2</v>
      </c>
      <c r="I60" t="n">
        <v>3</v>
      </c>
      <c r="J60" t="n">
        <v>2</v>
      </c>
      <c r="K60" t="n">
        <v>0</v>
      </c>
      <c r="L60" t="n">
        <v>0</v>
      </c>
      <c r="M60" t="n">
        <v>0</v>
      </c>
      <c r="N60" t="n">
        <v>0</v>
      </c>
      <c r="O60" t="n">
        <v>2</v>
      </c>
      <c r="P60" t="n">
        <v>0</v>
      </c>
      <c r="Q60" t="n">
        <v>6</v>
      </c>
      <c r="R60" s="2" t="inlineStr">
        <is>
          <t>Garnlav
Spillkråka
Svart trolldruva
Tibast
Underviol
Blåsippa</t>
        </is>
      </c>
      <c r="S60">
        <f>HYPERLINK("https://klasma.github.io/Logging_2380/artfynd/A 24523-2021 artfynd.xlsx", "A 24523-2021")</f>
        <v/>
      </c>
      <c r="T60">
        <f>HYPERLINK("https://klasma.github.io/Logging_2380/kartor/A 24523-2021 karta.png", "A 24523-2021")</f>
        <v/>
      </c>
      <c r="V60">
        <f>HYPERLINK("https://klasma.github.io/Logging_2380/klagomål/A 24523-2021 FSC-klagomål.docx", "A 24523-2021")</f>
        <v/>
      </c>
      <c r="W60">
        <f>HYPERLINK("https://klasma.github.io/Logging_2380/klagomålsmail/A 24523-2021 FSC-klagomål mail.docx", "A 24523-2021")</f>
        <v/>
      </c>
      <c r="X60">
        <f>HYPERLINK("https://klasma.github.io/Logging_2380/tillsyn/A 24523-2021 tillsynsbegäran.docx", "A 24523-2021")</f>
        <v/>
      </c>
      <c r="Y60">
        <f>HYPERLINK("https://klasma.github.io/Logging_2380/tillsynsmail/A 24523-2021 tillsynsbegäran mail.docx", "A 24523-2021")</f>
        <v/>
      </c>
      <c r="Z60">
        <f>HYPERLINK("https://klasma.github.io/Logging_2380/fåglar/A 24523-2021 prioriterade fågelarter.docx", "A 24523-2021")</f>
        <v/>
      </c>
    </row>
    <row r="61" ht="15" customHeight="1">
      <c r="A61" t="inlineStr">
        <is>
          <t>A 62696-2025</t>
        </is>
      </c>
      <c r="B61" s="1" t="n">
        <v>46008.48708333333</v>
      </c>
      <c r="C61" s="1" t="n">
        <v>46050</v>
      </c>
      <c r="D61" t="inlineStr">
        <is>
          <t>JÄMTLANDS LÄN</t>
        </is>
      </c>
      <c r="E61" t="inlineStr">
        <is>
          <t>ÖSTERSUND</t>
        </is>
      </c>
      <c r="G61" t="n">
        <v>11.3</v>
      </c>
      <c r="H61" t="n">
        <v>3</v>
      </c>
      <c r="I61" t="n">
        <v>1</v>
      </c>
      <c r="J61" t="n">
        <v>4</v>
      </c>
      <c r="K61" t="n">
        <v>0</v>
      </c>
      <c r="L61" t="n">
        <v>0</v>
      </c>
      <c r="M61" t="n">
        <v>0</v>
      </c>
      <c r="N61" t="n">
        <v>0</v>
      </c>
      <c r="O61" t="n">
        <v>4</v>
      </c>
      <c r="P61" t="n">
        <v>0</v>
      </c>
      <c r="Q61" t="n">
        <v>6</v>
      </c>
      <c r="R61" s="2" t="inlineStr">
        <is>
          <t>Garnlav
Spillkråka
Tretåig hackspett
Ullticka
Stuplav
Revlummer</t>
        </is>
      </c>
      <c r="S61">
        <f>HYPERLINK("https://klasma.github.io/Logging_2380/artfynd/A 62696-2025 artfynd.xlsx", "A 62696-2025")</f>
        <v/>
      </c>
      <c r="T61">
        <f>HYPERLINK("https://klasma.github.io/Logging_2380/kartor/A 62696-2025 karta.png", "A 62696-2025")</f>
        <v/>
      </c>
      <c r="V61">
        <f>HYPERLINK("https://klasma.github.io/Logging_2380/klagomål/A 62696-2025 FSC-klagomål.docx", "A 62696-2025")</f>
        <v/>
      </c>
      <c r="W61">
        <f>HYPERLINK("https://klasma.github.io/Logging_2380/klagomålsmail/A 62696-2025 FSC-klagomål mail.docx", "A 62696-2025")</f>
        <v/>
      </c>
      <c r="X61">
        <f>HYPERLINK("https://klasma.github.io/Logging_2380/tillsyn/A 62696-2025 tillsynsbegäran.docx", "A 62696-2025")</f>
        <v/>
      </c>
      <c r="Y61">
        <f>HYPERLINK("https://klasma.github.io/Logging_2380/tillsynsmail/A 62696-2025 tillsynsbegäran mail.docx", "A 62696-2025")</f>
        <v/>
      </c>
      <c r="Z61">
        <f>HYPERLINK("https://klasma.github.io/Logging_2380/fåglar/A 62696-2025 prioriterade fågelarter.docx", "A 62696-2025")</f>
        <v/>
      </c>
    </row>
    <row r="62" ht="15" customHeight="1">
      <c r="A62" t="inlineStr">
        <is>
          <t>A 40815-2025</t>
        </is>
      </c>
      <c r="B62" s="1" t="n">
        <v>45897</v>
      </c>
      <c r="C62" s="1" t="n">
        <v>46050</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61212-2025</t>
        </is>
      </c>
      <c r="B63" s="1" t="n">
        <v>46000.61640046296</v>
      </c>
      <c r="C63" s="1" t="n">
        <v>46050</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3995-2025</t>
        </is>
      </c>
      <c r="B64" s="1" t="n">
        <v>45684</v>
      </c>
      <c r="C64" s="1" t="n">
        <v>46050</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47392-2022</t>
        </is>
      </c>
      <c r="B65" s="1" t="n">
        <v>44851</v>
      </c>
      <c r="C65" s="1" t="n">
        <v>46050</v>
      </c>
      <c r="D65" t="inlineStr">
        <is>
          <t>JÄMTLANDS LÄN</t>
        </is>
      </c>
      <c r="E65" t="inlineStr">
        <is>
          <t>ÖSTERSUND</t>
        </is>
      </c>
      <c r="G65" t="n">
        <v>1.6</v>
      </c>
      <c r="H65" t="n">
        <v>4</v>
      </c>
      <c r="I65" t="n">
        <v>3</v>
      </c>
      <c r="J65" t="n">
        <v>1</v>
      </c>
      <c r="K65" t="n">
        <v>1</v>
      </c>
      <c r="L65" t="n">
        <v>0</v>
      </c>
      <c r="M65" t="n">
        <v>0</v>
      </c>
      <c r="N65" t="n">
        <v>0</v>
      </c>
      <c r="O65" t="n">
        <v>2</v>
      </c>
      <c r="P65" t="n">
        <v>1</v>
      </c>
      <c r="Q65" t="n">
        <v>6</v>
      </c>
      <c r="R65" s="2" t="inlineStr">
        <is>
          <t>Knärot
Garnlav
Guckusko
Plattlummer
Trådfräken
Revlummer</t>
        </is>
      </c>
      <c r="S65">
        <f>HYPERLINK("https://klasma.github.io/Logging_2380/artfynd/A 47392-2022 artfynd.xlsx", "A 47392-2022")</f>
        <v/>
      </c>
      <c r="T65">
        <f>HYPERLINK("https://klasma.github.io/Logging_2380/kartor/A 47392-2022 karta.png", "A 47392-2022")</f>
        <v/>
      </c>
      <c r="U65">
        <f>HYPERLINK("https://klasma.github.io/Logging_2380/knärot/A 47392-2022 karta knärot.png", "A 47392-2022")</f>
        <v/>
      </c>
      <c r="V65">
        <f>HYPERLINK("https://klasma.github.io/Logging_2380/klagomål/A 47392-2022 FSC-klagomål.docx", "A 47392-2022")</f>
        <v/>
      </c>
      <c r="W65">
        <f>HYPERLINK("https://klasma.github.io/Logging_2380/klagomålsmail/A 47392-2022 FSC-klagomål mail.docx", "A 47392-2022")</f>
        <v/>
      </c>
      <c r="X65">
        <f>HYPERLINK("https://klasma.github.io/Logging_2380/tillsyn/A 47392-2022 tillsynsbegäran.docx", "A 47392-2022")</f>
        <v/>
      </c>
      <c r="Y65">
        <f>HYPERLINK("https://klasma.github.io/Logging_2380/tillsynsmail/A 47392-2022 tillsynsbegäran mail.docx", "A 47392-2022")</f>
        <v/>
      </c>
    </row>
    <row r="66" ht="15" customHeight="1">
      <c r="A66" t="inlineStr">
        <is>
          <t>A 12712-2021</t>
        </is>
      </c>
      <c r="B66" s="1" t="n">
        <v>44270.58950231481</v>
      </c>
      <c r="C66" s="1" t="n">
        <v>46050</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61153-2024</t>
        </is>
      </c>
      <c r="B67" s="1" t="n">
        <v>45645</v>
      </c>
      <c r="C67" s="1" t="n">
        <v>46050</v>
      </c>
      <c r="D67" t="inlineStr">
        <is>
          <t>JÄMTLANDS LÄN</t>
        </is>
      </c>
      <c r="E67" t="inlineStr">
        <is>
          <t>ÖSTERSUND</t>
        </is>
      </c>
      <c r="G67" t="n">
        <v>8.699999999999999</v>
      </c>
      <c r="H67" t="n">
        <v>5</v>
      </c>
      <c r="I67" t="n">
        <v>0</v>
      </c>
      <c r="J67" t="n">
        <v>4</v>
      </c>
      <c r="K67" t="n">
        <v>1</v>
      </c>
      <c r="L67" t="n">
        <v>0</v>
      </c>
      <c r="M67" t="n">
        <v>0</v>
      </c>
      <c r="N67" t="n">
        <v>0</v>
      </c>
      <c r="O67" t="n">
        <v>5</v>
      </c>
      <c r="P67" t="n">
        <v>1</v>
      </c>
      <c r="Q67" t="n">
        <v>6</v>
      </c>
      <c r="R67" s="2" t="inlineStr">
        <is>
          <t>Knärot
Garnlav
Mindre hackspett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27577-2022</t>
        </is>
      </c>
      <c r="B68" s="1" t="n">
        <v>44742</v>
      </c>
      <c r="C68" s="1" t="n">
        <v>46050</v>
      </c>
      <c r="D68" t="inlineStr">
        <is>
          <t>JÄMTLANDS LÄN</t>
        </is>
      </c>
      <c r="E68" t="inlineStr">
        <is>
          <t>ÖSTERSUND</t>
        </is>
      </c>
      <c r="F68" t="inlineStr">
        <is>
          <t>SCA</t>
        </is>
      </c>
      <c r="G68" t="n">
        <v>12</v>
      </c>
      <c r="H68" t="n">
        <v>2</v>
      </c>
      <c r="I68" t="n">
        <v>3</v>
      </c>
      <c r="J68" t="n">
        <v>1</v>
      </c>
      <c r="K68" t="n">
        <v>0</v>
      </c>
      <c r="L68" t="n">
        <v>0</v>
      </c>
      <c r="M68" t="n">
        <v>0</v>
      </c>
      <c r="N68" t="n">
        <v>0</v>
      </c>
      <c r="O68" t="n">
        <v>1</v>
      </c>
      <c r="P68" t="n">
        <v>0</v>
      </c>
      <c r="Q68" t="n">
        <v>5</v>
      </c>
      <c r="R68" s="2" t="inlineStr">
        <is>
          <t>Granticka
Tibast
Tvåblad
Underviol
Blåsippa</t>
        </is>
      </c>
      <c r="S68">
        <f>HYPERLINK("https://klasma.github.io/Logging_2380/artfynd/A 27577-2022 artfynd.xlsx", "A 27577-2022")</f>
        <v/>
      </c>
      <c r="T68">
        <f>HYPERLINK("https://klasma.github.io/Logging_2380/kartor/A 27577-2022 karta.png", "A 27577-2022")</f>
        <v/>
      </c>
      <c r="V68">
        <f>HYPERLINK("https://klasma.github.io/Logging_2380/klagomål/A 27577-2022 FSC-klagomål.docx", "A 27577-2022")</f>
        <v/>
      </c>
      <c r="W68">
        <f>HYPERLINK("https://klasma.github.io/Logging_2380/klagomålsmail/A 27577-2022 FSC-klagomål mail.docx", "A 27577-2022")</f>
        <v/>
      </c>
      <c r="X68">
        <f>HYPERLINK("https://klasma.github.io/Logging_2380/tillsyn/A 27577-2022 tillsynsbegäran.docx", "A 27577-2022")</f>
        <v/>
      </c>
      <c r="Y68">
        <f>HYPERLINK("https://klasma.github.io/Logging_2380/tillsynsmail/A 27577-2022 tillsynsbegäran mail.docx", "A 27577-2022")</f>
        <v/>
      </c>
    </row>
    <row r="69" ht="15" customHeight="1">
      <c r="A69" t="inlineStr">
        <is>
          <t>A 59537-2023</t>
        </is>
      </c>
      <c r="B69" s="1" t="n">
        <v>45254</v>
      </c>
      <c r="C69" s="1" t="n">
        <v>46050</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29117-2025</t>
        </is>
      </c>
      <c r="B70" s="1" t="n">
        <v>45821.59243055555</v>
      </c>
      <c r="C70" s="1" t="n">
        <v>46050</v>
      </c>
      <c r="D70" t="inlineStr">
        <is>
          <t>JÄMTLANDS LÄN</t>
        </is>
      </c>
      <c r="E70" t="inlineStr">
        <is>
          <t>ÖSTERSUND</t>
        </is>
      </c>
      <c r="G70" t="n">
        <v>15.4</v>
      </c>
      <c r="H70" t="n">
        <v>5</v>
      </c>
      <c r="I70" t="n">
        <v>2</v>
      </c>
      <c r="J70" t="n">
        <v>0</v>
      </c>
      <c r="K70" t="n">
        <v>1</v>
      </c>
      <c r="L70" t="n">
        <v>0</v>
      </c>
      <c r="M70" t="n">
        <v>0</v>
      </c>
      <c r="N70" t="n">
        <v>0</v>
      </c>
      <c r="O70" t="n">
        <v>1</v>
      </c>
      <c r="P70" t="n">
        <v>1</v>
      </c>
      <c r="Q70" t="n">
        <v>5</v>
      </c>
      <c r="R70" s="2" t="inlineStr">
        <is>
          <t>Knärot
Guckusko
Spindelblomster
Fläcknycklar
Revlummer</t>
        </is>
      </c>
      <c r="S70">
        <f>HYPERLINK("https://klasma.github.io/Logging_2380/artfynd/A 29117-2025 artfynd.xlsx", "A 29117-2025")</f>
        <v/>
      </c>
      <c r="T70">
        <f>HYPERLINK("https://klasma.github.io/Logging_2380/kartor/A 29117-2025 karta.png", "A 29117-2025")</f>
        <v/>
      </c>
      <c r="U70">
        <f>HYPERLINK("https://klasma.github.io/Logging_2380/knärot/A 29117-2025 karta knärot.png", "A 29117-2025")</f>
        <v/>
      </c>
      <c r="V70">
        <f>HYPERLINK("https://klasma.github.io/Logging_2380/klagomål/A 29117-2025 FSC-klagomål.docx", "A 29117-2025")</f>
        <v/>
      </c>
      <c r="W70">
        <f>HYPERLINK("https://klasma.github.io/Logging_2380/klagomålsmail/A 29117-2025 FSC-klagomål mail.docx", "A 29117-2025")</f>
        <v/>
      </c>
      <c r="X70">
        <f>HYPERLINK("https://klasma.github.io/Logging_2380/tillsyn/A 29117-2025 tillsynsbegäran.docx", "A 29117-2025")</f>
        <v/>
      </c>
      <c r="Y70">
        <f>HYPERLINK("https://klasma.github.io/Logging_2380/tillsynsmail/A 29117-2025 tillsynsbegäran mail.docx", "A 29117-2025")</f>
        <v/>
      </c>
    </row>
    <row r="71" ht="15" customHeight="1">
      <c r="A71" t="inlineStr">
        <is>
          <t>A 54731-2024</t>
        </is>
      </c>
      <c r="B71" s="1" t="n">
        <v>45618.43853009259</v>
      </c>
      <c r="C71" s="1" t="n">
        <v>46050</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56934-2025</t>
        </is>
      </c>
      <c r="B72" s="1" t="n">
        <v>45978.61351851852</v>
      </c>
      <c r="C72" s="1" t="n">
        <v>46050</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58372-2025</t>
        </is>
      </c>
      <c r="B73" s="1" t="n">
        <v>45985.53155092592</v>
      </c>
      <c r="C73" s="1" t="n">
        <v>46050</v>
      </c>
      <c r="D73" t="inlineStr">
        <is>
          <t>JÄMTLANDS LÄN</t>
        </is>
      </c>
      <c r="E73" t="inlineStr">
        <is>
          <t>ÖSTERSUND</t>
        </is>
      </c>
      <c r="G73" t="n">
        <v>7.1</v>
      </c>
      <c r="H73" t="n">
        <v>1</v>
      </c>
      <c r="I73" t="n">
        <v>0</v>
      </c>
      <c r="J73" t="n">
        <v>5</v>
      </c>
      <c r="K73" t="n">
        <v>0</v>
      </c>
      <c r="L73" t="n">
        <v>0</v>
      </c>
      <c r="M73" t="n">
        <v>0</v>
      </c>
      <c r="N73" t="n">
        <v>0</v>
      </c>
      <c r="O73" t="n">
        <v>5</v>
      </c>
      <c r="P73" t="n">
        <v>0</v>
      </c>
      <c r="Q73" t="n">
        <v>5</v>
      </c>
      <c r="R73" s="2" t="inlineStr">
        <is>
          <t>Garnlav
Harticka
Lunglav
Tretåig hackspett
Ullticka</t>
        </is>
      </c>
      <c r="S73">
        <f>HYPERLINK("https://klasma.github.io/Logging_2380/artfynd/A 58372-2025 artfynd.xlsx", "A 58372-2025")</f>
        <v/>
      </c>
      <c r="T73">
        <f>HYPERLINK("https://klasma.github.io/Logging_2380/kartor/A 58372-2025 karta.png", "A 58372-2025")</f>
        <v/>
      </c>
      <c r="V73">
        <f>HYPERLINK("https://klasma.github.io/Logging_2380/klagomål/A 58372-2025 FSC-klagomål.docx", "A 58372-2025")</f>
        <v/>
      </c>
      <c r="W73">
        <f>HYPERLINK("https://klasma.github.io/Logging_2380/klagomålsmail/A 58372-2025 FSC-klagomål mail.docx", "A 58372-2025")</f>
        <v/>
      </c>
      <c r="X73">
        <f>HYPERLINK("https://klasma.github.io/Logging_2380/tillsyn/A 58372-2025 tillsynsbegäran.docx", "A 58372-2025")</f>
        <v/>
      </c>
      <c r="Y73">
        <f>HYPERLINK("https://klasma.github.io/Logging_2380/tillsynsmail/A 58372-2025 tillsynsbegäran mail.docx", "A 58372-2025")</f>
        <v/>
      </c>
      <c r="Z73">
        <f>HYPERLINK("https://klasma.github.io/Logging_2380/fåglar/A 58372-2025 prioriterade fågelarter.docx", "A 58372-2025")</f>
        <v/>
      </c>
    </row>
    <row r="74" ht="15" customHeight="1">
      <c r="A74" t="inlineStr">
        <is>
          <t>A 56499-2025</t>
        </is>
      </c>
      <c r="B74" s="1" t="n">
        <v>45975.43427083334</v>
      </c>
      <c r="C74" s="1" t="n">
        <v>46050</v>
      </c>
      <c r="D74" t="inlineStr">
        <is>
          <t>JÄMTLANDS LÄN</t>
        </is>
      </c>
      <c r="E74" t="inlineStr">
        <is>
          <t>ÖSTERSUND</t>
        </is>
      </c>
      <c r="G74" t="n">
        <v>7.4</v>
      </c>
      <c r="H74" t="n">
        <v>2</v>
      </c>
      <c r="I74" t="n">
        <v>1</v>
      </c>
      <c r="J74" t="n">
        <v>3</v>
      </c>
      <c r="K74" t="n">
        <v>0</v>
      </c>
      <c r="L74" t="n">
        <v>0</v>
      </c>
      <c r="M74" t="n">
        <v>0</v>
      </c>
      <c r="N74" t="n">
        <v>0</v>
      </c>
      <c r="O74" t="n">
        <v>3</v>
      </c>
      <c r="P74" t="n">
        <v>0</v>
      </c>
      <c r="Q74" t="n">
        <v>5</v>
      </c>
      <c r="R74" s="2" t="inlineStr">
        <is>
          <t>Garnlav
Lunglav
Tretåig hackspett
Luddlav
Revlummer</t>
        </is>
      </c>
      <c r="S74">
        <f>HYPERLINK("https://klasma.github.io/Logging_2380/artfynd/A 56499-2025 artfynd.xlsx", "A 56499-2025")</f>
        <v/>
      </c>
      <c r="T74">
        <f>HYPERLINK("https://klasma.github.io/Logging_2380/kartor/A 56499-2025 karta.png", "A 56499-2025")</f>
        <v/>
      </c>
      <c r="V74">
        <f>HYPERLINK("https://klasma.github.io/Logging_2380/klagomål/A 56499-2025 FSC-klagomål.docx", "A 56499-2025")</f>
        <v/>
      </c>
      <c r="W74">
        <f>HYPERLINK("https://klasma.github.io/Logging_2380/klagomålsmail/A 56499-2025 FSC-klagomål mail.docx", "A 56499-2025")</f>
        <v/>
      </c>
      <c r="X74">
        <f>HYPERLINK("https://klasma.github.io/Logging_2380/tillsyn/A 56499-2025 tillsynsbegäran.docx", "A 56499-2025")</f>
        <v/>
      </c>
      <c r="Y74">
        <f>HYPERLINK("https://klasma.github.io/Logging_2380/tillsynsmail/A 56499-2025 tillsynsbegäran mail.docx", "A 56499-2025")</f>
        <v/>
      </c>
      <c r="Z74">
        <f>HYPERLINK("https://klasma.github.io/Logging_2380/fåglar/A 56499-2025 prioriterade fågelarter.docx", "A 56499-2025")</f>
        <v/>
      </c>
    </row>
    <row r="75" ht="15" customHeight="1">
      <c r="A75" t="inlineStr">
        <is>
          <t>A 7717-2024</t>
        </is>
      </c>
      <c r="B75" s="1" t="n">
        <v>45349</v>
      </c>
      <c r="C75" s="1" t="n">
        <v>46050</v>
      </c>
      <c r="D75" t="inlineStr">
        <is>
          <t>JÄMTLANDS LÄN</t>
        </is>
      </c>
      <c r="E75" t="inlineStr">
        <is>
          <t>ÖSTERSUND</t>
        </is>
      </c>
      <c r="F75" t="inlineStr">
        <is>
          <t>Övriga Aktiebolag</t>
        </is>
      </c>
      <c r="G75" t="n">
        <v>2.5</v>
      </c>
      <c r="H75" t="n">
        <v>1</v>
      </c>
      <c r="I75" t="n">
        <v>1</v>
      </c>
      <c r="J75" t="n">
        <v>4</v>
      </c>
      <c r="K75" t="n">
        <v>0</v>
      </c>
      <c r="L75" t="n">
        <v>0</v>
      </c>
      <c r="M75" t="n">
        <v>0</v>
      </c>
      <c r="N75" t="n">
        <v>0</v>
      </c>
      <c r="O75" t="n">
        <v>4</v>
      </c>
      <c r="P75" t="n">
        <v>0</v>
      </c>
      <c r="Q75" t="n">
        <v>5</v>
      </c>
      <c r="R75" s="2" t="inlineStr">
        <is>
          <t>Garnlav
Lunglav
Skrovellav
Talltita
Stuplav</t>
        </is>
      </c>
      <c r="S75">
        <f>HYPERLINK("https://klasma.github.io/Logging_2380/artfynd/A 7717-2024 artfynd.xlsx", "A 7717-2024")</f>
        <v/>
      </c>
      <c r="T75">
        <f>HYPERLINK("https://klasma.github.io/Logging_2380/kartor/A 7717-2024 karta.png", "A 7717-2024")</f>
        <v/>
      </c>
      <c r="V75">
        <f>HYPERLINK("https://klasma.github.io/Logging_2380/klagomål/A 7717-2024 FSC-klagomål.docx", "A 7717-2024")</f>
        <v/>
      </c>
      <c r="W75">
        <f>HYPERLINK("https://klasma.github.io/Logging_2380/klagomålsmail/A 7717-2024 FSC-klagomål mail.docx", "A 7717-2024")</f>
        <v/>
      </c>
      <c r="X75">
        <f>HYPERLINK("https://klasma.github.io/Logging_2380/tillsyn/A 7717-2024 tillsynsbegäran.docx", "A 7717-2024")</f>
        <v/>
      </c>
      <c r="Y75">
        <f>HYPERLINK("https://klasma.github.io/Logging_2380/tillsynsmail/A 7717-2024 tillsynsbegäran mail.docx", "A 7717-2024")</f>
        <v/>
      </c>
      <c r="Z75">
        <f>HYPERLINK("https://klasma.github.io/Logging_2380/fåglar/A 7717-2024 prioriterade fågelarter.docx", "A 7717-2024")</f>
        <v/>
      </c>
    </row>
    <row r="76" ht="15" customHeight="1">
      <c r="A76" t="inlineStr">
        <is>
          <t>A 62060-2025</t>
        </is>
      </c>
      <c r="B76" s="1" t="n">
        <v>46006.34435185185</v>
      </c>
      <c r="C76" s="1" t="n">
        <v>46050</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10747-2024</t>
        </is>
      </c>
      <c r="B77" s="1" t="n">
        <v>45369</v>
      </c>
      <c r="C77" s="1" t="n">
        <v>46050</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38334-2023</t>
        </is>
      </c>
      <c r="B78" s="1" t="n">
        <v>45161</v>
      </c>
      <c r="C78" s="1" t="n">
        <v>46050</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45979-2023</t>
        </is>
      </c>
      <c r="B79" s="1" t="n">
        <v>45189</v>
      </c>
      <c r="C79" s="1" t="n">
        <v>46050</v>
      </c>
      <c r="D79" t="inlineStr">
        <is>
          <t>JÄMTLANDS LÄN</t>
        </is>
      </c>
      <c r="E79" t="inlineStr">
        <is>
          <t>ÖSTERSUND</t>
        </is>
      </c>
      <c r="G79" t="n">
        <v>3.3</v>
      </c>
      <c r="H79" t="n">
        <v>3</v>
      </c>
      <c r="I79" t="n">
        <v>2</v>
      </c>
      <c r="J79" t="n">
        <v>0</v>
      </c>
      <c r="K79" t="n">
        <v>0</v>
      </c>
      <c r="L79" t="n">
        <v>1</v>
      </c>
      <c r="M79" t="n">
        <v>0</v>
      </c>
      <c r="N79" t="n">
        <v>0</v>
      </c>
      <c r="O79" t="n">
        <v>1</v>
      </c>
      <c r="P79" t="n">
        <v>1</v>
      </c>
      <c r="Q79" t="n">
        <v>5</v>
      </c>
      <c r="R79" s="2" t="inlineStr">
        <is>
          <t>Trolldruvemätare
Svart trolldruva
Tvåblad
Dactylorhiza incarnata subsp. incarnata
Ängsnycklar</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39941-2024</t>
        </is>
      </c>
      <c r="B80" s="1" t="n">
        <v>45553</v>
      </c>
      <c r="C80" s="1" t="n">
        <v>46050</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55344-2023</t>
        </is>
      </c>
      <c r="B81" s="1" t="n">
        <v>45237</v>
      </c>
      <c r="C81" s="1" t="n">
        <v>46050</v>
      </c>
      <c r="D81" t="inlineStr">
        <is>
          <t>JÄMTLANDS LÄN</t>
        </is>
      </c>
      <c r="E81" t="inlineStr">
        <is>
          <t>ÖSTERSUND</t>
        </is>
      </c>
      <c r="F81" t="inlineStr">
        <is>
          <t>SCA</t>
        </is>
      </c>
      <c r="G81" t="n">
        <v>1.5</v>
      </c>
      <c r="H81" t="n">
        <v>1</v>
      </c>
      <c r="I81" t="n">
        <v>1</v>
      </c>
      <c r="J81" t="n">
        <v>2</v>
      </c>
      <c r="K81" t="n">
        <v>1</v>
      </c>
      <c r="L81" t="n">
        <v>0</v>
      </c>
      <c r="M81" t="n">
        <v>0</v>
      </c>
      <c r="N81" t="n">
        <v>0</v>
      </c>
      <c r="O81" t="n">
        <v>3</v>
      </c>
      <c r="P81" t="n">
        <v>1</v>
      </c>
      <c r="Q81" t="n">
        <v>4</v>
      </c>
      <c r="R81" s="2" t="inlineStr">
        <is>
          <t>Lappuggla
Garnlav
Lunglav
Stuplav</t>
        </is>
      </c>
      <c r="S81">
        <f>HYPERLINK("https://klasma.github.io/Logging_2380/artfynd/A 55344-2023 artfynd.xlsx", "A 55344-2023")</f>
        <v/>
      </c>
      <c r="T81">
        <f>HYPERLINK("https://klasma.github.io/Logging_2380/kartor/A 55344-2023 karta.png", "A 55344-2023")</f>
        <v/>
      </c>
      <c r="V81">
        <f>HYPERLINK("https://klasma.github.io/Logging_2380/klagomål/A 55344-2023 FSC-klagomål.docx", "A 55344-2023")</f>
        <v/>
      </c>
      <c r="W81">
        <f>HYPERLINK("https://klasma.github.io/Logging_2380/klagomålsmail/A 55344-2023 FSC-klagomål mail.docx", "A 55344-2023")</f>
        <v/>
      </c>
      <c r="X81">
        <f>HYPERLINK("https://klasma.github.io/Logging_2380/tillsyn/A 55344-2023 tillsynsbegäran.docx", "A 55344-2023")</f>
        <v/>
      </c>
      <c r="Y81">
        <f>HYPERLINK("https://klasma.github.io/Logging_2380/tillsynsmail/A 55344-2023 tillsynsbegäran mail.docx", "A 55344-2023")</f>
        <v/>
      </c>
      <c r="Z81">
        <f>HYPERLINK("https://klasma.github.io/Logging_2380/fåglar/A 55344-2023 prioriterade fågelarter.docx", "A 55344-2023")</f>
        <v/>
      </c>
    </row>
    <row r="82" ht="15" customHeight="1">
      <c r="A82" t="inlineStr">
        <is>
          <t>A 25369-2024</t>
        </is>
      </c>
      <c r="B82" s="1" t="n">
        <v>45462.95982638889</v>
      </c>
      <c r="C82" s="1" t="n">
        <v>46050</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46050</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41493-2025</t>
        </is>
      </c>
      <c r="B84" s="1" t="n">
        <v>45901.49171296296</v>
      </c>
      <c r="C84" s="1" t="n">
        <v>46050</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46050</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2962-2023</t>
        </is>
      </c>
      <c r="B86" s="1" t="n">
        <v>44945</v>
      </c>
      <c r="C86" s="1" t="n">
        <v>46050</v>
      </c>
      <c r="D86" t="inlineStr">
        <is>
          <t>JÄMTLANDS LÄN</t>
        </is>
      </c>
      <c r="E86" t="inlineStr">
        <is>
          <t>ÖSTERSUND</t>
        </is>
      </c>
      <c r="F86" t="inlineStr">
        <is>
          <t>Övriga Aktiebolag</t>
        </is>
      </c>
      <c r="G86" t="n">
        <v>14.4</v>
      </c>
      <c r="H86" t="n">
        <v>2</v>
      </c>
      <c r="I86" t="n">
        <v>0</v>
      </c>
      <c r="J86" t="n">
        <v>3</v>
      </c>
      <c r="K86" t="n">
        <v>0</v>
      </c>
      <c r="L86" t="n">
        <v>0</v>
      </c>
      <c r="M86" t="n">
        <v>0</v>
      </c>
      <c r="N86" t="n">
        <v>0</v>
      </c>
      <c r="O86" t="n">
        <v>3</v>
      </c>
      <c r="P86" t="n">
        <v>0</v>
      </c>
      <c r="Q86" t="n">
        <v>4</v>
      </c>
      <c r="R86" s="2" t="inlineStr">
        <is>
          <t>Garnlav
Lunglav
Tretåig hackspett
Revlummer</t>
        </is>
      </c>
      <c r="S86">
        <f>HYPERLINK("https://klasma.github.io/Logging_2380/artfynd/A 2962-2023 artfynd.xlsx", "A 2962-2023")</f>
        <v/>
      </c>
      <c r="T86">
        <f>HYPERLINK("https://klasma.github.io/Logging_2380/kartor/A 2962-2023 karta.png", "A 2962-2023")</f>
        <v/>
      </c>
      <c r="V86">
        <f>HYPERLINK("https://klasma.github.io/Logging_2380/klagomål/A 2962-2023 FSC-klagomål.docx", "A 2962-2023")</f>
        <v/>
      </c>
      <c r="W86">
        <f>HYPERLINK("https://klasma.github.io/Logging_2380/klagomålsmail/A 2962-2023 FSC-klagomål mail.docx", "A 2962-2023")</f>
        <v/>
      </c>
      <c r="X86">
        <f>HYPERLINK("https://klasma.github.io/Logging_2380/tillsyn/A 2962-2023 tillsynsbegäran.docx", "A 2962-2023")</f>
        <v/>
      </c>
      <c r="Y86">
        <f>HYPERLINK("https://klasma.github.io/Logging_2380/tillsynsmail/A 2962-2023 tillsynsbegäran mail.docx", "A 2962-2023")</f>
        <v/>
      </c>
      <c r="Z86">
        <f>HYPERLINK("https://klasma.github.io/Logging_2380/fåglar/A 2962-2023 prioriterade fågelarter.docx", "A 2962-2023")</f>
        <v/>
      </c>
    </row>
    <row r="87" ht="15" customHeight="1">
      <c r="A87" t="inlineStr">
        <is>
          <t>A 49192-2025</t>
        </is>
      </c>
      <c r="B87" s="1" t="n">
        <v>45938.40790509259</v>
      </c>
      <c r="C87" s="1" t="n">
        <v>46050</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55258-2025</t>
        </is>
      </c>
      <c r="B88" s="1" t="n">
        <v>45968.6444212963</v>
      </c>
      <c r="C88" s="1" t="n">
        <v>46050</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59291-2022</t>
        </is>
      </c>
      <c r="B89" s="1" t="n">
        <v>44904</v>
      </c>
      <c r="C89" s="1" t="n">
        <v>46050</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57711-2025</t>
        </is>
      </c>
      <c r="B90" s="1" t="n">
        <v>45981.47217592593</v>
      </c>
      <c r="C90" s="1" t="n">
        <v>46050</v>
      </c>
      <c r="D90" t="inlineStr">
        <is>
          <t>JÄMTLANDS LÄN</t>
        </is>
      </c>
      <c r="E90" t="inlineStr">
        <is>
          <t>ÖSTERSUND</t>
        </is>
      </c>
      <c r="F90" t="inlineStr">
        <is>
          <t>Övriga Aktiebolag</t>
        </is>
      </c>
      <c r="G90" t="n">
        <v>2.6</v>
      </c>
      <c r="H90" t="n">
        <v>0</v>
      </c>
      <c r="I90" t="n">
        <v>4</v>
      </c>
      <c r="J90" t="n">
        <v>0</v>
      </c>
      <c r="K90" t="n">
        <v>0</v>
      </c>
      <c r="L90" t="n">
        <v>0</v>
      </c>
      <c r="M90" t="n">
        <v>0</v>
      </c>
      <c r="N90" t="n">
        <v>0</v>
      </c>
      <c r="O90" t="n">
        <v>0</v>
      </c>
      <c r="P90" t="n">
        <v>0</v>
      </c>
      <c r="Q90" t="n">
        <v>4</v>
      </c>
      <c r="R90" s="2" t="inlineStr">
        <is>
          <t>Diskvaxskivling
Fjällig taggsvamp s.str.
Kransrams
Kryddspindling</t>
        </is>
      </c>
      <c r="S90">
        <f>HYPERLINK("https://klasma.github.io/Logging_2380/artfynd/A 57711-2025 artfynd.xlsx", "A 57711-2025")</f>
        <v/>
      </c>
      <c r="T90">
        <f>HYPERLINK("https://klasma.github.io/Logging_2380/kartor/A 57711-2025 karta.png", "A 57711-2025")</f>
        <v/>
      </c>
      <c r="V90">
        <f>HYPERLINK("https://klasma.github.io/Logging_2380/klagomål/A 57711-2025 FSC-klagomål.docx", "A 57711-2025")</f>
        <v/>
      </c>
      <c r="W90">
        <f>HYPERLINK("https://klasma.github.io/Logging_2380/klagomålsmail/A 57711-2025 FSC-klagomål mail.docx", "A 57711-2025")</f>
        <v/>
      </c>
      <c r="X90">
        <f>HYPERLINK("https://klasma.github.io/Logging_2380/tillsyn/A 57711-2025 tillsynsbegäran.docx", "A 57711-2025")</f>
        <v/>
      </c>
      <c r="Y90">
        <f>HYPERLINK("https://klasma.github.io/Logging_2380/tillsynsmail/A 57711-2025 tillsynsbegäran mail.docx", "A 57711-2025")</f>
        <v/>
      </c>
    </row>
    <row r="91" ht="15" customHeight="1">
      <c r="A91" t="inlineStr">
        <is>
          <t>A 60580-2024</t>
        </is>
      </c>
      <c r="B91" s="1" t="n">
        <v>45644</v>
      </c>
      <c r="C91" s="1" t="n">
        <v>46050</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29135-2022</t>
        </is>
      </c>
      <c r="B92" s="1" t="n">
        <v>44750</v>
      </c>
      <c r="C92" s="1" t="n">
        <v>46050</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5171-2026</t>
        </is>
      </c>
      <c r="B93" s="1" t="n">
        <v>46049.64416666667</v>
      </c>
      <c r="C93" s="1" t="n">
        <v>46050</v>
      </c>
      <c r="D93" t="inlineStr">
        <is>
          <t>JÄMTLANDS LÄN</t>
        </is>
      </c>
      <c r="E93" t="inlineStr">
        <is>
          <t>ÖSTERSUND</t>
        </is>
      </c>
      <c r="G93" t="n">
        <v>4.1</v>
      </c>
      <c r="H93" t="n">
        <v>1</v>
      </c>
      <c r="I93" t="n">
        <v>4</v>
      </c>
      <c r="J93" t="n">
        <v>0</v>
      </c>
      <c r="K93" t="n">
        <v>0</v>
      </c>
      <c r="L93" t="n">
        <v>0</v>
      </c>
      <c r="M93" t="n">
        <v>0</v>
      </c>
      <c r="N93" t="n">
        <v>0</v>
      </c>
      <c r="O93" t="n">
        <v>0</v>
      </c>
      <c r="P93" t="n">
        <v>0</v>
      </c>
      <c r="Q93" t="n">
        <v>4</v>
      </c>
      <c r="R93" s="2" t="inlineStr">
        <is>
          <t>Fjällig taggsvamp s.str.
Korallblylav
Korallrot
Stuplav</t>
        </is>
      </c>
      <c r="S93">
        <f>HYPERLINK("https://klasma.github.io/Logging_2380/artfynd/A 5171-2026 artfynd.xlsx", "A 5171-2026")</f>
        <v/>
      </c>
      <c r="T93">
        <f>HYPERLINK("https://klasma.github.io/Logging_2380/kartor/A 5171-2026 karta.png", "A 5171-2026")</f>
        <v/>
      </c>
      <c r="V93">
        <f>HYPERLINK("https://klasma.github.io/Logging_2380/klagomål/A 5171-2026 FSC-klagomål.docx", "A 5171-2026")</f>
        <v/>
      </c>
      <c r="W93">
        <f>HYPERLINK("https://klasma.github.io/Logging_2380/klagomålsmail/A 5171-2026 FSC-klagomål mail.docx", "A 5171-2026")</f>
        <v/>
      </c>
      <c r="X93">
        <f>HYPERLINK("https://klasma.github.io/Logging_2380/tillsyn/A 5171-2026 tillsynsbegäran.docx", "A 5171-2026")</f>
        <v/>
      </c>
      <c r="Y93">
        <f>HYPERLINK("https://klasma.github.io/Logging_2380/tillsynsmail/A 5171-2026 tillsynsbegäran mail.docx", "A 5171-2026")</f>
        <v/>
      </c>
    </row>
    <row r="94" ht="15" customHeight="1">
      <c r="A94" t="inlineStr">
        <is>
          <t>A 38335-2023</t>
        </is>
      </c>
      <c r="B94" s="1" t="n">
        <v>45161</v>
      </c>
      <c r="C94" s="1" t="n">
        <v>46050</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54421-2021</t>
        </is>
      </c>
      <c r="B95" s="1" t="n">
        <v>44473.43114583333</v>
      </c>
      <c r="C95" s="1" t="n">
        <v>46050</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50895-2024</t>
        </is>
      </c>
      <c r="B96" s="1" t="n">
        <v>45602</v>
      </c>
      <c r="C96" s="1" t="n">
        <v>46050</v>
      </c>
      <c r="D96" t="inlineStr">
        <is>
          <t>JÄMTLANDS LÄN</t>
        </is>
      </c>
      <c r="E96" t="inlineStr">
        <is>
          <t>ÖSTERSUND</t>
        </is>
      </c>
      <c r="F96" t="inlineStr">
        <is>
          <t>Kommuner</t>
        </is>
      </c>
      <c r="G96" t="n">
        <v>6</v>
      </c>
      <c r="H96" t="n">
        <v>2</v>
      </c>
      <c r="I96" t="n">
        <v>0</v>
      </c>
      <c r="J96" t="n">
        <v>2</v>
      </c>
      <c r="K96" t="n">
        <v>1</v>
      </c>
      <c r="L96" t="n">
        <v>0</v>
      </c>
      <c r="M96" t="n">
        <v>0</v>
      </c>
      <c r="N96" t="n">
        <v>0</v>
      </c>
      <c r="O96" t="n">
        <v>3</v>
      </c>
      <c r="P96" t="n">
        <v>1</v>
      </c>
      <c r="Q96" t="n">
        <v>3</v>
      </c>
      <c r="R96" s="2" t="inlineStr">
        <is>
          <t>Knärot
Garnlav
Tretåig hackspett</t>
        </is>
      </c>
      <c r="S96">
        <f>HYPERLINK("https://klasma.github.io/Logging_2380/artfynd/A 50895-2024 artfynd.xlsx", "A 50895-2024")</f>
        <v/>
      </c>
      <c r="T96">
        <f>HYPERLINK("https://klasma.github.io/Logging_2380/kartor/A 50895-2024 karta.png", "A 50895-2024")</f>
        <v/>
      </c>
      <c r="U96">
        <f>HYPERLINK("https://klasma.github.io/Logging_2380/knärot/A 50895-2024 karta knärot.png", "A 50895-2024")</f>
        <v/>
      </c>
      <c r="V96">
        <f>HYPERLINK("https://klasma.github.io/Logging_2380/klagomål/A 50895-2024 FSC-klagomål.docx", "A 50895-2024")</f>
        <v/>
      </c>
      <c r="W96">
        <f>HYPERLINK("https://klasma.github.io/Logging_2380/klagomålsmail/A 50895-2024 FSC-klagomål mail.docx", "A 50895-2024")</f>
        <v/>
      </c>
      <c r="X96">
        <f>HYPERLINK("https://klasma.github.io/Logging_2380/tillsyn/A 50895-2024 tillsynsbegäran.docx", "A 50895-2024")</f>
        <v/>
      </c>
      <c r="Y96">
        <f>HYPERLINK("https://klasma.github.io/Logging_2380/tillsynsmail/A 50895-2024 tillsynsbegäran mail.docx", "A 50895-2024")</f>
        <v/>
      </c>
      <c r="Z96">
        <f>HYPERLINK("https://klasma.github.io/Logging_2380/fåglar/A 50895-2024 prioriterade fågelarter.docx", "A 50895-2024")</f>
        <v/>
      </c>
    </row>
    <row r="97" ht="15" customHeight="1">
      <c r="A97" t="inlineStr">
        <is>
          <t>A 43981-2023</t>
        </is>
      </c>
      <c r="B97" s="1" t="n">
        <v>45187</v>
      </c>
      <c r="C97" s="1" t="n">
        <v>46050</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36742-2024</t>
        </is>
      </c>
      <c r="B98" s="1" t="n">
        <v>45538.33584490741</v>
      </c>
      <c r="C98" s="1" t="n">
        <v>46050</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3846-2024</t>
        </is>
      </c>
      <c r="B99" s="1" t="n">
        <v>45321</v>
      </c>
      <c r="C99" s="1" t="n">
        <v>46050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36806-2025</t>
        </is>
      </c>
      <c r="B100" s="1" t="n">
        <v>45873.69988425926</v>
      </c>
      <c r="C100" s="1" t="n">
        <v>46050</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5100-2023</t>
        </is>
      </c>
      <c r="B101" s="1" t="n">
        <v>44956</v>
      </c>
      <c r="C101" s="1" t="n">
        <v>46050</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46050</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60565-2022</t>
        </is>
      </c>
      <c r="B103" s="1" t="n">
        <v>44904</v>
      </c>
      <c r="C103" s="1" t="n">
        <v>46050</v>
      </c>
      <c r="D103" t="inlineStr">
        <is>
          <t>JÄMTLANDS LÄN</t>
        </is>
      </c>
      <c r="E103" t="inlineStr">
        <is>
          <t>ÖSTERSUND</t>
        </is>
      </c>
      <c r="G103" t="n">
        <v>2.5</v>
      </c>
      <c r="H103" t="n">
        <v>2</v>
      </c>
      <c r="I103" t="n">
        <v>0</v>
      </c>
      <c r="J103" t="n">
        <v>2</v>
      </c>
      <c r="K103" t="n">
        <v>0</v>
      </c>
      <c r="L103" t="n">
        <v>0</v>
      </c>
      <c r="M103" t="n">
        <v>0</v>
      </c>
      <c r="N103" t="n">
        <v>0</v>
      </c>
      <c r="O103" t="n">
        <v>2</v>
      </c>
      <c r="P103" t="n">
        <v>0</v>
      </c>
      <c r="Q103" t="n">
        <v>3</v>
      </c>
      <c r="R103" s="2" t="inlineStr">
        <is>
          <t>Garnlav
Talltita
Revlummer</t>
        </is>
      </c>
      <c r="S103">
        <f>HYPERLINK("https://klasma.github.io/Logging_2380/artfynd/A 60565-2022 artfynd.xlsx", "A 60565-2022")</f>
        <v/>
      </c>
      <c r="T103">
        <f>HYPERLINK("https://klasma.github.io/Logging_2380/kartor/A 60565-2022 karta.png", "A 60565-2022")</f>
        <v/>
      </c>
      <c r="V103">
        <f>HYPERLINK("https://klasma.github.io/Logging_2380/klagomål/A 60565-2022 FSC-klagomål.docx", "A 60565-2022")</f>
        <v/>
      </c>
      <c r="W103">
        <f>HYPERLINK("https://klasma.github.io/Logging_2380/klagomålsmail/A 60565-2022 FSC-klagomål mail.docx", "A 60565-2022")</f>
        <v/>
      </c>
      <c r="X103">
        <f>HYPERLINK("https://klasma.github.io/Logging_2380/tillsyn/A 60565-2022 tillsynsbegäran.docx", "A 60565-2022")</f>
        <v/>
      </c>
      <c r="Y103">
        <f>HYPERLINK("https://klasma.github.io/Logging_2380/tillsynsmail/A 60565-2022 tillsynsbegäran mail.docx", "A 60565-2022")</f>
        <v/>
      </c>
      <c r="Z103">
        <f>HYPERLINK("https://klasma.github.io/Logging_2380/fåglar/A 60565-2022 prioriterade fågelarter.docx", "A 60565-2022")</f>
        <v/>
      </c>
    </row>
    <row r="104" ht="15" customHeight="1">
      <c r="A104" t="inlineStr">
        <is>
          <t>A 56647-2025</t>
        </is>
      </c>
      <c r="B104" s="1" t="n">
        <v>45975.63585648148</v>
      </c>
      <c r="C104" s="1" t="n">
        <v>46050</v>
      </c>
      <c r="D104" t="inlineStr">
        <is>
          <t>JÄMTLANDS LÄN</t>
        </is>
      </c>
      <c r="E104" t="inlineStr">
        <is>
          <t>ÖSTERSUND</t>
        </is>
      </c>
      <c r="G104" t="n">
        <v>12.1</v>
      </c>
      <c r="H104" t="n">
        <v>1</v>
      </c>
      <c r="I104" t="n">
        <v>0</v>
      </c>
      <c r="J104" t="n">
        <v>2</v>
      </c>
      <c r="K104" t="n">
        <v>1</v>
      </c>
      <c r="L104" t="n">
        <v>0</v>
      </c>
      <c r="M104" t="n">
        <v>0</v>
      </c>
      <c r="N104" t="n">
        <v>0</v>
      </c>
      <c r="O104" t="n">
        <v>3</v>
      </c>
      <c r="P104" t="n">
        <v>1</v>
      </c>
      <c r="Q104" t="n">
        <v>3</v>
      </c>
      <c r="R104" s="2" t="inlineStr">
        <is>
          <t>Rynkskinn
Garnlav
Tretåig hackspett</t>
        </is>
      </c>
      <c r="S104">
        <f>HYPERLINK("https://klasma.github.io/Logging_2380/artfynd/A 56647-2025 artfynd.xlsx", "A 56647-2025")</f>
        <v/>
      </c>
      <c r="T104">
        <f>HYPERLINK("https://klasma.github.io/Logging_2380/kartor/A 56647-2025 karta.png", "A 56647-2025")</f>
        <v/>
      </c>
      <c r="V104">
        <f>HYPERLINK("https://klasma.github.io/Logging_2380/klagomål/A 56647-2025 FSC-klagomål.docx", "A 56647-2025")</f>
        <v/>
      </c>
      <c r="W104">
        <f>HYPERLINK("https://klasma.github.io/Logging_2380/klagomålsmail/A 56647-2025 FSC-klagomål mail.docx", "A 56647-2025")</f>
        <v/>
      </c>
      <c r="X104">
        <f>HYPERLINK("https://klasma.github.io/Logging_2380/tillsyn/A 56647-2025 tillsynsbegäran.docx", "A 56647-2025")</f>
        <v/>
      </c>
      <c r="Y104">
        <f>HYPERLINK("https://klasma.github.io/Logging_2380/tillsynsmail/A 56647-2025 tillsynsbegäran mail.docx", "A 56647-2025")</f>
        <v/>
      </c>
      <c r="Z104">
        <f>HYPERLINK("https://klasma.github.io/Logging_2380/fåglar/A 56647-2025 prioriterade fågelarter.docx", "A 56647-2025")</f>
        <v/>
      </c>
    </row>
    <row r="105" ht="15" customHeight="1">
      <c r="A105" t="inlineStr">
        <is>
          <t>A 46705-2023</t>
        </is>
      </c>
      <c r="B105" s="1" t="n">
        <v>45198</v>
      </c>
      <c r="C105" s="1" t="n">
        <v>46050</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60565-2022</t>
        </is>
      </c>
      <c r="B106" s="1" t="n">
        <v>44904</v>
      </c>
      <c r="C106" s="1" t="n">
        <v>46050</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40695-2024</t>
        </is>
      </c>
      <c r="B107" s="1" t="n">
        <v>45558</v>
      </c>
      <c r="C107" s="1" t="n">
        <v>46050</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53652-2024</t>
        </is>
      </c>
      <c r="B108" s="1" t="n">
        <v>45615.29761574074</v>
      </c>
      <c r="C108" s="1" t="n">
        <v>46050</v>
      </c>
      <c r="D108" t="inlineStr">
        <is>
          <t>JÄMTLANDS LÄN</t>
        </is>
      </c>
      <c r="E108" t="inlineStr">
        <is>
          <t>ÖSTERSUND</t>
        </is>
      </c>
      <c r="G108" t="n">
        <v>4.2</v>
      </c>
      <c r="H108" t="n">
        <v>1</v>
      </c>
      <c r="I108" t="n">
        <v>1</v>
      </c>
      <c r="J108" t="n">
        <v>1</v>
      </c>
      <c r="K108" t="n">
        <v>0</v>
      </c>
      <c r="L108" t="n">
        <v>0</v>
      </c>
      <c r="M108" t="n">
        <v>0</v>
      </c>
      <c r="N108" t="n">
        <v>0</v>
      </c>
      <c r="O108" t="n">
        <v>1</v>
      </c>
      <c r="P108" t="n">
        <v>0</v>
      </c>
      <c r="Q108" t="n">
        <v>3</v>
      </c>
      <c r="R108" s="2" t="inlineStr">
        <is>
          <t>Flattoppad klubbsvamp
Kransrams
Revlummer</t>
        </is>
      </c>
      <c r="S108">
        <f>HYPERLINK("https://klasma.github.io/Logging_2380/artfynd/A 53652-2024 artfynd.xlsx", "A 53652-2024")</f>
        <v/>
      </c>
      <c r="T108">
        <f>HYPERLINK("https://klasma.github.io/Logging_2380/kartor/A 53652-2024 karta.png", "A 53652-2024")</f>
        <v/>
      </c>
      <c r="V108">
        <f>HYPERLINK("https://klasma.github.io/Logging_2380/klagomål/A 53652-2024 FSC-klagomål.docx", "A 53652-2024")</f>
        <v/>
      </c>
      <c r="W108">
        <f>HYPERLINK("https://klasma.github.io/Logging_2380/klagomålsmail/A 53652-2024 FSC-klagomål mail.docx", "A 53652-2024")</f>
        <v/>
      </c>
      <c r="X108">
        <f>HYPERLINK("https://klasma.github.io/Logging_2380/tillsyn/A 53652-2024 tillsynsbegäran.docx", "A 53652-2024")</f>
        <v/>
      </c>
      <c r="Y108">
        <f>HYPERLINK("https://klasma.github.io/Logging_2380/tillsynsmail/A 53652-2024 tillsynsbegäran mail.docx", "A 53652-2024")</f>
        <v/>
      </c>
    </row>
    <row r="109" ht="15" customHeight="1">
      <c r="A109" t="inlineStr">
        <is>
          <t>A 7965-2025</t>
        </is>
      </c>
      <c r="B109" s="1" t="n">
        <v>45707.45219907408</v>
      </c>
      <c r="C109" s="1" t="n">
        <v>46050</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50125-2024</t>
        </is>
      </c>
      <c r="B110" s="1" t="n">
        <v>45600.42737268518</v>
      </c>
      <c r="C110" s="1" t="n">
        <v>46050</v>
      </c>
      <c r="D110" t="inlineStr">
        <is>
          <t>JÄMTLANDS LÄN</t>
        </is>
      </c>
      <c r="E110" t="inlineStr">
        <is>
          <t>ÖSTERSUND</t>
        </is>
      </c>
      <c r="F110" t="inlineStr">
        <is>
          <t>SCA</t>
        </is>
      </c>
      <c r="G110" t="n">
        <v>2.4</v>
      </c>
      <c r="H110" t="n">
        <v>0</v>
      </c>
      <c r="I110" t="n">
        <v>1</v>
      </c>
      <c r="J110" t="n">
        <v>1</v>
      </c>
      <c r="K110" t="n">
        <v>0</v>
      </c>
      <c r="L110" t="n">
        <v>0</v>
      </c>
      <c r="M110" t="n">
        <v>0</v>
      </c>
      <c r="N110" t="n">
        <v>0</v>
      </c>
      <c r="O110" t="n">
        <v>1</v>
      </c>
      <c r="P110" t="n">
        <v>0</v>
      </c>
      <c r="Q110" t="n">
        <v>2</v>
      </c>
      <c r="R110" s="2" t="inlineStr">
        <is>
          <t>Dvärgbägarlav
Skinnlav</t>
        </is>
      </c>
      <c r="S110">
        <f>HYPERLINK("https://klasma.github.io/Logging_2380/artfynd/A 50125-2024 artfynd.xlsx", "A 50125-2024")</f>
        <v/>
      </c>
      <c r="T110">
        <f>HYPERLINK("https://klasma.github.io/Logging_2380/kartor/A 50125-2024 karta.png", "A 50125-2024")</f>
        <v/>
      </c>
      <c r="V110">
        <f>HYPERLINK("https://klasma.github.io/Logging_2380/klagomål/A 50125-2024 FSC-klagomål.docx", "A 50125-2024")</f>
        <v/>
      </c>
      <c r="W110">
        <f>HYPERLINK("https://klasma.github.io/Logging_2380/klagomålsmail/A 50125-2024 FSC-klagomål mail.docx", "A 50125-2024")</f>
        <v/>
      </c>
      <c r="X110">
        <f>HYPERLINK("https://klasma.github.io/Logging_2380/tillsyn/A 50125-2024 tillsynsbegäran.docx", "A 50125-2024")</f>
        <v/>
      </c>
      <c r="Y110">
        <f>HYPERLINK("https://klasma.github.io/Logging_2380/tillsynsmail/A 50125-2024 tillsynsbegäran mail.docx", "A 50125-2024")</f>
        <v/>
      </c>
    </row>
    <row r="111" ht="15" customHeight="1">
      <c r="A111" t="inlineStr">
        <is>
          <t>A 60446-2024</t>
        </is>
      </c>
      <c r="B111" s="1" t="n">
        <v>45643.59420138889</v>
      </c>
      <c r="C111" s="1" t="n">
        <v>46050</v>
      </c>
      <c r="D111" t="inlineStr">
        <is>
          <t>JÄMTLANDS LÄN</t>
        </is>
      </c>
      <c r="E111" t="inlineStr">
        <is>
          <t>ÖSTERSUND</t>
        </is>
      </c>
      <c r="F111" t="inlineStr">
        <is>
          <t>SCA</t>
        </is>
      </c>
      <c r="G111" t="n">
        <v>3.6</v>
      </c>
      <c r="H111" t="n">
        <v>0</v>
      </c>
      <c r="I111" t="n">
        <v>1</v>
      </c>
      <c r="J111" t="n">
        <v>1</v>
      </c>
      <c r="K111" t="n">
        <v>0</v>
      </c>
      <c r="L111" t="n">
        <v>0</v>
      </c>
      <c r="M111" t="n">
        <v>0</v>
      </c>
      <c r="N111" t="n">
        <v>0</v>
      </c>
      <c r="O111" t="n">
        <v>1</v>
      </c>
      <c r="P111" t="n">
        <v>0</v>
      </c>
      <c r="Q111" t="n">
        <v>2</v>
      </c>
      <c r="R111" s="2" t="inlineStr">
        <is>
          <t>Ullticka
Vedticka</t>
        </is>
      </c>
      <c r="S111">
        <f>HYPERLINK("https://klasma.github.io/Logging_2380/artfynd/A 60446-2024 artfynd.xlsx", "A 60446-2024")</f>
        <v/>
      </c>
      <c r="T111">
        <f>HYPERLINK("https://klasma.github.io/Logging_2380/kartor/A 60446-2024 karta.png", "A 60446-2024")</f>
        <v/>
      </c>
      <c r="V111">
        <f>HYPERLINK("https://klasma.github.io/Logging_2380/klagomål/A 60446-2024 FSC-klagomål.docx", "A 60446-2024")</f>
        <v/>
      </c>
      <c r="W111">
        <f>HYPERLINK("https://klasma.github.io/Logging_2380/klagomålsmail/A 60446-2024 FSC-klagomål mail.docx", "A 60446-2024")</f>
        <v/>
      </c>
      <c r="X111">
        <f>HYPERLINK("https://klasma.github.io/Logging_2380/tillsyn/A 60446-2024 tillsynsbegäran.docx", "A 60446-2024")</f>
        <v/>
      </c>
      <c r="Y111">
        <f>HYPERLINK("https://klasma.github.io/Logging_2380/tillsynsmail/A 60446-2024 tillsynsbegäran mail.docx", "A 60446-2024")</f>
        <v/>
      </c>
    </row>
    <row r="112" ht="15" customHeight="1">
      <c r="A112" t="inlineStr">
        <is>
          <t>A 10529-2025</t>
        </is>
      </c>
      <c r="B112" s="1" t="n">
        <v>45721.44840277778</v>
      </c>
      <c r="C112" s="1" t="n">
        <v>46050</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15700-2025</t>
        </is>
      </c>
      <c r="B113" s="1" t="n">
        <v>45748.47314814815</v>
      </c>
      <c r="C113" s="1" t="n">
        <v>46050</v>
      </c>
      <c r="D113" t="inlineStr">
        <is>
          <t>JÄMTLANDS LÄN</t>
        </is>
      </c>
      <c r="E113" t="inlineStr">
        <is>
          <t>ÖSTERSUND</t>
        </is>
      </c>
      <c r="G113" t="n">
        <v>0.9</v>
      </c>
      <c r="H113" t="n">
        <v>0</v>
      </c>
      <c r="I113" t="n">
        <v>2</v>
      </c>
      <c r="J113" t="n">
        <v>0</v>
      </c>
      <c r="K113" t="n">
        <v>0</v>
      </c>
      <c r="L113" t="n">
        <v>0</v>
      </c>
      <c r="M113" t="n">
        <v>0</v>
      </c>
      <c r="N113" t="n">
        <v>0</v>
      </c>
      <c r="O113" t="n">
        <v>0</v>
      </c>
      <c r="P113" t="n">
        <v>0</v>
      </c>
      <c r="Q113" t="n">
        <v>2</v>
      </c>
      <c r="R113" s="2" t="inlineStr">
        <is>
          <t>Brun klibbskivling
Droppklibbskivling</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26612-2025</t>
        </is>
      </c>
      <c r="B114" s="1" t="n">
        <v>45810</v>
      </c>
      <c r="C114" s="1" t="n">
        <v>46050</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40207-2025</t>
        </is>
      </c>
      <c r="B115" s="1" t="n">
        <v>45894.67988425926</v>
      </c>
      <c r="C115" s="1" t="n">
        <v>46050</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45237-2025</t>
        </is>
      </c>
      <c r="B116" s="1" t="n">
        <v>45919.59467592592</v>
      </c>
      <c r="C116" s="1" t="n">
        <v>46050</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35977-2024</t>
        </is>
      </c>
      <c r="B117" s="1" t="n">
        <v>45533.49601851852</v>
      </c>
      <c r="C117" s="1" t="n">
        <v>46050</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54872-2025</t>
        </is>
      </c>
      <c r="B118" s="1" t="n">
        <v>45966.94104166667</v>
      </c>
      <c r="C118" s="1" t="n">
        <v>46050</v>
      </c>
      <c r="D118" t="inlineStr">
        <is>
          <t>JÄMTLANDS LÄN</t>
        </is>
      </c>
      <c r="E118" t="inlineStr">
        <is>
          <t>ÖSTERSUND</t>
        </is>
      </c>
      <c r="G118" t="n">
        <v>2.4</v>
      </c>
      <c r="H118" t="n">
        <v>1</v>
      </c>
      <c r="I118" t="n">
        <v>1</v>
      </c>
      <c r="J118" t="n">
        <v>1</v>
      </c>
      <c r="K118" t="n">
        <v>0</v>
      </c>
      <c r="L118" t="n">
        <v>0</v>
      </c>
      <c r="M118" t="n">
        <v>0</v>
      </c>
      <c r="N118" t="n">
        <v>0</v>
      </c>
      <c r="O118" t="n">
        <v>1</v>
      </c>
      <c r="P118" t="n">
        <v>0</v>
      </c>
      <c r="Q118" t="n">
        <v>2</v>
      </c>
      <c r="R118" s="2" t="inlineStr">
        <is>
          <t>Slåtterfibbla
Korallrot</t>
        </is>
      </c>
      <c r="S118">
        <f>HYPERLINK("https://klasma.github.io/Logging_2380/artfynd/A 54872-2025 artfynd.xlsx", "A 54872-2025")</f>
        <v/>
      </c>
      <c r="T118">
        <f>HYPERLINK("https://klasma.github.io/Logging_2380/kartor/A 54872-2025 karta.png", "A 54872-2025")</f>
        <v/>
      </c>
      <c r="V118">
        <f>HYPERLINK("https://klasma.github.io/Logging_2380/klagomål/A 54872-2025 FSC-klagomål.docx", "A 54872-2025")</f>
        <v/>
      </c>
      <c r="W118">
        <f>HYPERLINK("https://klasma.github.io/Logging_2380/klagomålsmail/A 54872-2025 FSC-klagomål mail.docx", "A 54872-2025")</f>
        <v/>
      </c>
      <c r="X118">
        <f>HYPERLINK("https://klasma.github.io/Logging_2380/tillsyn/A 54872-2025 tillsynsbegäran.docx", "A 54872-2025")</f>
        <v/>
      </c>
      <c r="Y118">
        <f>HYPERLINK("https://klasma.github.io/Logging_2380/tillsynsmail/A 54872-2025 tillsynsbegäran mail.docx", "A 54872-2025")</f>
        <v/>
      </c>
    </row>
    <row r="119" ht="15" customHeight="1">
      <c r="A119" t="inlineStr">
        <is>
          <t>A 56750-2025</t>
        </is>
      </c>
      <c r="B119" s="1" t="n">
        <v>45975</v>
      </c>
      <c r="C119" s="1" t="n">
        <v>46050</v>
      </c>
      <c r="D119" t="inlineStr">
        <is>
          <t>JÄMTLANDS LÄN</t>
        </is>
      </c>
      <c r="E119" t="inlineStr">
        <is>
          <t>ÖSTERSUND</t>
        </is>
      </c>
      <c r="G119" t="n">
        <v>5.1</v>
      </c>
      <c r="H119" t="n">
        <v>1</v>
      </c>
      <c r="I119" t="n">
        <v>0</v>
      </c>
      <c r="J119" t="n">
        <v>1</v>
      </c>
      <c r="K119" t="n">
        <v>0</v>
      </c>
      <c r="L119" t="n">
        <v>0</v>
      </c>
      <c r="M119" t="n">
        <v>0</v>
      </c>
      <c r="N119" t="n">
        <v>0</v>
      </c>
      <c r="O119" t="n">
        <v>1</v>
      </c>
      <c r="P119" t="n">
        <v>0</v>
      </c>
      <c r="Q119" t="n">
        <v>2</v>
      </c>
      <c r="R119" s="2" t="inlineStr">
        <is>
          <t>Garnlav
Revlummer</t>
        </is>
      </c>
      <c r="S119">
        <f>HYPERLINK("https://klasma.github.io/Logging_2380/artfynd/A 56750-2025 artfynd.xlsx", "A 56750-2025")</f>
        <v/>
      </c>
      <c r="T119">
        <f>HYPERLINK("https://klasma.github.io/Logging_2380/kartor/A 56750-2025 karta.png", "A 56750-2025")</f>
        <v/>
      </c>
      <c r="V119">
        <f>HYPERLINK("https://klasma.github.io/Logging_2380/klagomål/A 56750-2025 FSC-klagomål.docx", "A 56750-2025")</f>
        <v/>
      </c>
      <c r="W119">
        <f>HYPERLINK("https://klasma.github.io/Logging_2380/klagomålsmail/A 56750-2025 FSC-klagomål mail.docx", "A 56750-2025")</f>
        <v/>
      </c>
      <c r="X119">
        <f>HYPERLINK("https://klasma.github.io/Logging_2380/tillsyn/A 56750-2025 tillsynsbegäran.docx", "A 56750-2025")</f>
        <v/>
      </c>
      <c r="Y119">
        <f>HYPERLINK("https://klasma.github.io/Logging_2380/tillsynsmail/A 56750-2025 tillsynsbegäran mail.docx", "A 56750-2025")</f>
        <v/>
      </c>
    </row>
    <row r="120" ht="15" customHeight="1">
      <c r="A120" t="inlineStr">
        <is>
          <t>A 58931-2025</t>
        </is>
      </c>
      <c r="B120" s="1" t="n">
        <v>45987.55831018519</v>
      </c>
      <c r="C120" s="1" t="n">
        <v>46050</v>
      </c>
      <c r="D120" t="inlineStr">
        <is>
          <t>JÄMTLANDS LÄN</t>
        </is>
      </c>
      <c r="E120" t="inlineStr">
        <is>
          <t>ÖSTERSUND</t>
        </is>
      </c>
      <c r="G120" t="n">
        <v>3.9</v>
      </c>
      <c r="H120" t="n">
        <v>2</v>
      </c>
      <c r="I120" t="n">
        <v>0</v>
      </c>
      <c r="J120" t="n">
        <v>0</v>
      </c>
      <c r="K120" t="n">
        <v>0</v>
      </c>
      <c r="L120" t="n">
        <v>0</v>
      </c>
      <c r="M120" t="n">
        <v>0</v>
      </c>
      <c r="N120" t="n">
        <v>0</v>
      </c>
      <c r="O120" t="n">
        <v>0</v>
      </c>
      <c r="P120" t="n">
        <v>0</v>
      </c>
      <c r="Q120" t="n">
        <v>2</v>
      </c>
      <c r="R120" s="2" t="inlineStr">
        <is>
          <t>Blåsippa
Revlummer</t>
        </is>
      </c>
      <c r="S120">
        <f>HYPERLINK("https://klasma.github.io/Logging_2380/artfynd/A 58931-2025 artfynd.xlsx", "A 58931-2025")</f>
        <v/>
      </c>
      <c r="T120">
        <f>HYPERLINK("https://klasma.github.io/Logging_2380/kartor/A 58931-2025 karta.png", "A 58931-2025")</f>
        <v/>
      </c>
      <c r="V120">
        <f>HYPERLINK("https://klasma.github.io/Logging_2380/klagomål/A 58931-2025 FSC-klagomål.docx", "A 58931-2025")</f>
        <v/>
      </c>
      <c r="W120">
        <f>HYPERLINK("https://klasma.github.io/Logging_2380/klagomålsmail/A 58931-2025 FSC-klagomål mail.docx", "A 58931-2025")</f>
        <v/>
      </c>
      <c r="X120">
        <f>HYPERLINK("https://klasma.github.io/Logging_2380/tillsyn/A 58931-2025 tillsynsbegäran.docx", "A 58931-2025")</f>
        <v/>
      </c>
      <c r="Y120">
        <f>HYPERLINK("https://klasma.github.io/Logging_2380/tillsynsmail/A 58931-2025 tillsynsbegäran mail.docx", "A 58931-2025")</f>
        <v/>
      </c>
    </row>
    <row r="121" ht="15" customHeight="1">
      <c r="A121" t="inlineStr">
        <is>
          <t>A 63930-2023</t>
        </is>
      </c>
      <c r="B121" s="1" t="n">
        <v>45278</v>
      </c>
      <c r="C121" s="1" t="n">
        <v>46050</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59793-2022</t>
        </is>
      </c>
      <c r="B122" s="1" t="n">
        <v>44908</v>
      </c>
      <c r="C122" s="1" t="n">
        <v>46050</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46105-2021</t>
        </is>
      </c>
      <c r="B123" s="1" t="n">
        <v>44441</v>
      </c>
      <c r="C123" s="1" t="n">
        <v>46050</v>
      </c>
      <c r="D123" t="inlineStr">
        <is>
          <t>JÄMTLANDS LÄN</t>
        </is>
      </c>
      <c r="E123" t="inlineStr">
        <is>
          <t>ÖSTERSUND</t>
        </is>
      </c>
      <c r="G123" t="n">
        <v>4.4</v>
      </c>
      <c r="H123" t="n">
        <v>2</v>
      </c>
      <c r="I123" t="n">
        <v>0</v>
      </c>
      <c r="J123" t="n">
        <v>1</v>
      </c>
      <c r="K123" t="n">
        <v>1</v>
      </c>
      <c r="L123" t="n">
        <v>0</v>
      </c>
      <c r="M123" t="n">
        <v>0</v>
      </c>
      <c r="N123" t="n">
        <v>0</v>
      </c>
      <c r="O123" t="n">
        <v>2</v>
      </c>
      <c r="P123" t="n">
        <v>1</v>
      </c>
      <c r="Q123" t="n">
        <v>2</v>
      </c>
      <c r="R123" s="2" t="inlineStr">
        <is>
          <t>Tallbit
Tretåig hackspett</t>
        </is>
      </c>
      <c r="S123">
        <f>HYPERLINK("https://klasma.github.io/Logging_2380/artfynd/A 46105-2021 artfynd.xlsx", "A 46105-2021")</f>
        <v/>
      </c>
      <c r="T123">
        <f>HYPERLINK("https://klasma.github.io/Logging_2380/kartor/A 46105-2021 karta.png", "A 46105-2021")</f>
        <v/>
      </c>
      <c r="V123">
        <f>HYPERLINK("https://klasma.github.io/Logging_2380/klagomål/A 46105-2021 FSC-klagomål.docx", "A 46105-2021")</f>
        <v/>
      </c>
      <c r="W123">
        <f>HYPERLINK("https://klasma.github.io/Logging_2380/klagomålsmail/A 46105-2021 FSC-klagomål mail.docx", "A 46105-2021")</f>
        <v/>
      </c>
      <c r="X123">
        <f>HYPERLINK("https://klasma.github.io/Logging_2380/tillsyn/A 46105-2021 tillsynsbegäran.docx", "A 46105-2021")</f>
        <v/>
      </c>
      <c r="Y123">
        <f>HYPERLINK("https://klasma.github.io/Logging_2380/tillsynsmail/A 46105-2021 tillsynsbegäran mail.docx", "A 46105-2021")</f>
        <v/>
      </c>
      <c r="Z123">
        <f>HYPERLINK("https://klasma.github.io/Logging_2380/fåglar/A 46105-2021 prioriterade fågelarter.docx", "A 46105-2021")</f>
        <v/>
      </c>
    </row>
    <row r="124" ht="15" customHeight="1">
      <c r="A124" t="inlineStr">
        <is>
          <t>A 47385-2022</t>
        </is>
      </c>
      <c r="B124" s="1" t="n">
        <v>44853</v>
      </c>
      <c r="C124" s="1" t="n">
        <v>46050</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60614-2022</t>
        </is>
      </c>
      <c r="B125" s="1" t="n">
        <v>44911</v>
      </c>
      <c r="C125" s="1" t="n">
        <v>46050</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52129-2023</t>
        </is>
      </c>
      <c r="B126" s="1" t="n">
        <v>45223</v>
      </c>
      <c r="C126" s="1" t="n">
        <v>46050</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4916-2023</t>
        </is>
      </c>
      <c r="B127" s="1" t="n">
        <v>44956</v>
      </c>
      <c r="C127" s="1" t="n">
        <v>46050</v>
      </c>
      <c r="D127" t="inlineStr">
        <is>
          <t>JÄMTLANDS LÄN</t>
        </is>
      </c>
      <c r="E127" t="inlineStr">
        <is>
          <t>ÖSTERSUND</t>
        </is>
      </c>
      <c r="G127" t="n">
        <v>1.2</v>
      </c>
      <c r="H127" t="n">
        <v>0</v>
      </c>
      <c r="I127" t="n">
        <v>1</v>
      </c>
      <c r="J127" t="n">
        <v>0</v>
      </c>
      <c r="K127" t="n">
        <v>0</v>
      </c>
      <c r="L127" t="n">
        <v>1</v>
      </c>
      <c r="M127" t="n">
        <v>0</v>
      </c>
      <c r="N127" t="n">
        <v>0</v>
      </c>
      <c r="O127" t="n">
        <v>1</v>
      </c>
      <c r="P127" t="n">
        <v>1</v>
      </c>
      <c r="Q127" t="n">
        <v>2</v>
      </c>
      <c r="R127" s="2" t="inlineStr">
        <is>
          <t>Trolldruvemätare
Svart trolldruva</t>
        </is>
      </c>
      <c r="S127">
        <f>HYPERLINK("https://klasma.github.io/Logging_2380/artfynd/A 4916-2023 artfynd.xlsx", "A 4916-2023")</f>
        <v/>
      </c>
      <c r="T127">
        <f>HYPERLINK("https://klasma.github.io/Logging_2380/kartor/A 4916-2023 karta.png", "A 4916-2023")</f>
        <v/>
      </c>
      <c r="V127">
        <f>HYPERLINK("https://klasma.github.io/Logging_2380/klagomål/A 4916-2023 FSC-klagomål.docx", "A 4916-2023")</f>
        <v/>
      </c>
      <c r="W127">
        <f>HYPERLINK("https://klasma.github.io/Logging_2380/klagomålsmail/A 4916-2023 FSC-klagomål mail.docx", "A 4916-2023")</f>
        <v/>
      </c>
      <c r="X127">
        <f>HYPERLINK("https://klasma.github.io/Logging_2380/tillsyn/A 4916-2023 tillsynsbegäran.docx", "A 4916-2023")</f>
        <v/>
      </c>
      <c r="Y127">
        <f>HYPERLINK("https://klasma.github.io/Logging_2380/tillsynsmail/A 4916-2023 tillsynsbegäran mail.docx", "A 4916-2023")</f>
        <v/>
      </c>
    </row>
    <row r="128" ht="15" customHeight="1">
      <c r="A128" t="inlineStr">
        <is>
          <t>A 21615-2024</t>
        </is>
      </c>
      <c r="B128" s="1" t="n">
        <v>45441.95357638889</v>
      </c>
      <c r="C128" s="1" t="n">
        <v>46050</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39968-2024</t>
        </is>
      </c>
      <c r="B129" s="1" t="n">
        <v>45553.59296296296</v>
      </c>
      <c r="C129" s="1" t="n">
        <v>46050</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56006-2023</t>
        </is>
      </c>
      <c r="B130" s="1" t="n">
        <v>45233</v>
      </c>
      <c r="C130" s="1" t="n">
        <v>46050</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13795-2025</t>
        </is>
      </c>
      <c r="B131" s="1" t="n">
        <v>45737</v>
      </c>
      <c r="C131" s="1" t="n">
        <v>46050</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60534-2022</t>
        </is>
      </c>
      <c r="B132" s="1" t="n">
        <v>44904</v>
      </c>
      <c r="C132" s="1" t="n">
        <v>46050</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33137-2021</t>
        </is>
      </c>
      <c r="B133" s="1" t="n">
        <v>44376</v>
      </c>
      <c r="C133" s="1" t="n">
        <v>46050</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46050</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46050</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46163-2021</t>
        </is>
      </c>
      <c r="B136" s="1" t="n">
        <v>44441</v>
      </c>
      <c r="C136" s="1" t="n">
        <v>46050</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27578-2022</t>
        </is>
      </c>
      <c r="B137" s="1" t="n">
        <v>44742</v>
      </c>
      <c r="C137" s="1" t="n">
        <v>46050</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59108-2024</t>
        </is>
      </c>
      <c r="B138" s="1" t="n">
        <v>45637.34469907408</v>
      </c>
      <c r="C138" s="1" t="n">
        <v>46050</v>
      </c>
      <c r="D138" t="inlineStr">
        <is>
          <t>JÄMTLANDS LÄN</t>
        </is>
      </c>
      <c r="E138" t="inlineStr">
        <is>
          <t>ÖSTERSUND</t>
        </is>
      </c>
      <c r="F138" t="inlineStr">
        <is>
          <t>SCA</t>
        </is>
      </c>
      <c r="G138" t="n">
        <v>10.6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59108-2024 artfynd.xlsx", "A 59108-2024")</f>
        <v/>
      </c>
      <c r="T138">
        <f>HYPERLINK("https://klasma.github.io/Logging_2380/kartor/A 59108-2024 karta.png", "A 59108-2024")</f>
        <v/>
      </c>
      <c r="V138">
        <f>HYPERLINK("https://klasma.github.io/Logging_2380/klagomål/A 59108-2024 FSC-klagomål.docx", "A 59108-2024")</f>
        <v/>
      </c>
      <c r="W138">
        <f>HYPERLINK("https://klasma.github.io/Logging_2380/klagomålsmail/A 59108-2024 FSC-klagomål mail.docx", "A 59108-2024")</f>
        <v/>
      </c>
      <c r="X138">
        <f>HYPERLINK("https://klasma.github.io/Logging_2380/tillsyn/A 59108-2024 tillsynsbegäran.docx", "A 59108-2024")</f>
        <v/>
      </c>
      <c r="Y138">
        <f>HYPERLINK("https://klasma.github.io/Logging_2380/tillsynsmail/A 59108-2024 tillsynsbegäran mail.docx", "A 59108-2024")</f>
        <v/>
      </c>
      <c r="Z138">
        <f>HYPERLINK("https://klasma.github.io/Logging_2380/fåglar/A 59108-2024 prioriterade fågelarter.docx", "A 59108-2024")</f>
        <v/>
      </c>
    </row>
    <row r="139" ht="15" customHeight="1">
      <c r="A139" t="inlineStr">
        <is>
          <t>A 64380-2023</t>
        </is>
      </c>
      <c r="B139" s="1" t="n">
        <v>45280.56451388889</v>
      </c>
      <c r="C139" s="1" t="n">
        <v>46050</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40694-2024</t>
        </is>
      </c>
      <c r="B140" s="1" t="n">
        <v>45558</v>
      </c>
      <c r="C140" s="1" t="n">
        <v>46050</v>
      </c>
      <c r="D140" t="inlineStr">
        <is>
          <t>JÄMTLANDS LÄN</t>
        </is>
      </c>
      <c r="E140" t="inlineStr">
        <is>
          <t>ÖSTERSUND</t>
        </is>
      </c>
      <c r="F140" t="inlineStr">
        <is>
          <t>SCA</t>
        </is>
      </c>
      <c r="G140" t="n">
        <v>6.2</v>
      </c>
      <c r="H140" t="n">
        <v>0</v>
      </c>
      <c r="I140" t="n">
        <v>0</v>
      </c>
      <c r="J140" t="n">
        <v>1</v>
      </c>
      <c r="K140" t="n">
        <v>0</v>
      </c>
      <c r="L140" t="n">
        <v>0</v>
      </c>
      <c r="M140" t="n">
        <v>0</v>
      </c>
      <c r="N140" t="n">
        <v>0</v>
      </c>
      <c r="O140" t="n">
        <v>1</v>
      </c>
      <c r="P140" t="n">
        <v>0</v>
      </c>
      <c r="Q140" t="n">
        <v>1</v>
      </c>
      <c r="R140" s="2" t="inlineStr">
        <is>
          <t>Reliktbock</t>
        </is>
      </c>
      <c r="S140">
        <f>HYPERLINK("https://klasma.github.io/Logging_2380/artfynd/A 40694-2024 artfynd.xlsx", "A 40694-2024")</f>
        <v/>
      </c>
      <c r="T140">
        <f>HYPERLINK("https://klasma.github.io/Logging_2380/kartor/A 40694-2024 karta.png", "A 40694-2024")</f>
        <v/>
      </c>
      <c r="V140">
        <f>HYPERLINK("https://klasma.github.io/Logging_2380/klagomål/A 40694-2024 FSC-klagomål.docx", "A 40694-2024")</f>
        <v/>
      </c>
      <c r="W140">
        <f>HYPERLINK("https://klasma.github.io/Logging_2380/klagomålsmail/A 40694-2024 FSC-klagomål mail.docx", "A 40694-2024")</f>
        <v/>
      </c>
      <c r="X140">
        <f>HYPERLINK("https://klasma.github.io/Logging_2380/tillsyn/A 40694-2024 tillsynsbegäran.docx", "A 40694-2024")</f>
        <v/>
      </c>
      <c r="Y140">
        <f>HYPERLINK("https://klasma.github.io/Logging_2380/tillsynsmail/A 40694-2024 tillsynsbegäran mail.docx", "A 40694-2024")</f>
        <v/>
      </c>
    </row>
    <row r="141" ht="15" customHeight="1">
      <c r="A141" t="inlineStr">
        <is>
          <t>A 55821-2021</t>
        </is>
      </c>
      <c r="B141" s="1" t="n">
        <v>44476</v>
      </c>
      <c r="C141" s="1" t="n">
        <v>46050</v>
      </c>
      <c r="D141" t="inlineStr">
        <is>
          <t>JÄMTLANDS LÄN</t>
        </is>
      </c>
      <c r="E141" t="inlineStr">
        <is>
          <t>ÖSTERSUND</t>
        </is>
      </c>
      <c r="G141" t="n">
        <v>7.2</v>
      </c>
      <c r="H141" t="n">
        <v>0</v>
      </c>
      <c r="I141" t="n">
        <v>0</v>
      </c>
      <c r="J141" t="n">
        <v>1</v>
      </c>
      <c r="K141" t="n">
        <v>0</v>
      </c>
      <c r="L141" t="n">
        <v>0</v>
      </c>
      <c r="M141" t="n">
        <v>0</v>
      </c>
      <c r="N141" t="n">
        <v>0</v>
      </c>
      <c r="O141" t="n">
        <v>1</v>
      </c>
      <c r="P141" t="n">
        <v>0</v>
      </c>
      <c r="Q141" t="n">
        <v>1</v>
      </c>
      <c r="R141" s="2" t="inlineStr">
        <is>
          <t>Harticka</t>
        </is>
      </c>
      <c r="S141">
        <f>HYPERLINK("https://klasma.github.io/Logging_2380/artfynd/A 55821-2021 artfynd.xlsx", "A 55821-2021")</f>
        <v/>
      </c>
      <c r="T141">
        <f>HYPERLINK("https://klasma.github.io/Logging_2380/kartor/A 55821-2021 karta.png", "A 55821-2021")</f>
        <v/>
      </c>
      <c r="V141">
        <f>HYPERLINK("https://klasma.github.io/Logging_2380/klagomål/A 55821-2021 FSC-klagomål.docx", "A 55821-2021")</f>
        <v/>
      </c>
      <c r="W141">
        <f>HYPERLINK("https://klasma.github.io/Logging_2380/klagomålsmail/A 55821-2021 FSC-klagomål mail.docx", "A 55821-2021")</f>
        <v/>
      </c>
      <c r="X141">
        <f>HYPERLINK("https://klasma.github.io/Logging_2380/tillsyn/A 55821-2021 tillsynsbegäran.docx", "A 55821-2021")</f>
        <v/>
      </c>
      <c r="Y141">
        <f>HYPERLINK("https://klasma.github.io/Logging_2380/tillsynsmail/A 55821-2021 tillsynsbegäran mail.docx", "A 55821-2021")</f>
        <v/>
      </c>
    </row>
    <row r="142" ht="15" customHeight="1">
      <c r="A142" t="inlineStr">
        <is>
          <t>A 17217-2021</t>
        </is>
      </c>
      <c r="B142" s="1" t="n">
        <v>44298</v>
      </c>
      <c r="C142" s="1" t="n">
        <v>46050</v>
      </c>
      <c r="D142" t="inlineStr">
        <is>
          <t>JÄMTLANDS LÄN</t>
        </is>
      </c>
      <c r="E142" t="inlineStr">
        <is>
          <t>ÖSTERSUND</t>
        </is>
      </c>
      <c r="G142" t="n">
        <v>10.4</v>
      </c>
      <c r="H142" t="n">
        <v>0</v>
      </c>
      <c r="I142" t="n">
        <v>0</v>
      </c>
      <c r="J142" t="n">
        <v>1</v>
      </c>
      <c r="K142" t="n">
        <v>0</v>
      </c>
      <c r="L142" t="n">
        <v>0</v>
      </c>
      <c r="M142" t="n">
        <v>0</v>
      </c>
      <c r="N142" t="n">
        <v>0</v>
      </c>
      <c r="O142" t="n">
        <v>1</v>
      </c>
      <c r="P142" t="n">
        <v>0</v>
      </c>
      <c r="Q142" t="n">
        <v>1</v>
      </c>
      <c r="R142" s="2" t="inlineStr">
        <is>
          <t>Rödbrun klubbdyna</t>
        </is>
      </c>
      <c r="S142">
        <f>HYPERLINK("https://klasma.github.io/Logging_2380/artfynd/A 17217-2021 artfynd.xlsx", "A 17217-2021")</f>
        <v/>
      </c>
      <c r="T142">
        <f>HYPERLINK("https://klasma.github.io/Logging_2380/kartor/A 17217-2021 karta.png", "A 17217-2021")</f>
        <v/>
      </c>
      <c r="V142">
        <f>HYPERLINK("https://klasma.github.io/Logging_2380/klagomål/A 17217-2021 FSC-klagomål.docx", "A 17217-2021")</f>
        <v/>
      </c>
      <c r="W142">
        <f>HYPERLINK("https://klasma.github.io/Logging_2380/klagomålsmail/A 17217-2021 FSC-klagomål mail.docx", "A 17217-2021")</f>
        <v/>
      </c>
      <c r="X142">
        <f>HYPERLINK("https://klasma.github.io/Logging_2380/tillsyn/A 17217-2021 tillsynsbegäran.docx", "A 17217-2021")</f>
        <v/>
      </c>
      <c r="Y142">
        <f>HYPERLINK("https://klasma.github.io/Logging_2380/tillsynsmail/A 17217-2021 tillsynsbegäran mail.docx", "A 17217-2021")</f>
        <v/>
      </c>
    </row>
    <row r="143" ht="15" customHeight="1">
      <c r="A143" t="inlineStr">
        <is>
          <t>A 26605-2025</t>
        </is>
      </c>
      <c r="B143" s="1" t="n">
        <v>45809.86790509259</v>
      </c>
      <c r="C143" s="1" t="n">
        <v>46050</v>
      </c>
      <c r="D143" t="inlineStr">
        <is>
          <t>JÄMTLANDS LÄN</t>
        </is>
      </c>
      <c r="E143" t="inlineStr">
        <is>
          <t>ÖSTERSUND</t>
        </is>
      </c>
      <c r="G143" t="n">
        <v>1.3</v>
      </c>
      <c r="H143" t="n">
        <v>0</v>
      </c>
      <c r="I143" t="n">
        <v>0</v>
      </c>
      <c r="J143" t="n">
        <v>1</v>
      </c>
      <c r="K143" t="n">
        <v>0</v>
      </c>
      <c r="L143" t="n">
        <v>0</v>
      </c>
      <c r="M143" t="n">
        <v>0</v>
      </c>
      <c r="N143" t="n">
        <v>0</v>
      </c>
      <c r="O143" t="n">
        <v>1</v>
      </c>
      <c r="P143" t="n">
        <v>0</v>
      </c>
      <c r="Q143" t="n">
        <v>1</v>
      </c>
      <c r="R143" s="2" t="inlineStr">
        <is>
          <t>Garnlav</t>
        </is>
      </c>
      <c r="S143">
        <f>HYPERLINK("https://klasma.github.io/Logging_2380/artfynd/A 26605-2025 artfynd.xlsx", "A 26605-2025")</f>
        <v/>
      </c>
      <c r="T143">
        <f>HYPERLINK("https://klasma.github.io/Logging_2380/kartor/A 26605-2025 karta.png", "A 26605-2025")</f>
        <v/>
      </c>
      <c r="V143">
        <f>HYPERLINK("https://klasma.github.io/Logging_2380/klagomål/A 26605-2025 FSC-klagomål.docx", "A 26605-2025")</f>
        <v/>
      </c>
      <c r="W143">
        <f>HYPERLINK("https://klasma.github.io/Logging_2380/klagomålsmail/A 26605-2025 FSC-klagomål mail.docx", "A 26605-2025")</f>
        <v/>
      </c>
      <c r="X143">
        <f>HYPERLINK("https://klasma.github.io/Logging_2380/tillsyn/A 26605-2025 tillsynsbegäran.docx", "A 26605-2025")</f>
        <v/>
      </c>
      <c r="Y143">
        <f>HYPERLINK("https://klasma.github.io/Logging_2380/tillsynsmail/A 26605-2025 tillsynsbegäran mail.docx", "A 26605-2025")</f>
        <v/>
      </c>
    </row>
    <row r="144" ht="15" customHeight="1">
      <c r="A144" t="inlineStr">
        <is>
          <t>A 43188-2025</t>
        </is>
      </c>
      <c r="B144" s="1" t="n">
        <v>45910.41201388889</v>
      </c>
      <c r="C144" s="1" t="n">
        <v>46050</v>
      </c>
      <c r="D144" t="inlineStr">
        <is>
          <t>JÄMTLANDS LÄN</t>
        </is>
      </c>
      <c r="E144" t="inlineStr">
        <is>
          <t>ÖSTERSUND</t>
        </is>
      </c>
      <c r="G144" t="n">
        <v>8.6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43188-2025 artfynd.xlsx", "A 43188-2025")</f>
        <v/>
      </c>
      <c r="T144">
        <f>HYPERLINK("https://klasma.github.io/Logging_2380/kartor/A 43188-2025 karta.png", "A 43188-2025")</f>
        <v/>
      </c>
      <c r="V144">
        <f>HYPERLINK("https://klasma.github.io/Logging_2380/klagomål/A 43188-2025 FSC-klagomål.docx", "A 43188-2025")</f>
        <v/>
      </c>
      <c r="W144">
        <f>HYPERLINK("https://klasma.github.io/Logging_2380/klagomålsmail/A 43188-2025 FSC-klagomål mail.docx", "A 43188-2025")</f>
        <v/>
      </c>
      <c r="X144">
        <f>HYPERLINK("https://klasma.github.io/Logging_2380/tillsyn/A 43188-2025 tillsynsbegäran.docx", "A 43188-2025")</f>
        <v/>
      </c>
      <c r="Y144">
        <f>HYPERLINK("https://klasma.github.io/Logging_2380/tillsynsmail/A 43188-2025 tillsynsbegäran mail.docx", "A 43188-2025")</f>
        <v/>
      </c>
      <c r="Z144">
        <f>HYPERLINK("https://klasma.github.io/Logging_2380/fåglar/A 43188-2025 prioriterade fågelarter.docx", "A 43188-2025")</f>
        <v/>
      </c>
    </row>
    <row r="145" ht="15" customHeight="1">
      <c r="A145" t="inlineStr">
        <is>
          <t>A 33550-2025</t>
        </is>
      </c>
      <c r="B145" s="1" t="n">
        <v>45841.57331018519</v>
      </c>
      <c r="C145" s="1" t="n">
        <v>46050</v>
      </c>
      <c r="D145" t="inlineStr">
        <is>
          <t>JÄMTLANDS LÄN</t>
        </is>
      </c>
      <c r="E145" t="inlineStr">
        <is>
          <t>ÖSTERSUND</t>
        </is>
      </c>
      <c r="F145" t="inlineStr">
        <is>
          <t>SCA</t>
        </is>
      </c>
      <c r="G145" t="n">
        <v>7.3</v>
      </c>
      <c r="H145" t="n">
        <v>0</v>
      </c>
      <c r="I145" t="n">
        <v>1</v>
      </c>
      <c r="J145" t="n">
        <v>0</v>
      </c>
      <c r="K145" t="n">
        <v>0</v>
      </c>
      <c r="L145" t="n">
        <v>0</v>
      </c>
      <c r="M145" t="n">
        <v>0</v>
      </c>
      <c r="N145" t="n">
        <v>0</v>
      </c>
      <c r="O145" t="n">
        <v>0</v>
      </c>
      <c r="P145" t="n">
        <v>0</v>
      </c>
      <c r="Q145" t="n">
        <v>1</v>
      </c>
      <c r="R145" s="2" t="inlineStr">
        <is>
          <t>Dropptaggsvamp</t>
        </is>
      </c>
      <c r="S145">
        <f>HYPERLINK("https://klasma.github.io/Logging_2380/artfynd/A 33550-2025 artfynd.xlsx", "A 33550-2025")</f>
        <v/>
      </c>
      <c r="T145">
        <f>HYPERLINK("https://klasma.github.io/Logging_2380/kartor/A 33550-2025 karta.png", "A 33550-2025")</f>
        <v/>
      </c>
      <c r="V145">
        <f>HYPERLINK("https://klasma.github.io/Logging_2380/klagomål/A 33550-2025 FSC-klagomål.docx", "A 33550-2025")</f>
        <v/>
      </c>
      <c r="W145">
        <f>HYPERLINK("https://klasma.github.io/Logging_2380/klagomålsmail/A 33550-2025 FSC-klagomål mail.docx", "A 33550-2025")</f>
        <v/>
      </c>
      <c r="X145">
        <f>HYPERLINK("https://klasma.github.io/Logging_2380/tillsyn/A 33550-2025 tillsynsbegäran.docx", "A 33550-2025")</f>
        <v/>
      </c>
      <c r="Y145">
        <f>HYPERLINK("https://klasma.github.io/Logging_2380/tillsynsmail/A 33550-2025 tillsynsbegäran mail.docx", "A 33550-2025")</f>
        <v/>
      </c>
    </row>
    <row r="146" ht="15" customHeight="1">
      <c r="A146" t="inlineStr">
        <is>
          <t>A 31883-2024</t>
        </is>
      </c>
      <c r="B146" s="1" t="n">
        <v>45509.9572800926</v>
      </c>
      <c r="C146" s="1" t="n">
        <v>46050</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46050</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46050</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36225-2025</t>
        </is>
      </c>
      <c r="B149" s="1" t="n">
        <v>45867.51128472222</v>
      </c>
      <c r="C149" s="1" t="n">
        <v>46050</v>
      </c>
      <c r="D149" t="inlineStr">
        <is>
          <t>JÄMTLANDS LÄN</t>
        </is>
      </c>
      <c r="E149" t="inlineStr">
        <is>
          <t>ÖSTERSUND</t>
        </is>
      </c>
      <c r="F149" t="inlineStr">
        <is>
          <t>SCA</t>
        </is>
      </c>
      <c r="G149" t="n">
        <v>1.8</v>
      </c>
      <c r="H149" t="n">
        <v>0</v>
      </c>
      <c r="I149" t="n">
        <v>0</v>
      </c>
      <c r="J149" t="n">
        <v>1</v>
      </c>
      <c r="K149" t="n">
        <v>0</v>
      </c>
      <c r="L149" t="n">
        <v>0</v>
      </c>
      <c r="M149" t="n">
        <v>0</v>
      </c>
      <c r="N149" t="n">
        <v>0</v>
      </c>
      <c r="O149" t="n">
        <v>1</v>
      </c>
      <c r="P149" t="n">
        <v>0</v>
      </c>
      <c r="Q149" t="n">
        <v>1</v>
      </c>
      <c r="R149" s="2" t="inlineStr">
        <is>
          <t>Kolflarnlav</t>
        </is>
      </c>
      <c r="S149">
        <f>HYPERLINK("https://klasma.github.io/Logging_2380/artfynd/A 36225-2025 artfynd.xlsx", "A 36225-2025")</f>
        <v/>
      </c>
      <c r="T149">
        <f>HYPERLINK("https://klasma.github.io/Logging_2380/kartor/A 36225-2025 karta.png", "A 36225-2025")</f>
        <v/>
      </c>
      <c r="V149">
        <f>HYPERLINK("https://klasma.github.io/Logging_2380/klagomål/A 36225-2025 FSC-klagomål.docx", "A 36225-2025")</f>
        <v/>
      </c>
      <c r="W149">
        <f>HYPERLINK("https://klasma.github.io/Logging_2380/klagomålsmail/A 36225-2025 FSC-klagomål mail.docx", "A 36225-2025")</f>
        <v/>
      </c>
      <c r="X149">
        <f>HYPERLINK("https://klasma.github.io/Logging_2380/tillsyn/A 36225-2025 tillsynsbegäran.docx", "A 36225-2025")</f>
        <v/>
      </c>
      <c r="Y149">
        <f>HYPERLINK("https://klasma.github.io/Logging_2380/tillsynsmail/A 36225-2025 tillsynsbegäran mail.docx", "A 36225-2025")</f>
        <v/>
      </c>
    </row>
    <row r="150" ht="15" customHeight="1">
      <c r="A150" t="inlineStr">
        <is>
          <t>A 24368-2025</t>
        </is>
      </c>
      <c r="B150" s="1" t="n">
        <v>45797.60623842593</v>
      </c>
      <c r="C150" s="1" t="n">
        <v>46050</v>
      </c>
      <c r="D150" t="inlineStr">
        <is>
          <t>JÄMTLANDS LÄN</t>
        </is>
      </c>
      <c r="E150" t="inlineStr">
        <is>
          <t>ÖSTERSUND</t>
        </is>
      </c>
      <c r="G150" t="n">
        <v>2.9</v>
      </c>
      <c r="H150" t="n">
        <v>0</v>
      </c>
      <c r="I150" t="n">
        <v>0</v>
      </c>
      <c r="J150" t="n">
        <v>0</v>
      </c>
      <c r="K150" t="n">
        <v>1</v>
      </c>
      <c r="L150" t="n">
        <v>0</v>
      </c>
      <c r="M150" t="n">
        <v>0</v>
      </c>
      <c r="N150" t="n">
        <v>0</v>
      </c>
      <c r="O150" t="n">
        <v>1</v>
      </c>
      <c r="P150" t="n">
        <v>1</v>
      </c>
      <c r="Q150" t="n">
        <v>1</v>
      </c>
      <c r="R150" s="2" t="inlineStr">
        <is>
          <t>Fjällfotad fingersvamp</t>
        </is>
      </c>
      <c r="S150">
        <f>HYPERLINK("https://klasma.github.io/Logging_2380/artfynd/A 24368-2025 artfynd.xlsx", "A 24368-2025")</f>
        <v/>
      </c>
      <c r="T150">
        <f>HYPERLINK("https://klasma.github.io/Logging_2380/kartor/A 24368-2025 karta.png", "A 24368-2025")</f>
        <v/>
      </c>
      <c r="V150">
        <f>HYPERLINK("https://klasma.github.io/Logging_2380/klagomål/A 24368-2025 FSC-klagomål.docx", "A 24368-2025")</f>
        <v/>
      </c>
      <c r="W150">
        <f>HYPERLINK("https://klasma.github.io/Logging_2380/klagomålsmail/A 24368-2025 FSC-klagomål mail.docx", "A 24368-2025")</f>
        <v/>
      </c>
      <c r="X150">
        <f>HYPERLINK("https://klasma.github.io/Logging_2380/tillsyn/A 24368-2025 tillsynsbegäran.docx", "A 24368-2025")</f>
        <v/>
      </c>
      <c r="Y150">
        <f>HYPERLINK("https://klasma.github.io/Logging_2380/tillsynsmail/A 24368-2025 tillsynsbegäran mail.docx", "A 24368-2025")</f>
        <v/>
      </c>
    </row>
    <row r="151" ht="15" customHeight="1">
      <c r="A151" t="inlineStr">
        <is>
          <t>A 28980-2023</t>
        </is>
      </c>
      <c r="B151" s="1" t="n">
        <v>45096</v>
      </c>
      <c r="C151" s="1" t="n">
        <v>46050</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44049-2024</t>
        </is>
      </c>
      <c r="B152" s="1" t="n">
        <v>45572.59462962963</v>
      </c>
      <c r="C152" s="1" t="n">
        <v>46050</v>
      </c>
      <c r="D152" t="inlineStr">
        <is>
          <t>JÄMTLANDS LÄN</t>
        </is>
      </c>
      <c r="E152" t="inlineStr">
        <is>
          <t>ÖSTERSUND</t>
        </is>
      </c>
      <c r="F152" t="inlineStr">
        <is>
          <t>SCA</t>
        </is>
      </c>
      <c r="G152" t="n">
        <v>4.5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44049-2024 artfynd.xlsx", "A 44049-2024")</f>
        <v/>
      </c>
      <c r="T152">
        <f>HYPERLINK("https://klasma.github.io/Logging_2380/kartor/A 44049-2024 karta.png", "A 44049-2024")</f>
        <v/>
      </c>
      <c r="V152">
        <f>HYPERLINK("https://klasma.github.io/Logging_2380/klagomål/A 44049-2024 FSC-klagomål.docx", "A 44049-2024")</f>
        <v/>
      </c>
      <c r="W152">
        <f>HYPERLINK("https://klasma.github.io/Logging_2380/klagomålsmail/A 44049-2024 FSC-klagomål mail.docx", "A 44049-2024")</f>
        <v/>
      </c>
      <c r="X152">
        <f>HYPERLINK("https://klasma.github.io/Logging_2380/tillsyn/A 44049-2024 tillsynsbegäran.docx", "A 44049-2024")</f>
        <v/>
      </c>
      <c r="Y152">
        <f>HYPERLINK("https://klasma.github.io/Logging_2380/tillsynsmail/A 44049-2024 tillsynsbegäran mail.docx", "A 44049-2024")</f>
        <v/>
      </c>
    </row>
    <row r="153" ht="15" customHeight="1">
      <c r="A153" t="inlineStr">
        <is>
          <t>A 53300-2025</t>
        </is>
      </c>
      <c r="B153" s="1" t="n">
        <v>45959.32394675926</v>
      </c>
      <c r="C153" s="1" t="n">
        <v>46050</v>
      </c>
      <c r="D153" t="inlineStr">
        <is>
          <t>JÄMTLANDS LÄN</t>
        </is>
      </c>
      <c r="E153" t="inlineStr">
        <is>
          <t>ÖSTERSUND</t>
        </is>
      </c>
      <c r="F153" t="inlineStr">
        <is>
          <t>Sveaskog</t>
        </is>
      </c>
      <c r="G153" t="n">
        <v>12.2</v>
      </c>
      <c r="H153" t="n">
        <v>0</v>
      </c>
      <c r="I153" t="n">
        <v>1</v>
      </c>
      <c r="J153" t="n">
        <v>0</v>
      </c>
      <c r="K153" t="n">
        <v>0</v>
      </c>
      <c r="L153" t="n">
        <v>0</v>
      </c>
      <c r="M153" t="n">
        <v>0</v>
      </c>
      <c r="N153" t="n">
        <v>0</v>
      </c>
      <c r="O153" t="n">
        <v>0</v>
      </c>
      <c r="P153" t="n">
        <v>0</v>
      </c>
      <c r="Q153" t="n">
        <v>1</v>
      </c>
      <c r="R153" s="2" t="inlineStr">
        <is>
          <t>Rödgul trumpetsvamp</t>
        </is>
      </c>
      <c r="S153">
        <f>HYPERLINK("https://klasma.github.io/Logging_2380/artfynd/A 53300-2025 artfynd.xlsx", "A 53300-2025")</f>
        <v/>
      </c>
      <c r="T153">
        <f>HYPERLINK("https://klasma.github.io/Logging_2380/kartor/A 53300-2025 karta.png", "A 53300-2025")</f>
        <v/>
      </c>
      <c r="V153">
        <f>HYPERLINK("https://klasma.github.io/Logging_2380/klagomål/A 53300-2025 FSC-klagomål.docx", "A 53300-2025")</f>
        <v/>
      </c>
      <c r="W153">
        <f>HYPERLINK("https://klasma.github.io/Logging_2380/klagomålsmail/A 53300-2025 FSC-klagomål mail.docx", "A 53300-2025")</f>
        <v/>
      </c>
      <c r="X153">
        <f>HYPERLINK("https://klasma.github.io/Logging_2380/tillsyn/A 53300-2025 tillsynsbegäran.docx", "A 53300-2025")</f>
        <v/>
      </c>
      <c r="Y153">
        <f>HYPERLINK("https://klasma.github.io/Logging_2380/tillsynsmail/A 53300-2025 tillsynsbegäran mail.docx", "A 53300-2025")</f>
        <v/>
      </c>
    </row>
    <row r="154" ht="15" customHeight="1">
      <c r="A154" t="inlineStr">
        <is>
          <t>A 54354-2024</t>
        </is>
      </c>
      <c r="B154" s="1" t="n">
        <v>45617.40244212963</v>
      </c>
      <c r="C154" s="1" t="n">
        <v>46050</v>
      </c>
      <c r="D154" t="inlineStr">
        <is>
          <t>JÄMTLANDS LÄN</t>
        </is>
      </c>
      <c r="E154" t="inlineStr">
        <is>
          <t>ÖSTERSUND</t>
        </is>
      </c>
      <c r="G154" t="n">
        <v>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54354-2024 artfynd.xlsx", "A 54354-2024")</f>
        <v/>
      </c>
      <c r="T154">
        <f>HYPERLINK("https://klasma.github.io/Logging_2380/kartor/A 54354-2024 karta.png", "A 54354-2024")</f>
        <v/>
      </c>
      <c r="V154">
        <f>HYPERLINK("https://klasma.github.io/Logging_2380/klagomål/A 54354-2024 FSC-klagomål.docx", "A 54354-2024")</f>
        <v/>
      </c>
      <c r="W154">
        <f>HYPERLINK("https://klasma.github.io/Logging_2380/klagomålsmail/A 54354-2024 FSC-klagomål mail.docx", "A 54354-2024")</f>
        <v/>
      </c>
      <c r="X154">
        <f>HYPERLINK("https://klasma.github.io/Logging_2380/tillsyn/A 54354-2024 tillsynsbegäran.docx", "A 54354-2024")</f>
        <v/>
      </c>
      <c r="Y154">
        <f>HYPERLINK("https://klasma.github.io/Logging_2380/tillsynsmail/A 54354-2024 tillsynsbegäran mail.docx", "A 54354-2024")</f>
        <v/>
      </c>
      <c r="Z154">
        <f>HYPERLINK("https://klasma.github.io/Logging_2380/fåglar/A 54354-2024 prioriterade fågelarter.docx", "A 54354-2024")</f>
        <v/>
      </c>
    </row>
    <row r="155" ht="15" customHeight="1">
      <c r="A155" t="inlineStr">
        <is>
          <t>A 62835-2025</t>
        </is>
      </c>
      <c r="B155" s="1" t="n">
        <v>46008.67969907408</v>
      </c>
      <c r="C155" s="1" t="n">
        <v>46050</v>
      </c>
      <c r="D155" t="inlineStr">
        <is>
          <t>JÄMTLANDS LÄN</t>
        </is>
      </c>
      <c r="E155" t="inlineStr">
        <is>
          <t>ÖSTERSUND</t>
        </is>
      </c>
      <c r="G155" t="n">
        <v>2.2</v>
      </c>
      <c r="H155" t="n">
        <v>0</v>
      </c>
      <c r="I155" t="n">
        <v>0</v>
      </c>
      <c r="J155" t="n">
        <v>1</v>
      </c>
      <c r="K155" t="n">
        <v>0</v>
      </c>
      <c r="L155" t="n">
        <v>0</v>
      </c>
      <c r="M155" t="n">
        <v>0</v>
      </c>
      <c r="N155" t="n">
        <v>0</v>
      </c>
      <c r="O155" t="n">
        <v>1</v>
      </c>
      <c r="P155" t="n">
        <v>0</v>
      </c>
      <c r="Q155" t="n">
        <v>1</v>
      </c>
      <c r="R155" s="2" t="inlineStr">
        <is>
          <t>Åkerkål</t>
        </is>
      </c>
      <c r="S155">
        <f>HYPERLINK("https://klasma.github.io/Logging_2380/artfynd/A 62835-2025 artfynd.xlsx", "A 62835-2025")</f>
        <v/>
      </c>
      <c r="T155">
        <f>HYPERLINK("https://klasma.github.io/Logging_2380/kartor/A 62835-2025 karta.png", "A 62835-2025")</f>
        <v/>
      </c>
      <c r="V155">
        <f>HYPERLINK("https://klasma.github.io/Logging_2380/klagomål/A 62835-2025 FSC-klagomål.docx", "A 62835-2025")</f>
        <v/>
      </c>
      <c r="W155">
        <f>HYPERLINK("https://klasma.github.io/Logging_2380/klagomålsmail/A 62835-2025 FSC-klagomål mail.docx", "A 62835-2025")</f>
        <v/>
      </c>
      <c r="X155">
        <f>HYPERLINK("https://klasma.github.io/Logging_2380/tillsyn/A 62835-2025 tillsynsbegäran.docx", "A 62835-2025")</f>
        <v/>
      </c>
      <c r="Y155">
        <f>HYPERLINK("https://klasma.github.io/Logging_2380/tillsynsmail/A 62835-2025 tillsynsbegäran mail.docx", "A 62835-2025")</f>
        <v/>
      </c>
    </row>
    <row r="156" ht="15" customHeight="1">
      <c r="A156" t="inlineStr">
        <is>
          <t>A 63201-2025</t>
        </is>
      </c>
      <c r="B156" s="1" t="n">
        <v>46010.46366898148</v>
      </c>
      <c r="C156" s="1" t="n">
        <v>46050</v>
      </c>
      <c r="D156" t="inlineStr">
        <is>
          <t>JÄMTLANDS LÄN</t>
        </is>
      </c>
      <c r="E156" t="inlineStr">
        <is>
          <t>ÖSTERSUND</t>
        </is>
      </c>
      <c r="G156" t="n">
        <v>5.8</v>
      </c>
      <c r="H156" t="n">
        <v>1</v>
      </c>
      <c r="I156" t="n">
        <v>0</v>
      </c>
      <c r="J156" t="n">
        <v>0</v>
      </c>
      <c r="K156" t="n">
        <v>0</v>
      </c>
      <c r="L156" t="n">
        <v>0</v>
      </c>
      <c r="M156" t="n">
        <v>0</v>
      </c>
      <c r="N156" t="n">
        <v>0</v>
      </c>
      <c r="O156" t="n">
        <v>0</v>
      </c>
      <c r="P156" t="n">
        <v>0</v>
      </c>
      <c r="Q156" t="n">
        <v>1</v>
      </c>
      <c r="R156" s="2" t="inlineStr">
        <is>
          <t>Lavskrika</t>
        </is>
      </c>
      <c r="S156">
        <f>HYPERLINK("https://klasma.github.io/Logging_2380/artfynd/A 63201-2025 artfynd.xlsx", "A 63201-2025")</f>
        <v/>
      </c>
      <c r="T156">
        <f>HYPERLINK("https://klasma.github.io/Logging_2380/kartor/A 63201-2025 karta.png", "A 63201-2025")</f>
        <v/>
      </c>
      <c r="V156">
        <f>HYPERLINK("https://klasma.github.io/Logging_2380/klagomål/A 63201-2025 FSC-klagomål.docx", "A 63201-2025")</f>
        <v/>
      </c>
      <c r="W156">
        <f>HYPERLINK("https://klasma.github.io/Logging_2380/klagomålsmail/A 63201-2025 FSC-klagomål mail.docx", "A 63201-2025")</f>
        <v/>
      </c>
      <c r="X156">
        <f>HYPERLINK("https://klasma.github.io/Logging_2380/tillsyn/A 63201-2025 tillsynsbegäran.docx", "A 63201-2025")</f>
        <v/>
      </c>
      <c r="Y156">
        <f>HYPERLINK("https://klasma.github.io/Logging_2380/tillsynsmail/A 63201-2025 tillsynsbegäran mail.docx", "A 63201-2025")</f>
        <v/>
      </c>
      <c r="Z156">
        <f>HYPERLINK("https://klasma.github.io/Logging_2380/fåglar/A 63201-2025 prioriterade fågelarter.docx", "A 63201-2025")</f>
        <v/>
      </c>
    </row>
    <row r="157" ht="15" customHeight="1">
      <c r="A157" t="inlineStr">
        <is>
          <t>A 58181-2022</t>
        </is>
      </c>
      <c r="B157" s="1" t="n">
        <v>44900</v>
      </c>
      <c r="C157" s="1" t="n">
        <v>46050</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58274-2025</t>
        </is>
      </c>
      <c r="B158" s="1" t="n">
        <v>45985.43086805556</v>
      </c>
      <c r="C158" s="1" t="n">
        <v>46050</v>
      </c>
      <c r="D158" t="inlineStr">
        <is>
          <t>JÄMTLANDS LÄN</t>
        </is>
      </c>
      <c r="E158" t="inlineStr">
        <is>
          <t>ÖSTERSUND</t>
        </is>
      </c>
      <c r="F158" t="inlineStr">
        <is>
          <t>Övriga Aktiebolag</t>
        </is>
      </c>
      <c r="G158" t="n">
        <v>18.7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58274-2025 artfynd.xlsx", "A 58274-2025")</f>
        <v/>
      </c>
      <c r="T158">
        <f>HYPERLINK("https://klasma.github.io/Logging_2380/kartor/A 58274-2025 karta.png", "A 58274-2025")</f>
        <v/>
      </c>
      <c r="V158">
        <f>HYPERLINK("https://klasma.github.io/Logging_2380/klagomål/A 58274-2025 FSC-klagomål.docx", "A 58274-2025")</f>
        <v/>
      </c>
      <c r="W158">
        <f>HYPERLINK("https://klasma.github.io/Logging_2380/klagomålsmail/A 58274-2025 FSC-klagomål mail.docx", "A 58274-2025")</f>
        <v/>
      </c>
      <c r="X158">
        <f>HYPERLINK("https://klasma.github.io/Logging_2380/tillsyn/A 58274-2025 tillsynsbegäran.docx", "A 58274-2025")</f>
        <v/>
      </c>
      <c r="Y158">
        <f>HYPERLINK("https://klasma.github.io/Logging_2380/tillsynsmail/A 58274-2025 tillsynsbegäran mail.docx", "A 58274-2025")</f>
        <v/>
      </c>
      <c r="Z158">
        <f>HYPERLINK("https://klasma.github.io/Logging_2380/fåglar/A 58274-2025 prioriterade fågelarter.docx", "A 58274-2025")</f>
        <v/>
      </c>
    </row>
    <row r="159" ht="15" customHeight="1">
      <c r="A159" t="inlineStr">
        <is>
          <t>A 41312-2024</t>
        </is>
      </c>
      <c r="B159" s="1" t="n">
        <v>45559.63584490741</v>
      </c>
      <c r="C159" s="1" t="n">
        <v>46050</v>
      </c>
      <c r="D159" t="inlineStr">
        <is>
          <t>JÄMTLANDS LÄN</t>
        </is>
      </c>
      <c r="E159" t="inlineStr">
        <is>
          <t>ÖSTERSUND</t>
        </is>
      </c>
      <c r="F159" t="inlineStr">
        <is>
          <t>SCA</t>
        </is>
      </c>
      <c r="G159" t="n">
        <v>2.6</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41312-2024 artfynd.xlsx", "A 41312-2024")</f>
        <v/>
      </c>
      <c r="T159">
        <f>HYPERLINK("https://klasma.github.io/Logging_2380/kartor/A 41312-2024 karta.png", "A 41312-2024")</f>
        <v/>
      </c>
      <c r="V159">
        <f>HYPERLINK("https://klasma.github.io/Logging_2380/klagomål/A 41312-2024 FSC-klagomål.docx", "A 41312-2024")</f>
        <v/>
      </c>
      <c r="W159">
        <f>HYPERLINK("https://klasma.github.io/Logging_2380/klagomålsmail/A 41312-2024 FSC-klagomål mail.docx", "A 41312-2024")</f>
        <v/>
      </c>
      <c r="X159">
        <f>HYPERLINK("https://klasma.github.io/Logging_2380/tillsyn/A 41312-2024 tillsynsbegäran.docx", "A 41312-2024")</f>
        <v/>
      </c>
      <c r="Y159">
        <f>HYPERLINK("https://klasma.github.io/Logging_2380/tillsynsmail/A 41312-2024 tillsynsbegäran mail.docx", "A 41312-2024")</f>
        <v/>
      </c>
    </row>
    <row r="160" ht="15" customHeight="1">
      <c r="A160" t="inlineStr">
        <is>
          <t>A 33267-2022</t>
        </is>
      </c>
      <c r="B160" s="1" t="n">
        <v>44785</v>
      </c>
      <c r="C160" s="1" t="n">
        <v>46050</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57065-2024</t>
        </is>
      </c>
      <c r="B161" s="1" t="n">
        <v>45629.35344907407</v>
      </c>
      <c r="C161" s="1" t="n">
        <v>46050</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60966-2025</t>
        </is>
      </c>
      <c r="B162" s="1" t="n">
        <v>45999.67758101852</v>
      </c>
      <c r="C162" s="1" t="n">
        <v>46050</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3894-2026</t>
        </is>
      </c>
      <c r="B163" s="1" t="n">
        <v>46043.67922453704</v>
      </c>
      <c r="C163" s="1" t="n">
        <v>46050</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Rynkskinn</t>
        </is>
      </c>
      <c r="S163">
        <f>HYPERLINK("https://klasma.github.io/Logging_2380/artfynd/A 3894-2026 artfynd.xlsx", "A 3894-2026")</f>
        <v/>
      </c>
      <c r="T163">
        <f>HYPERLINK("https://klasma.github.io/Logging_2380/kartor/A 3894-2026 karta.png", "A 3894-2026")</f>
        <v/>
      </c>
      <c r="V163">
        <f>HYPERLINK("https://klasma.github.io/Logging_2380/klagomål/A 3894-2026 FSC-klagomål.docx", "A 3894-2026")</f>
        <v/>
      </c>
      <c r="W163">
        <f>HYPERLINK("https://klasma.github.io/Logging_2380/klagomålsmail/A 3894-2026 FSC-klagomål mail.docx", "A 3894-2026")</f>
        <v/>
      </c>
      <c r="X163">
        <f>HYPERLINK("https://klasma.github.io/Logging_2380/tillsyn/A 3894-2026 tillsynsbegäran.docx", "A 3894-2026")</f>
        <v/>
      </c>
      <c r="Y163">
        <f>HYPERLINK("https://klasma.github.io/Logging_2380/tillsynsmail/A 3894-2026 tillsynsbegäran mail.docx", "A 3894-2026")</f>
        <v/>
      </c>
    </row>
    <row r="164" ht="15" customHeight="1">
      <c r="A164" t="inlineStr">
        <is>
          <t>A 3512-2026</t>
        </is>
      </c>
      <c r="B164" s="1" t="n">
        <v>46042.58655092592</v>
      </c>
      <c r="C164" s="1" t="n">
        <v>46050</v>
      </c>
      <c r="D164" t="inlineStr">
        <is>
          <t>JÄMTLANDS LÄN</t>
        </is>
      </c>
      <c r="E164" t="inlineStr">
        <is>
          <t>ÖSTERSUND</t>
        </is>
      </c>
      <c r="G164" t="n">
        <v>5.7</v>
      </c>
      <c r="H164" t="n">
        <v>0</v>
      </c>
      <c r="I164" t="n">
        <v>0</v>
      </c>
      <c r="J164" t="n">
        <v>1</v>
      </c>
      <c r="K164" t="n">
        <v>0</v>
      </c>
      <c r="L164" t="n">
        <v>0</v>
      </c>
      <c r="M164" t="n">
        <v>0</v>
      </c>
      <c r="N164" t="n">
        <v>0</v>
      </c>
      <c r="O164" t="n">
        <v>1</v>
      </c>
      <c r="P164" t="n">
        <v>0</v>
      </c>
      <c r="Q164" t="n">
        <v>1</v>
      </c>
      <c r="R164" s="2" t="inlineStr">
        <is>
          <t>Slåtterfibbla</t>
        </is>
      </c>
      <c r="S164">
        <f>HYPERLINK("https://klasma.github.io/Logging_2380/artfynd/A 3512-2026 artfynd.xlsx", "A 3512-2026")</f>
        <v/>
      </c>
      <c r="T164">
        <f>HYPERLINK("https://klasma.github.io/Logging_2380/kartor/A 3512-2026 karta.png", "A 3512-2026")</f>
        <v/>
      </c>
      <c r="V164">
        <f>HYPERLINK("https://klasma.github.io/Logging_2380/klagomål/A 3512-2026 FSC-klagomål.docx", "A 3512-2026")</f>
        <v/>
      </c>
      <c r="W164">
        <f>HYPERLINK("https://klasma.github.io/Logging_2380/klagomålsmail/A 3512-2026 FSC-klagomål mail.docx", "A 3512-2026")</f>
        <v/>
      </c>
      <c r="X164">
        <f>HYPERLINK("https://klasma.github.io/Logging_2380/tillsyn/A 3512-2026 tillsynsbegäran.docx", "A 3512-2026")</f>
        <v/>
      </c>
      <c r="Y164">
        <f>HYPERLINK("https://klasma.github.io/Logging_2380/tillsynsmail/A 3512-2026 tillsynsbegäran mail.docx", "A 3512-2026")</f>
        <v/>
      </c>
    </row>
    <row r="165" ht="15" customHeight="1">
      <c r="A165" t="inlineStr">
        <is>
          <t>A 56201-2024</t>
        </is>
      </c>
      <c r="B165" s="1" t="n">
        <v>45624.59462962963</v>
      </c>
      <c r="C165" s="1" t="n">
        <v>46050</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40781-2025</t>
        </is>
      </c>
      <c r="B166" s="1" t="n">
        <v>45897</v>
      </c>
      <c r="C166" s="1" t="n">
        <v>46050</v>
      </c>
      <c r="D166" t="inlineStr">
        <is>
          <t>JÄMTLANDS LÄN</t>
        </is>
      </c>
      <c r="E166" t="inlineStr">
        <is>
          <t>ÖSTERSUND</t>
        </is>
      </c>
      <c r="F166" t="inlineStr">
        <is>
          <t>Övriga Aktiebolag</t>
        </is>
      </c>
      <c r="G166" t="n">
        <v>2.2</v>
      </c>
      <c r="H166" t="n">
        <v>1</v>
      </c>
      <c r="I166" t="n">
        <v>0</v>
      </c>
      <c r="J166" t="n">
        <v>0</v>
      </c>
      <c r="K166" t="n">
        <v>0</v>
      </c>
      <c r="L166" t="n">
        <v>0</v>
      </c>
      <c r="M166" t="n">
        <v>0</v>
      </c>
      <c r="N166" t="n">
        <v>0</v>
      </c>
      <c r="O166" t="n">
        <v>0</v>
      </c>
      <c r="P166" t="n">
        <v>0</v>
      </c>
      <c r="Q166" t="n">
        <v>1</v>
      </c>
      <c r="R166" s="2" t="inlineStr">
        <is>
          <t>Blåsippa</t>
        </is>
      </c>
      <c r="S166">
        <f>HYPERLINK("https://klasma.github.io/Logging_2380/artfynd/A 40781-2025 artfynd.xlsx", "A 40781-2025")</f>
        <v/>
      </c>
      <c r="T166">
        <f>HYPERLINK("https://klasma.github.io/Logging_2380/kartor/A 40781-2025 karta.png", "A 40781-2025")</f>
        <v/>
      </c>
      <c r="V166">
        <f>HYPERLINK("https://klasma.github.io/Logging_2380/klagomål/A 40781-2025 FSC-klagomål.docx", "A 40781-2025")</f>
        <v/>
      </c>
      <c r="W166">
        <f>HYPERLINK("https://klasma.github.io/Logging_2380/klagomålsmail/A 40781-2025 FSC-klagomål mail.docx", "A 40781-2025")</f>
        <v/>
      </c>
      <c r="X166">
        <f>HYPERLINK("https://klasma.github.io/Logging_2380/tillsyn/A 40781-2025 tillsynsbegäran.docx", "A 40781-2025")</f>
        <v/>
      </c>
      <c r="Y166">
        <f>HYPERLINK("https://klasma.github.io/Logging_2380/tillsynsmail/A 40781-2025 tillsynsbegäran mail.docx", "A 40781-2025")</f>
        <v/>
      </c>
    </row>
    <row r="167" ht="15" customHeight="1">
      <c r="A167" t="inlineStr">
        <is>
          <t>A 11513-2024</t>
        </is>
      </c>
      <c r="B167" s="1" t="n">
        <v>45372</v>
      </c>
      <c r="C167" s="1" t="n">
        <v>46050</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41279-2024</t>
        </is>
      </c>
      <c r="B168" s="1" t="n">
        <v>45559</v>
      </c>
      <c r="C168" s="1" t="n">
        <v>46050</v>
      </c>
      <c r="D168" t="inlineStr">
        <is>
          <t>JÄMTLANDS LÄN</t>
        </is>
      </c>
      <c r="E168" t="inlineStr">
        <is>
          <t>ÖSTERSUND</t>
        </is>
      </c>
      <c r="F168" t="inlineStr">
        <is>
          <t>SCA</t>
        </is>
      </c>
      <c r="G168" t="n">
        <v>1.6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41279-2024 artfynd.xlsx", "A 41279-2024")</f>
        <v/>
      </c>
      <c r="T168">
        <f>HYPERLINK("https://klasma.github.io/Logging_2380/kartor/A 41279-2024 karta.png", "A 41279-2024")</f>
        <v/>
      </c>
      <c r="V168">
        <f>HYPERLINK("https://klasma.github.io/Logging_2380/klagomål/A 41279-2024 FSC-klagomål.docx", "A 41279-2024")</f>
        <v/>
      </c>
      <c r="W168">
        <f>HYPERLINK("https://klasma.github.io/Logging_2380/klagomålsmail/A 41279-2024 FSC-klagomål mail.docx", "A 41279-2024")</f>
        <v/>
      </c>
      <c r="X168">
        <f>HYPERLINK("https://klasma.github.io/Logging_2380/tillsyn/A 41279-2024 tillsynsbegäran.docx", "A 41279-2024")</f>
        <v/>
      </c>
      <c r="Y168">
        <f>HYPERLINK("https://klasma.github.io/Logging_2380/tillsynsmail/A 41279-2024 tillsynsbegäran mail.docx", "A 41279-2024")</f>
        <v/>
      </c>
    </row>
    <row r="169" ht="15" customHeight="1">
      <c r="A169" t="inlineStr">
        <is>
          <t>A 40692-2024</t>
        </is>
      </c>
      <c r="B169" s="1" t="n">
        <v>45558</v>
      </c>
      <c r="C169" s="1" t="n">
        <v>46050</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41770-2024</t>
        </is>
      </c>
      <c r="B170" s="1" t="n">
        <v>45561.34641203703</v>
      </c>
      <c r="C170" s="1" t="n">
        <v>46050</v>
      </c>
      <c r="D170" t="inlineStr">
        <is>
          <t>JÄMTLANDS LÄN</t>
        </is>
      </c>
      <c r="E170" t="inlineStr">
        <is>
          <t>ÖSTERSUND</t>
        </is>
      </c>
      <c r="F170" t="inlineStr">
        <is>
          <t>SCA</t>
        </is>
      </c>
      <c r="G170" t="n">
        <v>4.4</v>
      </c>
      <c r="H170" t="n">
        <v>0</v>
      </c>
      <c r="I170" t="n">
        <v>1</v>
      </c>
      <c r="J170" t="n">
        <v>0</v>
      </c>
      <c r="K170" t="n">
        <v>0</v>
      </c>
      <c r="L170" t="n">
        <v>0</v>
      </c>
      <c r="M170" t="n">
        <v>0</v>
      </c>
      <c r="N170" t="n">
        <v>0</v>
      </c>
      <c r="O170" t="n">
        <v>0</v>
      </c>
      <c r="P170" t="n">
        <v>0</v>
      </c>
      <c r="Q170" t="n">
        <v>1</v>
      </c>
      <c r="R170" s="2" t="inlineStr">
        <is>
          <t>Vedticka</t>
        </is>
      </c>
      <c r="S170">
        <f>HYPERLINK("https://klasma.github.io/Logging_2380/artfynd/A 41770-2024 artfynd.xlsx", "A 41770-2024")</f>
        <v/>
      </c>
      <c r="T170">
        <f>HYPERLINK("https://klasma.github.io/Logging_2380/kartor/A 41770-2024 karta.png", "A 41770-2024")</f>
        <v/>
      </c>
      <c r="V170">
        <f>HYPERLINK("https://klasma.github.io/Logging_2380/klagomål/A 41770-2024 FSC-klagomål.docx", "A 41770-2024")</f>
        <v/>
      </c>
      <c r="W170">
        <f>HYPERLINK("https://klasma.github.io/Logging_2380/klagomålsmail/A 41770-2024 FSC-klagomål mail.docx", "A 41770-2024")</f>
        <v/>
      </c>
      <c r="X170">
        <f>HYPERLINK("https://klasma.github.io/Logging_2380/tillsyn/A 41770-2024 tillsynsbegäran.docx", "A 41770-2024")</f>
        <v/>
      </c>
      <c r="Y170">
        <f>HYPERLINK("https://klasma.github.io/Logging_2380/tillsynsmail/A 41770-2024 tillsynsbegäran mail.docx", "A 41770-2024")</f>
        <v/>
      </c>
    </row>
    <row r="171" ht="15" customHeight="1">
      <c r="A171" t="inlineStr">
        <is>
          <t>A 59433-2021</t>
        </is>
      </c>
      <c r="B171" s="1" t="n">
        <v>44491</v>
      </c>
      <c r="C171" s="1" t="n">
        <v>46050</v>
      </c>
      <c r="D171" t="inlineStr">
        <is>
          <t>JÄMTLANDS LÄN</t>
        </is>
      </c>
      <c r="E171" t="inlineStr">
        <is>
          <t>ÖSTERSUND</t>
        </is>
      </c>
      <c r="F171" t="inlineStr">
        <is>
          <t>Övriga statliga verk och myndigheter</t>
        </is>
      </c>
      <c r="G171" t="n">
        <v>1.6</v>
      </c>
      <c r="H171" t="n">
        <v>0</v>
      </c>
      <c r="I171" t="n">
        <v>0</v>
      </c>
      <c r="J171" t="n">
        <v>1</v>
      </c>
      <c r="K171" t="n">
        <v>0</v>
      </c>
      <c r="L171" t="n">
        <v>0</v>
      </c>
      <c r="M171" t="n">
        <v>0</v>
      </c>
      <c r="N171" t="n">
        <v>0</v>
      </c>
      <c r="O171" t="n">
        <v>1</v>
      </c>
      <c r="P171" t="n">
        <v>0</v>
      </c>
      <c r="Q171" t="n">
        <v>1</v>
      </c>
      <c r="R171" s="2" t="inlineStr">
        <is>
          <t>Brunpudrad nållav</t>
        </is>
      </c>
      <c r="S171">
        <f>HYPERLINK("https://klasma.github.io/Logging_2380/artfynd/A 59433-2021 artfynd.xlsx", "A 59433-2021")</f>
        <v/>
      </c>
      <c r="T171">
        <f>HYPERLINK("https://klasma.github.io/Logging_2380/kartor/A 59433-2021 karta.png", "A 59433-2021")</f>
        <v/>
      </c>
      <c r="V171">
        <f>HYPERLINK("https://klasma.github.io/Logging_2380/klagomål/A 59433-2021 FSC-klagomål.docx", "A 59433-2021")</f>
        <v/>
      </c>
      <c r="W171">
        <f>HYPERLINK("https://klasma.github.io/Logging_2380/klagomålsmail/A 59433-2021 FSC-klagomål mail.docx", "A 59433-2021")</f>
        <v/>
      </c>
      <c r="X171">
        <f>HYPERLINK("https://klasma.github.io/Logging_2380/tillsyn/A 59433-2021 tillsynsbegäran.docx", "A 59433-2021")</f>
        <v/>
      </c>
      <c r="Y171">
        <f>HYPERLINK("https://klasma.github.io/Logging_2380/tillsynsmail/A 59433-2021 tillsynsbegäran mail.docx", "A 59433-2021")</f>
        <v/>
      </c>
    </row>
    <row r="172" ht="15" customHeight="1">
      <c r="A172" t="inlineStr">
        <is>
          <t>A 55-2023</t>
        </is>
      </c>
      <c r="B172" s="1" t="n">
        <v>44928</v>
      </c>
      <c r="C172" s="1" t="n">
        <v>46050</v>
      </c>
      <c r="D172" t="inlineStr">
        <is>
          <t>JÄMTLANDS LÄN</t>
        </is>
      </c>
      <c r="E172" t="inlineStr">
        <is>
          <t>ÖSTERSUND</t>
        </is>
      </c>
      <c r="G172" t="n">
        <v>4</v>
      </c>
      <c r="H172" t="n">
        <v>1</v>
      </c>
      <c r="I172" t="n">
        <v>0</v>
      </c>
      <c r="J172" t="n">
        <v>0</v>
      </c>
      <c r="K172" t="n">
        <v>1</v>
      </c>
      <c r="L172" t="n">
        <v>0</v>
      </c>
      <c r="M172" t="n">
        <v>0</v>
      </c>
      <c r="N172" t="n">
        <v>0</v>
      </c>
      <c r="O172" t="n">
        <v>1</v>
      </c>
      <c r="P172" t="n">
        <v>1</v>
      </c>
      <c r="Q172" t="n">
        <v>1</v>
      </c>
      <c r="R172" s="2" t="inlineStr">
        <is>
          <t>Knärot</t>
        </is>
      </c>
      <c r="S172">
        <f>HYPERLINK("https://klasma.github.io/Logging_2380/artfynd/A 55-2023 artfynd.xlsx", "A 55-2023")</f>
        <v/>
      </c>
      <c r="T172">
        <f>HYPERLINK("https://klasma.github.io/Logging_2380/kartor/A 55-2023 karta.png", "A 55-2023")</f>
        <v/>
      </c>
      <c r="U172">
        <f>HYPERLINK("https://klasma.github.io/Logging_2380/knärot/A 55-2023 karta knärot.png", "A 55-2023")</f>
        <v/>
      </c>
      <c r="V172">
        <f>HYPERLINK("https://klasma.github.io/Logging_2380/klagomål/A 55-2023 FSC-klagomål.docx", "A 55-2023")</f>
        <v/>
      </c>
      <c r="W172">
        <f>HYPERLINK("https://klasma.github.io/Logging_2380/klagomålsmail/A 55-2023 FSC-klagomål mail.docx", "A 55-2023")</f>
        <v/>
      </c>
      <c r="X172">
        <f>HYPERLINK("https://klasma.github.io/Logging_2380/tillsyn/A 55-2023 tillsynsbegäran.docx", "A 55-2023")</f>
        <v/>
      </c>
      <c r="Y172">
        <f>HYPERLINK("https://klasma.github.io/Logging_2380/tillsynsmail/A 55-2023 tillsynsbegäran mail.docx", "A 55-2023")</f>
        <v/>
      </c>
    </row>
    <row r="173" ht="15" customHeight="1">
      <c r="A173" t="inlineStr">
        <is>
          <t>A 40696-2024</t>
        </is>
      </c>
      <c r="B173" s="1" t="n">
        <v>45558</v>
      </c>
      <c r="C173" s="1" t="n">
        <v>46050</v>
      </c>
      <c r="D173" t="inlineStr">
        <is>
          <t>JÄMTLANDS LÄN</t>
        </is>
      </c>
      <c r="E173" t="inlineStr">
        <is>
          <t>ÖSTERSUND</t>
        </is>
      </c>
      <c r="F173" t="inlineStr">
        <is>
          <t>SCA</t>
        </is>
      </c>
      <c r="G173" t="n">
        <v>2.7</v>
      </c>
      <c r="H173" t="n">
        <v>0</v>
      </c>
      <c r="I173" t="n">
        <v>0</v>
      </c>
      <c r="J173" t="n">
        <v>1</v>
      </c>
      <c r="K173" t="n">
        <v>0</v>
      </c>
      <c r="L173" t="n">
        <v>0</v>
      </c>
      <c r="M173" t="n">
        <v>0</v>
      </c>
      <c r="N173" t="n">
        <v>0</v>
      </c>
      <c r="O173" t="n">
        <v>1</v>
      </c>
      <c r="P173" t="n">
        <v>0</v>
      </c>
      <c r="Q173" t="n">
        <v>1</v>
      </c>
      <c r="R173" s="2" t="inlineStr">
        <is>
          <t>Lunglav</t>
        </is>
      </c>
      <c r="S173">
        <f>HYPERLINK("https://klasma.github.io/Logging_2380/artfynd/A 40696-2024 artfynd.xlsx", "A 40696-2024")</f>
        <v/>
      </c>
      <c r="T173">
        <f>HYPERLINK("https://klasma.github.io/Logging_2380/kartor/A 40696-2024 karta.png", "A 40696-2024")</f>
        <v/>
      </c>
      <c r="V173">
        <f>HYPERLINK("https://klasma.github.io/Logging_2380/klagomål/A 40696-2024 FSC-klagomål.docx", "A 40696-2024")</f>
        <v/>
      </c>
      <c r="W173">
        <f>HYPERLINK("https://klasma.github.io/Logging_2380/klagomålsmail/A 40696-2024 FSC-klagomål mail.docx", "A 40696-2024")</f>
        <v/>
      </c>
      <c r="X173">
        <f>HYPERLINK("https://klasma.github.io/Logging_2380/tillsyn/A 40696-2024 tillsynsbegäran.docx", "A 40696-2024")</f>
        <v/>
      </c>
      <c r="Y173">
        <f>HYPERLINK("https://klasma.github.io/Logging_2380/tillsynsmail/A 40696-2024 tillsynsbegäran mail.docx", "A 40696-2024")</f>
        <v/>
      </c>
    </row>
    <row r="174" ht="15" customHeight="1">
      <c r="A174" t="inlineStr">
        <is>
          <t>A 43883-2024</t>
        </is>
      </c>
      <c r="B174" s="1" t="n">
        <v>45570</v>
      </c>
      <c r="C174" s="1" t="n">
        <v>46050</v>
      </c>
      <c r="D174" t="inlineStr">
        <is>
          <t>JÄMTLANDS LÄN</t>
        </is>
      </c>
      <c r="E174" t="inlineStr">
        <is>
          <t>ÖSTERSUND</t>
        </is>
      </c>
      <c r="G174" t="n">
        <v>3.8</v>
      </c>
      <c r="H174" t="n">
        <v>0</v>
      </c>
      <c r="I174" t="n">
        <v>0</v>
      </c>
      <c r="J174" t="n">
        <v>0</v>
      </c>
      <c r="K174" t="n">
        <v>1</v>
      </c>
      <c r="L174" t="n">
        <v>0</v>
      </c>
      <c r="M174" t="n">
        <v>0</v>
      </c>
      <c r="N174" t="n">
        <v>0</v>
      </c>
      <c r="O174" t="n">
        <v>1</v>
      </c>
      <c r="P174" t="n">
        <v>1</v>
      </c>
      <c r="Q174" t="n">
        <v>1</v>
      </c>
      <c r="R174" s="2" t="inlineStr">
        <is>
          <t>Frösöstarr</t>
        </is>
      </c>
      <c r="S174">
        <f>HYPERLINK("https://klasma.github.io/Logging_2380/artfynd/A 43883-2024 artfynd.xlsx", "A 43883-2024")</f>
        <v/>
      </c>
      <c r="T174">
        <f>HYPERLINK("https://klasma.github.io/Logging_2380/kartor/A 43883-2024 karta.png", "A 43883-2024")</f>
        <v/>
      </c>
      <c r="V174">
        <f>HYPERLINK("https://klasma.github.io/Logging_2380/klagomål/A 43883-2024 FSC-klagomål.docx", "A 43883-2024")</f>
        <v/>
      </c>
      <c r="W174">
        <f>HYPERLINK("https://klasma.github.io/Logging_2380/klagomålsmail/A 43883-2024 FSC-klagomål mail.docx", "A 43883-2024")</f>
        <v/>
      </c>
      <c r="X174">
        <f>HYPERLINK("https://klasma.github.io/Logging_2380/tillsyn/A 43883-2024 tillsynsbegäran.docx", "A 43883-2024")</f>
        <v/>
      </c>
      <c r="Y174">
        <f>HYPERLINK("https://klasma.github.io/Logging_2380/tillsynsmail/A 43883-2024 tillsynsbegäran mail.docx", "A 43883-2024")</f>
        <v/>
      </c>
    </row>
    <row r="175" ht="15" customHeight="1">
      <c r="A175" t="inlineStr">
        <is>
          <t>A 20620-2021</t>
        </is>
      </c>
      <c r="B175" s="1" t="n">
        <v>44316</v>
      </c>
      <c r="C175" s="1" t="n">
        <v>46050</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43310-2021</t>
        </is>
      </c>
      <c r="B176" s="1" t="n">
        <v>44432</v>
      </c>
      <c r="C176" s="1" t="n">
        <v>46050</v>
      </c>
      <c r="D176" t="inlineStr">
        <is>
          <t>JÄMTLANDS LÄN</t>
        </is>
      </c>
      <c r="E176" t="inlineStr">
        <is>
          <t>ÖSTERSUND</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23187-2021</t>
        </is>
      </c>
      <c r="B177" s="1" t="n">
        <v>44328</v>
      </c>
      <c r="C177" s="1" t="n">
        <v>46050</v>
      </c>
      <c r="D177" t="inlineStr">
        <is>
          <t>JÄMTLANDS LÄN</t>
        </is>
      </c>
      <c r="E177" t="inlineStr">
        <is>
          <t>ÖSTERSUND</t>
        </is>
      </c>
      <c r="G177" t="n">
        <v>1.8</v>
      </c>
      <c r="H177" t="n">
        <v>0</v>
      </c>
      <c r="I177" t="n">
        <v>0</v>
      </c>
      <c r="J177" t="n">
        <v>0</v>
      </c>
      <c r="K177" t="n">
        <v>0</v>
      </c>
      <c r="L177" t="n">
        <v>0</v>
      </c>
      <c r="M177" t="n">
        <v>0</v>
      </c>
      <c r="N177" t="n">
        <v>0</v>
      </c>
      <c r="O177" t="n">
        <v>0</v>
      </c>
      <c r="P177" t="n">
        <v>0</v>
      </c>
      <c r="Q177" t="n">
        <v>0</v>
      </c>
      <c r="R177" s="2" t="inlineStr"/>
    </row>
    <row r="178" ht="15" customHeight="1">
      <c r="A178" t="inlineStr">
        <is>
          <t>A 53453-2022</t>
        </is>
      </c>
      <c r="B178" s="1" t="n">
        <v>44879.49488425926</v>
      </c>
      <c r="C178" s="1" t="n">
        <v>46050</v>
      </c>
      <c r="D178" t="inlineStr">
        <is>
          <t>JÄMTLANDS LÄN</t>
        </is>
      </c>
      <c r="E178" t="inlineStr">
        <is>
          <t>ÖSTERSUND</t>
        </is>
      </c>
      <c r="G178" t="n">
        <v>22.2</v>
      </c>
      <c r="H178" t="n">
        <v>0</v>
      </c>
      <c r="I178" t="n">
        <v>0</v>
      </c>
      <c r="J178" t="n">
        <v>0</v>
      </c>
      <c r="K178" t="n">
        <v>0</v>
      </c>
      <c r="L178" t="n">
        <v>0</v>
      </c>
      <c r="M178" t="n">
        <v>0</v>
      </c>
      <c r="N178" t="n">
        <v>0</v>
      </c>
      <c r="O178" t="n">
        <v>0</v>
      </c>
      <c r="P178" t="n">
        <v>0</v>
      </c>
      <c r="Q178" t="n">
        <v>0</v>
      </c>
      <c r="R178" s="2" t="inlineStr"/>
    </row>
    <row r="179" ht="15" customHeight="1">
      <c r="A179" t="inlineStr">
        <is>
          <t>A 8396-2021</t>
        </is>
      </c>
      <c r="B179" s="1" t="n">
        <v>44238</v>
      </c>
      <c r="C179" s="1" t="n">
        <v>46050</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64092-2021</t>
        </is>
      </c>
      <c r="B180" s="1" t="n">
        <v>44510.44064814815</v>
      </c>
      <c r="C180" s="1" t="n">
        <v>46050</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40038-2021</t>
        </is>
      </c>
      <c r="B181" s="1" t="n">
        <v>44418.45925925926</v>
      </c>
      <c r="C181" s="1" t="n">
        <v>46050</v>
      </c>
      <c r="D181" t="inlineStr">
        <is>
          <t>JÄMTLANDS LÄN</t>
        </is>
      </c>
      <c r="E181" t="inlineStr">
        <is>
          <t>ÖSTERSUND</t>
        </is>
      </c>
      <c r="G181" t="n">
        <v>7</v>
      </c>
      <c r="H181" t="n">
        <v>0</v>
      </c>
      <c r="I181" t="n">
        <v>0</v>
      </c>
      <c r="J181" t="n">
        <v>0</v>
      </c>
      <c r="K181" t="n">
        <v>0</v>
      </c>
      <c r="L181" t="n">
        <v>0</v>
      </c>
      <c r="M181" t="n">
        <v>0</v>
      </c>
      <c r="N181" t="n">
        <v>0</v>
      </c>
      <c r="O181" t="n">
        <v>0</v>
      </c>
      <c r="P181" t="n">
        <v>0</v>
      </c>
      <c r="Q181" t="n">
        <v>0</v>
      </c>
      <c r="R181" s="2" t="inlineStr"/>
    </row>
    <row r="182" ht="15" customHeight="1">
      <c r="A182" t="inlineStr">
        <is>
          <t>A 67695-2021</t>
        </is>
      </c>
      <c r="B182" s="1" t="n">
        <v>44524.94607638889</v>
      </c>
      <c r="C182" s="1" t="n">
        <v>46050</v>
      </c>
      <c r="D182" t="inlineStr">
        <is>
          <t>JÄMTLANDS LÄN</t>
        </is>
      </c>
      <c r="E182" t="inlineStr">
        <is>
          <t>ÖSTERSUND</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32986-2021</t>
        </is>
      </c>
      <c r="B183" s="1" t="n">
        <v>44375</v>
      </c>
      <c r="C183" s="1" t="n">
        <v>46050</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29707-2021</t>
        </is>
      </c>
      <c r="B184" s="1" t="n">
        <v>44362</v>
      </c>
      <c r="C184" s="1" t="n">
        <v>46050</v>
      </c>
      <c r="D184" t="inlineStr">
        <is>
          <t>JÄMTLANDS LÄN</t>
        </is>
      </c>
      <c r="E184" t="inlineStr">
        <is>
          <t>ÖSTERSUND</t>
        </is>
      </c>
      <c r="G184" t="n">
        <v>4</v>
      </c>
      <c r="H184" t="n">
        <v>0</v>
      </c>
      <c r="I184" t="n">
        <v>0</v>
      </c>
      <c r="J184" t="n">
        <v>0</v>
      </c>
      <c r="K184" t="n">
        <v>0</v>
      </c>
      <c r="L184" t="n">
        <v>0</v>
      </c>
      <c r="M184" t="n">
        <v>0</v>
      </c>
      <c r="N184" t="n">
        <v>0</v>
      </c>
      <c r="O184" t="n">
        <v>0</v>
      </c>
      <c r="P184" t="n">
        <v>0</v>
      </c>
      <c r="Q184" t="n">
        <v>0</v>
      </c>
      <c r="R184" s="2" t="inlineStr"/>
    </row>
    <row r="185" ht="15" customHeight="1">
      <c r="A185" t="inlineStr">
        <is>
          <t>A 43951-2022</t>
        </is>
      </c>
      <c r="B185" s="1" t="n">
        <v>44838</v>
      </c>
      <c r="C185" s="1" t="n">
        <v>46050</v>
      </c>
      <c r="D185" t="inlineStr">
        <is>
          <t>JÄMTLANDS LÄN</t>
        </is>
      </c>
      <c r="E185" t="inlineStr">
        <is>
          <t>ÖSTERSUND</t>
        </is>
      </c>
      <c r="F185" t="inlineStr">
        <is>
          <t>Övriga Aktiebolag</t>
        </is>
      </c>
      <c r="G185" t="n">
        <v>2.9</v>
      </c>
      <c r="H185" t="n">
        <v>0</v>
      </c>
      <c r="I185" t="n">
        <v>0</v>
      </c>
      <c r="J185" t="n">
        <v>0</v>
      </c>
      <c r="K185" t="n">
        <v>0</v>
      </c>
      <c r="L185" t="n">
        <v>0</v>
      </c>
      <c r="M185" t="n">
        <v>0</v>
      </c>
      <c r="N185" t="n">
        <v>0</v>
      </c>
      <c r="O185" t="n">
        <v>0</v>
      </c>
      <c r="P185" t="n">
        <v>0</v>
      </c>
      <c r="Q185" t="n">
        <v>0</v>
      </c>
      <c r="R185" s="2" t="inlineStr"/>
    </row>
    <row r="186" ht="15" customHeight="1">
      <c r="A186" t="inlineStr">
        <is>
          <t>A 72089-2021</t>
        </is>
      </c>
      <c r="B186" s="1" t="n">
        <v>44540</v>
      </c>
      <c r="C186" s="1" t="n">
        <v>46050</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46050</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33808-2022</t>
        </is>
      </c>
      <c r="B188" s="1" t="n">
        <v>44790</v>
      </c>
      <c r="C188" s="1" t="n">
        <v>46050</v>
      </c>
      <c r="D188" t="inlineStr">
        <is>
          <t>JÄMTLANDS LÄN</t>
        </is>
      </c>
      <c r="E188" t="inlineStr">
        <is>
          <t>ÖSTERSUND</t>
        </is>
      </c>
      <c r="G188" t="n">
        <v>4.1</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46050</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46050</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46050</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46050</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46050</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46050</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46050</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46050</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46050</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46050</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46050</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46050</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46050</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17362-2021</t>
        </is>
      </c>
      <c r="B202" s="1" t="n">
        <v>44298</v>
      </c>
      <c r="C202" s="1" t="n">
        <v>46050</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46050</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46050</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46050</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46050</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72041-2021</t>
        </is>
      </c>
      <c r="B207" s="1" t="n">
        <v>44540</v>
      </c>
      <c r="C207" s="1" t="n">
        <v>46050</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17596-2021</t>
        </is>
      </c>
      <c r="B208" s="1" t="n">
        <v>44299</v>
      </c>
      <c r="C208" s="1" t="n">
        <v>46050</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23895-2021</t>
        </is>
      </c>
      <c r="B209" s="1" t="n">
        <v>44335</v>
      </c>
      <c r="C209" s="1" t="n">
        <v>46050</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70816-2021</t>
        </is>
      </c>
      <c r="B210" s="1" t="n">
        <v>44537.935</v>
      </c>
      <c r="C210" s="1" t="n">
        <v>46050</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46050</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46050</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46050</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46050</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46050</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52898-2022</t>
        </is>
      </c>
      <c r="B216" s="1" t="n">
        <v>44875</v>
      </c>
      <c r="C216" s="1" t="n">
        <v>46050</v>
      </c>
      <c r="D216" t="inlineStr">
        <is>
          <t>JÄMTLANDS LÄN</t>
        </is>
      </c>
      <c r="E216" t="inlineStr">
        <is>
          <t>ÖSTERSUND</t>
        </is>
      </c>
      <c r="F216" t="inlineStr">
        <is>
          <t>Övriga Aktiebolag</t>
        </is>
      </c>
      <c r="G216" t="n">
        <v>12.1</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46050</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65428-2021</t>
        </is>
      </c>
      <c r="B218" s="1" t="n">
        <v>44515</v>
      </c>
      <c r="C218" s="1" t="n">
        <v>46050</v>
      </c>
      <c r="D218" t="inlineStr">
        <is>
          <t>JÄMTLANDS LÄN</t>
        </is>
      </c>
      <c r="E218" t="inlineStr">
        <is>
          <t>ÖSTERSUND</t>
        </is>
      </c>
      <c r="F218" t="inlineStr">
        <is>
          <t>SCA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29094-2022</t>
        </is>
      </c>
      <c r="B219" s="1" t="n">
        <v>44750</v>
      </c>
      <c r="C219" s="1" t="n">
        <v>46050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71956-2021</t>
        </is>
      </c>
      <c r="B220" s="1" t="n">
        <v>44544</v>
      </c>
      <c r="C220" s="1" t="n">
        <v>46050</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46050</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65991-2021</t>
        </is>
      </c>
      <c r="B222" s="1" t="n">
        <v>44517.55134259259</v>
      </c>
      <c r="C222" s="1" t="n">
        <v>46050</v>
      </c>
      <c r="D222" t="inlineStr">
        <is>
          <t>JÄMTLANDS LÄN</t>
        </is>
      </c>
      <c r="E222" t="inlineStr">
        <is>
          <t>ÖSTERSUND</t>
        </is>
      </c>
      <c r="G222" t="n">
        <v>4.3</v>
      </c>
      <c r="H222" t="n">
        <v>0</v>
      </c>
      <c r="I222" t="n">
        <v>0</v>
      </c>
      <c r="J222" t="n">
        <v>0</v>
      </c>
      <c r="K222" t="n">
        <v>0</v>
      </c>
      <c r="L222" t="n">
        <v>0</v>
      </c>
      <c r="M222" t="n">
        <v>0</v>
      </c>
      <c r="N222" t="n">
        <v>0</v>
      </c>
      <c r="O222" t="n">
        <v>0</v>
      </c>
      <c r="P222" t="n">
        <v>0</v>
      </c>
      <c r="Q222" t="n">
        <v>0</v>
      </c>
      <c r="R222" s="2" t="inlineStr"/>
    </row>
    <row r="223" ht="15" customHeight="1">
      <c r="A223" t="inlineStr">
        <is>
          <t>A 6458-2022</t>
        </is>
      </c>
      <c r="B223" s="1" t="n">
        <v>44601.36165509259</v>
      </c>
      <c r="C223" s="1" t="n">
        <v>46050</v>
      </c>
      <c r="D223" t="inlineStr">
        <is>
          <t>JÄMTLANDS LÄN</t>
        </is>
      </c>
      <c r="E223" t="inlineStr">
        <is>
          <t>ÖSTERSUND</t>
        </is>
      </c>
      <c r="G223" t="n">
        <v>3.1</v>
      </c>
      <c r="H223" t="n">
        <v>0</v>
      </c>
      <c r="I223" t="n">
        <v>0</v>
      </c>
      <c r="J223" t="n">
        <v>0</v>
      </c>
      <c r="K223" t="n">
        <v>0</v>
      </c>
      <c r="L223" t="n">
        <v>0</v>
      </c>
      <c r="M223" t="n">
        <v>0</v>
      </c>
      <c r="N223" t="n">
        <v>0</v>
      </c>
      <c r="O223" t="n">
        <v>0</v>
      </c>
      <c r="P223" t="n">
        <v>0</v>
      </c>
      <c r="Q223" t="n">
        <v>0</v>
      </c>
      <c r="R223" s="2" t="inlineStr"/>
    </row>
    <row r="224" ht="15" customHeight="1">
      <c r="A224" t="inlineStr">
        <is>
          <t>A 23992-2022</t>
        </is>
      </c>
      <c r="B224" s="1" t="n">
        <v>44722</v>
      </c>
      <c r="C224" s="1" t="n">
        <v>46050</v>
      </c>
      <c r="D224" t="inlineStr">
        <is>
          <t>JÄMTLANDS LÄN</t>
        </is>
      </c>
      <c r="E224" t="inlineStr">
        <is>
          <t>ÖSTERSUND</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23993-2022</t>
        </is>
      </c>
      <c r="B225" s="1" t="n">
        <v>44722.94023148148</v>
      </c>
      <c r="C225" s="1" t="n">
        <v>46050</v>
      </c>
      <c r="D225" t="inlineStr">
        <is>
          <t>JÄMTLANDS LÄN</t>
        </is>
      </c>
      <c r="E225" t="inlineStr">
        <is>
          <t>ÖSTERSUND</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23551-2022</t>
        </is>
      </c>
      <c r="B226" s="1" t="n">
        <v>44721</v>
      </c>
      <c r="C226" s="1" t="n">
        <v>46050</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45654-2022</t>
        </is>
      </c>
      <c r="B227" s="1" t="n">
        <v>44845.67710648148</v>
      </c>
      <c r="C227" s="1" t="n">
        <v>46050</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42832-2021</t>
        </is>
      </c>
      <c r="B228" s="1" t="n">
        <v>44430</v>
      </c>
      <c r="C228" s="1" t="n">
        <v>46050</v>
      </c>
      <c r="D228" t="inlineStr">
        <is>
          <t>JÄMTLANDS LÄN</t>
        </is>
      </c>
      <c r="E228" t="inlineStr">
        <is>
          <t>ÖSTERSUND</t>
        </is>
      </c>
      <c r="G228" t="n">
        <v>9</v>
      </c>
      <c r="H228" t="n">
        <v>0</v>
      </c>
      <c r="I228" t="n">
        <v>0</v>
      </c>
      <c r="J228" t="n">
        <v>0</v>
      </c>
      <c r="K228" t="n">
        <v>0</v>
      </c>
      <c r="L228" t="n">
        <v>0</v>
      </c>
      <c r="M228" t="n">
        <v>0</v>
      </c>
      <c r="N228" t="n">
        <v>0</v>
      </c>
      <c r="O228" t="n">
        <v>0</v>
      </c>
      <c r="P228" t="n">
        <v>0</v>
      </c>
      <c r="Q228" t="n">
        <v>0</v>
      </c>
      <c r="R228" s="2" t="inlineStr"/>
    </row>
    <row r="229" ht="15" customHeight="1">
      <c r="A229" t="inlineStr">
        <is>
          <t>A 35755-2021</t>
        </is>
      </c>
      <c r="B229" s="1" t="n">
        <v>44385</v>
      </c>
      <c r="C229" s="1" t="n">
        <v>46050</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46050</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10590-2021</t>
        </is>
      </c>
      <c r="B231" s="1" t="n">
        <v>44258</v>
      </c>
      <c r="C231" s="1" t="n">
        <v>46050</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32990-2021</t>
        </is>
      </c>
      <c r="B232" s="1" t="n">
        <v>44375</v>
      </c>
      <c r="C232" s="1" t="n">
        <v>46050</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24721-2021</t>
        </is>
      </c>
      <c r="B233" s="1" t="n">
        <v>44340</v>
      </c>
      <c r="C233" s="1" t="n">
        <v>46050</v>
      </c>
      <c r="D233" t="inlineStr">
        <is>
          <t>JÄMTLANDS LÄN</t>
        </is>
      </c>
      <c r="E233" t="inlineStr">
        <is>
          <t>ÖSTERSUND</t>
        </is>
      </c>
      <c r="G233" t="n">
        <v>2.7</v>
      </c>
      <c r="H233" t="n">
        <v>0</v>
      </c>
      <c r="I233" t="n">
        <v>0</v>
      </c>
      <c r="J233" t="n">
        <v>0</v>
      </c>
      <c r="K233" t="n">
        <v>0</v>
      </c>
      <c r="L233" t="n">
        <v>0</v>
      </c>
      <c r="M233" t="n">
        <v>0</v>
      </c>
      <c r="N233" t="n">
        <v>0</v>
      </c>
      <c r="O233" t="n">
        <v>0</v>
      </c>
      <c r="P233" t="n">
        <v>0</v>
      </c>
      <c r="Q233" t="n">
        <v>0</v>
      </c>
      <c r="R233" s="2" t="inlineStr"/>
    </row>
    <row r="234" ht="15" customHeight="1">
      <c r="A234" t="inlineStr">
        <is>
          <t>A 21849-2021</t>
        </is>
      </c>
      <c r="B234" s="1" t="n">
        <v>44322</v>
      </c>
      <c r="C234" s="1" t="n">
        <v>46050</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46050</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14657-2022</t>
        </is>
      </c>
      <c r="B236" s="1" t="n">
        <v>44655</v>
      </c>
      <c r="C236" s="1" t="n">
        <v>46050</v>
      </c>
      <c r="D236" t="inlineStr">
        <is>
          <t>JÄMTLANDS LÄN</t>
        </is>
      </c>
      <c r="E236" t="inlineStr">
        <is>
          <t>ÖSTERSUND</t>
        </is>
      </c>
      <c r="G236" t="n">
        <v>1.1</v>
      </c>
      <c r="H236" t="n">
        <v>0</v>
      </c>
      <c r="I236" t="n">
        <v>0</v>
      </c>
      <c r="J236" t="n">
        <v>0</v>
      </c>
      <c r="K236" t="n">
        <v>0</v>
      </c>
      <c r="L236" t="n">
        <v>0</v>
      </c>
      <c r="M236" t="n">
        <v>0</v>
      </c>
      <c r="N236" t="n">
        <v>0</v>
      </c>
      <c r="O236" t="n">
        <v>0</v>
      </c>
      <c r="P236" t="n">
        <v>0</v>
      </c>
      <c r="Q236" t="n">
        <v>0</v>
      </c>
      <c r="R236" s="2" t="inlineStr"/>
    </row>
    <row r="237" ht="15" customHeight="1">
      <c r="A237" t="inlineStr">
        <is>
          <t>A 5145-2022</t>
        </is>
      </c>
      <c r="B237" s="1" t="n">
        <v>44594</v>
      </c>
      <c r="C237" s="1" t="n">
        <v>46050</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46050</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63099-2023</t>
        </is>
      </c>
      <c r="B239" s="1" t="n">
        <v>45273</v>
      </c>
      <c r="C239" s="1" t="n">
        <v>46050</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49592-2024</t>
        </is>
      </c>
      <c r="B240" s="1" t="n">
        <v>45596.55266203704</v>
      </c>
      <c r="C240" s="1" t="n">
        <v>46050</v>
      </c>
      <c r="D240" t="inlineStr">
        <is>
          <t>JÄMTLANDS LÄN</t>
        </is>
      </c>
      <c r="E240" t="inlineStr">
        <is>
          <t>ÖSTERSUND</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46050</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6013-2022</t>
        </is>
      </c>
      <c r="B242" s="1" t="n">
        <v>44599.45850694444</v>
      </c>
      <c r="C242" s="1" t="n">
        <v>46050</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46050</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45980-2023</t>
        </is>
      </c>
      <c r="B244" s="1" t="n">
        <v>45189</v>
      </c>
      <c r="C244" s="1" t="n">
        <v>46050</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31464-2024</t>
        </is>
      </c>
      <c r="B245" s="1" t="n">
        <v>45505.95078703704</v>
      </c>
      <c r="C245" s="1" t="n">
        <v>46050</v>
      </c>
      <c r="D245" t="inlineStr">
        <is>
          <t>JÄMTLANDS LÄN</t>
        </is>
      </c>
      <c r="E245" t="inlineStr">
        <is>
          <t>ÖSTERSUND</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7573-2022</t>
        </is>
      </c>
      <c r="B246" s="1" t="n">
        <v>44607</v>
      </c>
      <c r="C246" s="1" t="n">
        <v>46050</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12946-2022</t>
        </is>
      </c>
      <c r="B247" s="1" t="n">
        <v>44642.93471064815</v>
      </c>
      <c r="C247" s="1" t="n">
        <v>46050</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6578-2021</t>
        </is>
      </c>
      <c r="B248" s="1" t="n">
        <v>44236</v>
      </c>
      <c r="C248" s="1" t="n">
        <v>46050</v>
      </c>
      <c r="D248" t="inlineStr">
        <is>
          <t>JÄMTLANDS LÄN</t>
        </is>
      </c>
      <c r="E248" t="inlineStr">
        <is>
          <t>ÖSTERSUND</t>
        </is>
      </c>
      <c r="G248" t="n">
        <v>1.4</v>
      </c>
      <c r="H248" t="n">
        <v>0</v>
      </c>
      <c r="I248" t="n">
        <v>0</v>
      </c>
      <c r="J248" t="n">
        <v>0</v>
      </c>
      <c r="K248" t="n">
        <v>0</v>
      </c>
      <c r="L248" t="n">
        <v>0</v>
      </c>
      <c r="M248" t="n">
        <v>0</v>
      </c>
      <c r="N248" t="n">
        <v>0</v>
      </c>
      <c r="O248" t="n">
        <v>0</v>
      </c>
      <c r="P248" t="n">
        <v>0</v>
      </c>
      <c r="Q248" t="n">
        <v>0</v>
      </c>
      <c r="R248" s="2" t="inlineStr"/>
    </row>
    <row r="249" ht="15" customHeight="1">
      <c r="A249" t="inlineStr">
        <is>
          <t>A 58407-2024</t>
        </is>
      </c>
      <c r="B249" s="1" t="n">
        <v>45634.72633101852</v>
      </c>
      <c r="C249" s="1" t="n">
        <v>46050</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4872-2023</t>
        </is>
      </c>
      <c r="B250" s="1" t="n">
        <v>44957</v>
      </c>
      <c r="C250" s="1" t="n">
        <v>46050</v>
      </c>
      <c r="D250" t="inlineStr">
        <is>
          <t>JÄMTLANDS LÄN</t>
        </is>
      </c>
      <c r="E250" t="inlineStr">
        <is>
          <t>ÖSTERSUND</t>
        </is>
      </c>
      <c r="G250" t="n">
        <v>10.7</v>
      </c>
      <c r="H250" t="n">
        <v>0</v>
      </c>
      <c r="I250" t="n">
        <v>0</v>
      </c>
      <c r="J250" t="n">
        <v>0</v>
      </c>
      <c r="K250" t="n">
        <v>0</v>
      </c>
      <c r="L250" t="n">
        <v>0</v>
      </c>
      <c r="M250" t="n">
        <v>0</v>
      </c>
      <c r="N250" t="n">
        <v>0</v>
      </c>
      <c r="O250" t="n">
        <v>0</v>
      </c>
      <c r="P250" t="n">
        <v>0</v>
      </c>
      <c r="Q250" t="n">
        <v>0</v>
      </c>
      <c r="R250" s="2" t="inlineStr"/>
    </row>
    <row r="251" ht="15" customHeight="1">
      <c r="A251" t="inlineStr">
        <is>
          <t>A 60681-2022</t>
        </is>
      </c>
      <c r="B251" s="1" t="n">
        <v>44911.93994212963</v>
      </c>
      <c r="C251" s="1" t="n">
        <v>46050</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10493-2025</t>
        </is>
      </c>
      <c r="B252" s="1" t="n">
        <v>45721.36320601852</v>
      </c>
      <c r="C252" s="1" t="n">
        <v>46050</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1255-2025</t>
        </is>
      </c>
      <c r="B253" s="1" t="n">
        <v>45667.46922453704</v>
      </c>
      <c r="C253" s="1" t="n">
        <v>46050</v>
      </c>
      <c r="D253" t="inlineStr">
        <is>
          <t>JÄMTLANDS LÄN</t>
        </is>
      </c>
      <c r="E253" t="inlineStr">
        <is>
          <t>ÖSTERSUND</t>
        </is>
      </c>
      <c r="F253" t="inlineStr">
        <is>
          <t>SCA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48106-2024</t>
        </is>
      </c>
      <c r="B254" s="1" t="n">
        <v>45589.62625</v>
      </c>
      <c r="C254" s="1" t="n">
        <v>46050</v>
      </c>
      <c r="D254" t="inlineStr">
        <is>
          <t>JÄMTLANDS LÄN</t>
        </is>
      </c>
      <c r="E254" t="inlineStr">
        <is>
          <t>ÖSTERSUND</t>
        </is>
      </c>
      <c r="G254" t="n">
        <v>3.5</v>
      </c>
      <c r="H254" t="n">
        <v>0</v>
      </c>
      <c r="I254" t="n">
        <v>0</v>
      </c>
      <c r="J254" t="n">
        <v>0</v>
      </c>
      <c r="K254" t="n">
        <v>0</v>
      </c>
      <c r="L254" t="n">
        <v>0</v>
      </c>
      <c r="M254" t="n">
        <v>0</v>
      </c>
      <c r="N254" t="n">
        <v>0</v>
      </c>
      <c r="O254" t="n">
        <v>0</v>
      </c>
      <c r="P254" t="n">
        <v>0</v>
      </c>
      <c r="Q254" t="n">
        <v>0</v>
      </c>
      <c r="R254" s="2" t="inlineStr"/>
    </row>
    <row r="255" ht="15" customHeight="1">
      <c r="A255" t="inlineStr">
        <is>
          <t>A 21495-2022</t>
        </is>
      </c>
      <c r="B255" s="1" t="n">
        <v>44706</v>
      </c>
      <c r="C255" s="1" t="n">
        <v>46050</v>
      </c>
      <c r="D255" t="inlineStr">
        <is>
          <t>JÄMTLANDS LÄN</t>
        </is>
      </c>
      <c r="E255" t="inlineStr">
        <is>
          <t>ÖSTERSUND</t>
        </is>
      </c>
      <c r="G255" t="n">
        <v>1.3</v>
      </c>
      <c r="H255" t="n">
        <v>0</v>
      </c>
      <c r="I255" t="n">
        <v>0</v>
      </c>
      <c r="J255" t="n">
        <v>0</v>
      </c>
      <c r="K255" t="n">
        <v>0</v>
      </c>
      <c r="L255" t="n">
        <v>0</v>
      </c>
      <c r="M255" t="n">
        <v>0</v>
      </c>
      <c r="N255" t="n">
        <v>0</v>
      </c>
      <c r="O255" t="n">
        <v>0</v>
      </c>
      <c r="P255" t="n">
        <v>0</v>
      </c>
      <c r="Q255" t="n">
        <v>0</v>
      </c>
      <c r="R255" s="2" t="inlineStr"/>
    </row>
    <row r="256" ht="15" customHeight="1">
      <c r="A256" t="inlineStr">
        <is>
          <t>A 47627-2024</t>
        </is>
      </c>
      <c r="B256" s="1" t="n">
        <v>45588.3440625</v>
      </c>
      <c r="C256" s="1" t="n">
        <v>46050</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47628-2024</t>
        </is>
      </c>
      <c r="B257" s="1" t="n">
        <v>45588.34418981482</v>
      </c>
      <c r="C257" s="1" t="n">
        <v>46050</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46050</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24246-2024</t>
        </is>
      </c>
      <c r="B259" s="1" t="n">
        <v>45457.37893518519</v>
      </c>
      <c r="C259" s="1" t="n">
        <v>46050</v>
      </c>
      <c r="D259" t="inlineStr">
        <is>
          <t>JÄMTLANDS LÄN</t>
        </is>
      </c>
      <c r="E259" t="inlineStr">
        <is>
          <t>ÖSTERSUND</t>
        </is>
      </c>
      <c r="G259" t="n">
        <v>5.3</v>
      </c>
      <c r="H259" t="n">
        <v>0</v>
      </c>
      <c r="I259" t="n">
        <v>0</v>
      </c>
      <c r="J259" t="n">
        <v>0</v>
      </c>
      <c r="K259" t="n">
        <v>0</v>
      </c>
      <c r="L259" t="n">
        <v>0</v>
      </c>
      <c r="M259" t="n">
        <v>0</v>
      </c>
      <c r="N259" t="n">
        <v>0</v>
      </c>
      <c r="O259" t="n">
        <v>0</v>
      </c>
      <c r="P259" t="n">
        <v>0</v>
      </c>
      <c r="Q259" t="n">
        <v>0</v>
      </c>
      <c r="R259" s="2" t="inlineStr"/>
    </row>
    <row r="260" ht="15" customHeight="1">
      <c r="A260" t="inlineStr">
        <is>
          <t>A 55666-2023</t>
        </is>
      </c>
      <c r="B260" s="1" t="n">
        <v>45238.96770833333</v>
      </c>
      <c r="C260" s="1" t="n">
        <v>46050</v>
      </c>
      <c r="D260" t="inlineStr">
        <is>
          <t>JÄMTLANDS LÄN</t>
        </is>
      </c>
      <c r="E260" t="inlineStr">
        <is>
          <t>ÖSTERSUND</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9109-2024</t>
        </is>
      </c>
      <c r="B261" s="1" t="n">
        <v>45357.96106481482</v>
      </c>
      <c r="C261" s="1" t="n">
        <v>46050</v>
      </c>
      <c r="D261" t="inlineStr">
        <is>
          <t>JÄMTLANDS LÄN</t>
        </is>
      </c>
      <c r="E261" t="inlineStr">
        <is>
          <t>ÖSTERSUND</t>
        </is>
      </c>
      <c r="G261" t="n">
        <v>17.1</v>
      </c>
      <c r="H261" t="n">
        <v>0</v>
      </c>
      <c r="I261" t="n">
        <v>0</v>
      </c>
      <c r="J261" t="n">
        <v>0</v>
      </c>
      <c r="K261" t="n">
        <v>0</v>
      </c>
      <c r="L261" t="n">
        <v>0</v>
      </c>
      <c r="M261" t="n">
        <v>0</v>
      </c>
      <c r="N261" t="n">
        <v>0</v>
      </c>
      <c r="O261" t="n">
        <v>0</v>
      </c>
      <c r="P261" t="n">
        <v>0</v>
      </c>
      <c r="Q261" t="n">
        <v>0</v>
      </c>
      <c r="R261" s="2" t="inlineStr"/>
    </row>
    <row r="262" ht="15" customHeight="1">
      <c r="A262" t="inlineStr">
        <is>
          <t>A 2984-2024</t>
        </is>
      </c>
      <c r="B262" s="1" t="n">
        <v>45315</v>
      </c>
      <c r="C262" s="1" t="n">
        <v>46050</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55002-2024</t>
        </is>
      </c>
      <c r="B263" s="1" t="n">
        <v>45621</v>
      </c>
      <c r="C263" s="1" t="n">
        <v>46050</v>
      </c>
      <c r="D263" t="inlineStr">
        <is>
          <t>JÄMTLANDS LÄN</t>
        </is>
      </c>
      <c r="E263" t="inlineStr">
        <is>
          <t>ÖSTERSUND</t>
        </is>
      </c>
      <c r="F263" t="inlineStr">
        <is>
          <t>Övriga Aktiebolag</t>
        </is>
      </c>
      <c r="G263" t="n">
        <v>0.3</v>
      </c>
      <c r="H263" t="n">
        <v>0</v>
      </c>
      <c r="I263" t="n">
        <v>0</v>
      </c>
      <c r="J263" t="n">
        <v>0</v>
      </c>
      <c r="K263" t="n">
        <v>0</v>
      </c>
      <c r="L263" t="n">
        <v>0</v>
      </c>
      <c r="M263" t="n">
        <v>0</v>
      </c>
      <c r="N263" t="n">
        <v>0</v>
      </c>
      <c r="O263" t="n">
        <v>0</v>
      </c>
      <c r="P263" t="n">
        <v>0</v>
      </c>
      <c r="Q263" t="n">
        <v>0</v>
      </c>
      <c r="R263" s="2" t="inlineStr"/>
    </row>
    <row r="264" ht="15" customHeight="1">
      <c r="A264" t="inlineStr">
        <is>
          <t>A 4521-2025</t>
        </is>
      </c>
      <c r="B264" s="1" t="n">
        <v>45686</v>
      </c>
      <c r="C264" s="1" t="n">
        <v>46050</v>
      </c>
      <c r="D264" t="inlineStr">
        <is>
          <t>JÄMTLANDS LÄN</t>
        </is>
      </c>
      <c r="E264" t="inlineStr">
        <is>
          <t>ÖSTERSUND</t>
        </is>
      </c>
      <c r="G264" t="n">
        <v>28.4</v>
      </c>
      <c r="H264" t="n">
        <v>0</v>
      </c>
      <c r="I264" t="n">
        <v>0</v>
      </c>
      <c r="J264" t="n">
        <v>0</v>
      </c>
      <c r="K264" t="n">
        <v>0</v>
      </c>
      <c r="L264" t="n">
        <v>0</v>
      </c>
      <c r="M264" t="n">
        <v>0</v>
      </c>
      <c r="N264" t="n">
        <v>0</v>
      </c>
      <c r="O264" t="n">
        <v>0</v>
      </c>
      <c r="P264" t="n">
        <v>0</v>
      </c>
      <c r="Q264" t="n">
        <v>0</v>
      </c>
      <c r="R264" s="2" t="inlineStr"/>
    </row>
    <row r="265" ht="15" customHeight="1">
      <c r="A265" t="inlineStr">
        <is>
          <t>A 19664-2025</t>
        </is>
      </c>
      <c r="B265" s="1" t="n">
        <v>45770.6925462963</v>
      </c>
      <c r="C265" s="1" t="n">
        <v>46050</v>
      </c>
      <c r="D265" t="inlineStr">
        <is>
          <t>JÄMTLANDS LÄN</t>
        </is>
      </c>
      <c r="E265" t="inlineStr">
        <is>
          <t>ÖSTERSUND</t>
        </is>
      </c>
      <c r="G265" t="n">
        <v>8.6</v>
      </c>
      <c r="H265" t="n">
        <v>0</v>
      </c>
      <c r="I265" t="n">
        <v>0</v>
      </c>
      <c r="J265" t="n">
        <v>0</v>
      </c>
      <c r="K265" t="n">
        <v>0</v>
      </c>
      <c r="L265" t="n">
        <v>0</v>
      </c>
      <c r="M265" t="n">
        <v>0</v>
      </c>
      <c r="N265" t="n">
        <v>0</v>
      </c>
      <c r="O265" t="n">
        <v>0</v>
      </c>
      <c r="P265" t="n">
        <v>0</v>
      </c>
      <c r="Q265" t="n">
        <v>0</v>
      </c>
      <c r="R265" s="2" t="inlineStr"/>
    </row>
    <row r="266" ht="15" customHeight="1">
      <c r="A266" t="inlineStr">
        <is>
          <t>A 50088-2024</t>
        </is>
      </c>
      <c r="B266" s="1" t="n">
        <v>45600.38585648148</v>
      </c>
      <c r="C266" s="1" t="n">
        <v>46050</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44634.52982638889</v>
      </c>
      <c r="C267" s="1" t="n">
        <v>46050</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5549-2025</t>
        </is>
      </c>
      <c r="B268" s="1" t="n">
        <v>45693</v>
      </c>
      <c r="C268" s="1" t="n">
        <v>46050</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5553-2025</t>
        </is>
      </c>
      <c r="B269" s="1" t="n">
        <v>45693</v>
      </c>
      <c r="C269" s="1" t="n">
        <v>46050</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60560-2022</t>
        </is>
      </c>
      <c r="B270" s="1" t="n">
        <v>44911.54984953703</v>
      </c>
      <c r="C270" s="1" t="n">
        <v>46050</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5140-2025</t>
        </is>
      </c>
      <c r="B271" s="1" t="n">
        <v>45691</v>
      </c>
      <c r="C271" s="1" t="n">
        <v>46050</v>
      </c>
      <c r="D271" t="inlineStr">
        <is>
          <t>JÄMTLANDS LÄN</t>
        </is>
      </c>
      <c r="E271" t="inlineStr">
        <is>
          <t>ÖSTERSUND</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43511-2022</t>
        </is>
      </c>
      <c r="B272" s="1" t="n">
        <v>44837.36724537037</v>
      </c>
      <c r="C272" s="1" t="n">
        <v>46050</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60174-2022</t>
        </is>
      </c>
      <c r="B273" s="1" t="n">
        <v>44909.9640162037</v>
      </c>
      <c r="C273" s="1" t="n">
        <v>46050</v>
      </c>
      <c r="D273" t="inlineStr">
        <is>
          <t>JÄMTLANDS LÄN</t>
        </is>
      </c>
      <c r="E273" t="inlineStr">
        <is>
          <t>ÖSTERSUND</t>
        </is>
      </c>
      <c r="F273" t="inlineStr">
        <is>
          <t>SCA</t>
        </is>
      </c>
      <c r="G273" t="n">
        <v>0.5</v>
      </c>
      <c r="H273" t="n">
        <v>0</v>
      </c>
      <c r="I273" t="n">
        <v>0</v>
      </c>
      <c r="J273" t="n">
        <v>0</v>
      </c>
      <c r="K273" t="n">
        <v>0</v>
      </c>
      <c r="L273" t="n">
        <v>0</v>
      </c>
      <c r="M273" t="n">
        <v>0</v>
      </c>
      <c r="N273" t="n">
        <v>0</v>
      </c>
      <c r="O273" t="n">
        <v>0</v>
      </c>
      <c r="P273" t="n">
        <v>0</v>
      </c>
      <c r="Q273" t="n">
        <v>0</v>
      </c>
      <c r="R273" s="2" t="inlineStr"/>
    </row>
    <row r="274" ht="15" customHeight="1">
      <c r="A274" t="inlineStr">
        <is>
          <t>A 43016-2024</t>
        </is>
      </c>
      <c r="B274" s="1" t="n">
        <v>45567.39192129629</v>
      </c>
      <c r="C274" s="1" t="n">
        <v>46050</v>
      </c>
      <c r="D274" t="inlineStr">
        <is>
          <t>JÄMTLANDS LÄN</t>
        </is>
      </c>
      <c r="E274" t="inlineStr">
        <is>
          <t>ÖSTERSUND</t>
        </is>
      </c>
      <c r="G274" t="n">
        <v>5.3</v>
      </c>
      <c r="H274" t="n">
        <v>0</v>
      </c>
      <c r="I274" t="n">
        <v>0</v>
      </c>
      <c r="J274" t="n">
        <v>0</v>
      </c>
      <c r="K274" t="n">
        <v>0</v>
      </c>
      <c r="L274" t="n">
        <v>0</v>
      </c>
      <c r="M274" t="n">
        <v>0</v>
      </c>
      <c r="N274" t="n">
        <v>0</v>
      </c>
      <c r="O274" t="n">
        <v>0</v>
      </c>
      <c r="P274" t="n">
        <v>0</v>
      </c>
      <c r="Q274" t="n">
        <v>0</v>
      </c>
      <c r="R274" s="2" t="inlineStr"/>
    </row>
    <row r="275" ht="15" customHeight="1">
      <c r="A275" t="inlineStr">
        <is>
          <t>A 51481-2023</t>
        </is>
      </c>
      <c r="B275" s="1" t="n">
        <v>45221.92440972223</v>
      </c>
      <c r="C275" s="1" t="n">
        <v>46050</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6048-2024</t>
        </is>
      </c>
      <c r="B276" s="1" t="n">
        <v>45336</v>
      </c>
      <c r="C276" s="1" t="n">
        <v>46050</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2747-2025</t>
        </is>
      </c>
      <c r="B277" s="1" t="n">
        <v>45677.4649537037</v>
      </c>
      <c r="C277" s="1" t="n">
        <v>46050</v>
      </c>
      <c r="D277" t="inlineStr">
        <is>
          <t>JÄMTLANDS LÄN</t>
        </is>
      </c>
      <c r="E277" t="inlineStr">
        <is>
          <t>ÖSTERSUND</t>
        </is>
      </c>
      <c r="F277" t="inlineStr">
        <is>
          <t>Sveaskog</t>
        </is>
      </c>
      <c r="G277" t="n">
        <v>6.4</v>
      </c>
      <c r="H277" t="n">
        <v>0</v>
      </c>
      <c r="I277" t="n">
        <v>0</v>
      </c>
      <c r="J277" t="n">
        <v>0</v>
      </c>
      <c r="K277" t="n">
        <v>0</v>
      </c>
      <c r="L277" t="n">
        <v>0</v>
      </c>
      <c r="M277" t="n">
        <v>0</v>
      </c>
      <c r="N277" t="n">
        <v>0</v>
      </c>
      <c r="O277" t="n">
        <v>0</v>
      </c>
      <c r="P277" t="n">
        <v>0</v>
      </c>
      <c r="Q277" t="n">
        <v>0</v>
      </c>
      <c r="R277" s="2" t="inlineStr"/>
    </row>
    <row r="278" ht="15" customHeight="1">
      <c r="A278" t="inlineStr">
        <is>
          <t>A 8675-2023</t>
        </is>
      </c>
      <c r="B278" s="1" t="n">
        <v>44977.98629629629</v>
      </c>
      <c r="C278" s="1" t="n">
        <v>46050</v>
      </c>
      <c r="D278" t="inlineStr">
        <is>
          <t>JÄMTLANDS LÄN</t>
        </is>
      </c>
      <c r="E278" t="inlineStr">
        <is>
          <t>ÖSTERSUND</t>
        </is>
      </c>
      <c r="F278" t="inlineStr">
        <is>
          <t>SCA</t>
        </is>
      </c>
      <c r="G278" t="n">
        <v>5.7</v>
      </c>
      <c r="H278" t="n">
        <v>0</v>
      </c>
      <c r="I278" t="n">
        <v>0</v>
      </c>
      <c r="J278" t="n">
        <v>0</v>
      </c>
      <c r="K278" t="n">
        <v>0</v>
      </c>
      <c r="L278" t="n">
        <v>0</v>
      </c>
      <c r="M278" t="n">
        <v>0</v>
      </c>
      <c r="N278" t="n">
        <v>0</v>
      </c>
      <c r="O278" t="n">
        <v>0</v>
      </c>
      <c r="P278" t="n">
        <v>0</v>
      </c>
      <c r="Q278" t="n">
        <v>0</v>
      </c>
      <c r="R278" s="2" t="inlineStr"/>
    </row>
    <row r="279" ht="15" customHeight="1">
      <c r="A279" t="inlineStr">
        <is>
          <t>A 24403-2025</t>
        </is>
      </c>
      <c r="B279" s="1" t="n">
        <v>45797.65025462963</v>
      </c>
      <c r="C279" s="1" t="n">
        <v>46050</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41780-2024</t>
        </is>
      </c>
      <c r="B280" s="1" t="n">
        <v>45561.34908564815</v>
      </c>
      <c r="C280" s="1" t="n">
        <v>46050</v>
      </c>
      <c r="D280" t="inlineStr">
        <is>
          <t>JÄMTLANDS LÄN</t>
        </is>
      </c>
      <c r="E280" t="inlineStr">
        <is>
          <t>ÖSTERSUND</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24568-2025</t>
        </is>
      </c>
      <c r="B281" s="1" t="n">
        <v>45798.46913194445</v>
      </c>
      <c r="C281" s="1" t="n">
        <v>46050</v>
      </c>
      <c r="D281" t="inlineStr">
        <is>
          <t>JÄMTLANDS LÄN</t>
        </is>
      </c>
      <c r="E281" t="inlineStr">
        <is>
          <t>ÖSTERSUND</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24523-2025</t>
        </is>
      </c>
      <c r="B282" s="1" t="n">
        <v>45798.42108796296</v>
      </c>
      <c r="C282" s="1" t="n">
        <v>46050</v>
      </c>
      <c r="D282" t="inlineStr">
        <is>
          <t>JÄMTLANDS LÄN</t>
        </is>
      </c>
      <c r="E282" t="inlineStr">
        <is>
          <t>ÖSTERSUND</t>
        </is>
      </c>
      <c r="G282" t="n">
        <v>13.7</v>
      </c>
      <c r="H282" t="n">
        <v>0</v>
      </c>
      <c r="I282" t="n">
        <v>0</v>
      </c>
      <c r="J282" t="n">
        <v>0</v>
      </c>
      <c r="K282" t="n">
        <v>0</v>
      </c>
      <c r="L282" t="n">
        <v>0</v>
      </c>
      <c r="M282" t="n">
        <v>0</v>
      </c>
      <c r="N282" t="n">
        <v>0</v>
      </c>
      <c r="O282" t="n">
        <v>0</v>
      </c>
      <c r="P282" t="n">
        <v>0</v>
      </c>
      <c r="Q282" t="n">
        <v>0</v>
      </c>
      <c r="R282" s="2" t="inlineStr"/>
    </row>
    <row r="283" ht="15" customHeight="1">
      <c r="A283" t="inlineStr">
        <is>
          <t>A 38871-2025</t>
        </is>
      </c>
      <c r="B283" s="1" t="n">
        <v>45887.57407407407</v>
      </c>
      <c r="C283" s="1" t="n">
        <v>46050</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22082-2022</t>
        </is>
      </c>
      <c r="B284" s="1" t="n">
        <v>44711.9403587963</v>
      </c>
      <c r="C284" s="1" t="n">
        <v>46050</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25058-2025</t>
        </is>
      </c>
      <c r="B285" s="1" t="n">
        <v>45799.68418981481</v>
      </c>
      <c r="C285" s="1" t="n">
        <v>46050</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53176-2024</t>
        </is>
      </c>
      <c r="B286" s="1" t="n">
        <v>45611.66655092593</v>
      </c>
      <c r="C286" s="1" t="n">
        <v>46050</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38142-2021</t>
        </is>
      </c>
      <c r="B287" s="1" t="n">
        <v>44405</v>
      </c>
      <c r="C287" s="1" t="n">
        <v>46050</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25069-2025</t>
        </is>
      </c>
      <c r="B288" s="1" t="n">
        <v>45799.7372337963</v>
      </c>
      <c r="C288" s="1" t="n">
        <v>46050</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24946-2025</t>
        </is>
      </c>
      <c r="B289" s="1" t="n">
        <v>45799.56515046296</v>
      </c>
      <c r="C289" s="1" t="n">
        <v>46050</v>
      </c>
      <c r="D289" t="inlineStr">
        <is>
          <t>JÄMTLANDS LÄN</t>
        </is>
      </c>
      <c r="E289" t="inlineStr">
        <is>
          <t>ÖSTERSUND</t>
        </is>
      </c>
      <c r="G289" t="n">
        <v>4.8</v>
      </c>
      <c r="H289" t="n">
        <v>0</v>
      </c>
      <c r="I289" t="n">
        <v>0</v>
      </c>
      <c r="J289" t="n">
        <v>0</v>
      </c>
      <c r="K289" t="n">
        <v>0</v>
      </c>
      <c r="L289" t="n">
        <v>0</v>
      </c>
      <c r="M289" t="n">
        <v>0</v>
      </c>
      <c r="N289" t="n">
        <v>0</v>
      </c>
      <c r="O289" t="n">
        <v>0</v>
      </c>
      <c r="P289" t="n">
        <v>0</v>
      </c>
      <c r="Q289" t="n">
        <v>0</v>
      </c>
      <c r="R289" s="2" t="inlineStr"/>
    </row>
    <row r="290" ht="15" customHeight="1">
      <c r="A290" t="inlineStr">
        <is>
          <t>A 46139-2021</t>
        </is>
      </c>
      <c r="B290" s="1" t="n">
        <v>44441</v>
      </c>
      <c r="C290" s="1" t="n">
        <v>46050</v>
      </c>
      <c r="D290" t="inlineStr">
        <is>
          <t>JÄMTLANDS LÄN</t>
        </is>
      </c>
      <c r="E290" t="inlineStr">
        <is>
          <t>ÖSTERSUND</t>
        </is>
      </c>
      <c r="G290" t="n">
        <v>12.8</v>
      </c>
      <c r="H290" t="n">
        <v>0</v>
      </c>
      <c r="I290" t="n">
        <v>0</v>
      </c>
      <c r="J290" t="n">
        <v>0</v>
      </c>
      <c r="K290" t="n">
        <v>0</v>
      </c>
      <c r="L290" t="n">
        <v>0</v>
      </c>
      <c r="M290" t="n">
        <v>0</v>
      </c>
      <c r="N290" t="n">
        <v>0</v>
      </c>
      <c r="O290" t="n">
        <v>0</v>
      </c>
      <c r="P290" t="n">
        <v>0</v>
      </c>
      <c r="Q290" t="n">
        <v>0</v>
      </c>
      <c r="R290" s="2" t="inlineStr"/>
    </row>
    <row r="291" ht="15" customHeight="1">
      <c r="A291" t="inlineStr">
        <is>
          <t>A 25059-2025</t>
        </is>
      </c>
      <c r="B291" s="1" t="n">
        <v>45799.69116898148</v>
      </c>
      <c r="C291" s="1" t="n">
        <v>46050</v>
      </c>
      <c r="D291" t="inlineStr">
        <is>
          <t>JÄMTLANDS LÄN</t>
        </is>
      </c>
      <c r="E291" t="inlineStr">
        <is>
          <t>ÖSTERSUND</t>
        </is>
      </c>
      <c r="G291" t="n">
        <v>2.7</v>
      </c>
      <c r="H291" t="n">
        <v>0</v>
      </c>
      <c r="I291" t="n">
        <v>0</v>
      </c>
      <c r="J291" t="n">
        <v>0</v>
      </c>
      <c r="K291" t="n">
        <v>0</v>
      </c>
      <c r="L291" t="n">
        <v>0</v>
      </c>
      <c r="M291" t="n">
        <v>0</v>
      </c>
      <c r="N291" t="n">
        <v>0</v>
      </c>
      <c r="O291" t="n">
        <v>0</v>
      </c>
      <c r="P291" t="n">
        <v>0</v>
      </c>
      <c r="Q291" t="n">
        <v>0</v>
      </c>
      <c r="R291" s="2" t="inlineStr"/>
    </row>
    <row r="292" ht="15" customHeight="1">
      <c r="A292" t="inlineStr">
        <is>
          <t>A 61256-2022</t>
        </is>
      </c>
      <c r="B292" s="1" t="n">
        <v>44909</v>
      </c>
      <c r="C292" s="1" t="n">
        <v>46050</v>
      </c>
      <c r="D292" t="inlineStr">
        <is>
          <t>JÄMTLANDS LÄN</t>
        </is>
      </c>
      <c r="E292" t="inlineStr">
        <is>
          <t>ÖSTERSUND</t>
        </is>
      </c>
      <c r="G292" t="n">
        <v>3.9</v>
      </c>
      <c r="H292" t="n">
        <v>0</v>
      </c>
      <c r="I292" t="n">
        <v>0</v>
      </c>
      <c r="J292" t="n">
        <v>0</v>
      </c>
      <c r="K292" t="n">
        <v>0</v>
      </c>
      <c r="L292" t="n">
        <v>0</v>
      </c>
      <c r="M292" t="n">
        <v>0</v>
      </c>
      <c r="N292" t="n">
        <v>0</v>
      </c>
      <c r="O292" t="n">
        <v>0</v>
      </c>
      <c r="P292" t="n">
        <v>0</v>
      </c>
      <c r="Q292" t="n">
        <v>0</v>
      </c>
      <c r="R292" s="2" t="inlineStr"/>
    </row>
    <row r="293" ht="15" customHeight="1">
      <c r="A293" t="inlineStr">
        <is>
          <t>A 38853-2025</t>
        </is>
      </c>
      <c r="B293" s="1" t="n">
        <v>45887.55666666666</v>
      </c>
      <c r="C293" s="1" t="n">
        <v>46050</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25572-2025</t>
        </is>
      </c>
      <c r="B294" s="1" t="n">
        <v>45803</v>
      </c>
      <c r="C294" s="1" t="n">
        <v>46050</v>
      </c>
      <c r="D294" t="inlineStr">
        <is>
          <t>JÄMTLANDS LÄN</t>
        </is>
      </c>
      <c r="E294" t="inlineStr">
        <is>
          <t>ÖSTERSUND</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55302-2021</t>
        </is>
      </c>
      <c r="B295" s="1" t="n">
        <v>44475</v>
      </c>
      <c r="C295" s="1" t="n">
        <v>46050</v>
      </c>
      <c r="D295" t="inlineStr">
        <is>
          <t>JÄMTLANDS LÄN</t>
        </is>
      </c>
      <c r="E295" t="inlineStr">
        <is>
          <t>ÖSTERSUND</t>
        </is>
      </c>
      <c r="G295" t="n">
        <v>0.3</v>
      </c>
      <c r="H295" t="n">
        <v>0</v>
      </c>
      <c r="I295" t="n">
        <v>0</v>
      </c>
      <c r="J295" t="n">
        <v>0</v>
      </c>
      <c r="K295" t="n">
        <v>0</v>
      </c>
      <c r="L295" t="n">
        <v>0</v>
      </c>
      <c r="M295" t="n">
        <v>0</v>
      </c>
      <c r="N295" t="n">
        <v>0</v>
      </c>
      <c r="O295" t="n">
        <v>0</v>
      </c>
      <c r="P295" t="n">
        <v>0</v>
      </c>
      <c r="Q295" t="n">
        <v>0</v>
      </c>
      <c r="R295" s="2" t="inlineStr"/>
    </row>
    <row r="296" ht="15" customHeight="1">
      <c r="A296" t="inlineStr">
        <is>
          <t>A 25252-2025</t>
        </is>
      </c>
      <c r="B296" s="1" t="n">
        <v>45800.50355324074</v>
      </c>
      <c r="C296" s="1" t="n">
        <v>46050</v>
      </c>
      <c r="D296" t="inlineStr">
        <is>
          <t>JÄMTLANDS LÄN</t>
        </is>
      </c>
      <c r="E296" t="inlineStr">
        <is>
          <t>ÖSTERSUND</t>
        </is>
      </c>
      <c r="G296" t="n">
        <v>2.7</v>
      </c>
      <c r="H296" t="n">
        <v>0</v>
      </c>
      <c r="I296" t="n">
        <v>0</v>
      </c>
      <c r="J296" t="n">
        <v>0</v>
      </c>
      <c r="K296" t="n">
        <v>0</v>
      </c>
      <c r="L296" t="n">
        <v>0</v>
      </c>
      <c r="M296" t="n">
        <v>0</v>
      </c>
      <c r="N296" t="n">
        <v>0</v>
      </c>
      <c r="O296" t="n">
        <v>0</v>
      </c>
      <c r="P296" t="n">
        <v>0</v>
      </c>
      <c r="Q296" t="n">
        <v>0</v>
      </c>
      <c r="R296" s="2" t="inlineStr"/>
    </row>
    <row r="297" ht="15" customHeight="1">
      <c r="A297" t="inlineStr">
        <is>
          <t>A 61376-2024</t>
        </is>
      </c>
      <c r="B297" s="1" t="n">
        <v>45646.39434027778</v>
      </c>
      <c r="C297" s="1" t="n">
        <v>46050</v>
      </c>
      <c r="D297" t="inlineStr">
        <is>
          <t>JÄMTLANDS LÄN</t>
        </is>
      </c>
      <c r="E297" t="inlineStr">
        <is>
          <t>ÖSTERSUND</t>
        </is>
      </c>
      <c r="G297" t="n">
        <v>4.6</v>
      </c>
      <c r="H297" t="n">
        <v>0</v>
      </c>
      <c r="I297" t="n">
        <v>0</v>
      </c>
      <c r="J297" t="n">
        <v>0</v>
      </c>
      <c r="K297" t="n">
        <v>0</v>
      </c>
      <c r="L297" t="n">
        <v>0</v>
      </c>
      <c r="M297" t="n">
        <v>0</v>
      </c>
      <c r="N297" t="n">
        <v>0</v>
      </c>
      <c r="O297" t="n">
        <v>0</v>
      </c>
      <c r="P297" t="n">
        <v>0</v>
      </c>
      <c r="Q297" t="n">
        <v>0</v>
      </c>
      <c r="R297" s="2" t="inlineStr"/>
    </row>
    <row r="298" ht="15" customHeight="1">
      <c r="A298" t="inlineStr">
        <is>
          <t>A 25210-2025</t>
        </is>
      </c>
      <c r="B298" s="1" t="n">
        <v>45800.46960648148</v>
      </c>
      <c r="C298" s="1" t="n">
        <v>46050</v>
      </c>
      <c r="D298" t="inlineStr">
        <is>
          <t>JÄMTLANDS LÄN</t>
        </is>
      </c>
      <c r="E298" t="inlineStr">
        <is>
          <t>ÖSTERSUND</t>
        </is>
      </c>
      <c r="G298" t="n">
        <v>3.5</v>
      </c>
      <c r="H298" t="n">
        <v>0</v>
      </c>
      <c r="I298" t="n">
        <v>0</v>
      </c>
      <c r="J298" t="n">
        <v>0</v>
      </c>
      <c r="K298" t="n">
        <v>0</v>
      </c>
      <c r="L298" t="n">
        <v>0</v>
      </c>
      <c r="M298" t="n">
        <v>0</v>
      </c>
      <c r="N298" t="n">
        <v>0</v>
      </c>
      <c r="O298" t="n">
        <v>0</v>
      </c>
      <c r="P298" t="n">
        <v>0</v>
      </c>
      <c r="Q298" t="n">
        <v>0</v>
      </c>
      <c r="R298" s="2" t="inlineStr"/>
    </row>
    <row r="299" ht="15" customHeight="1">
      <c r="A299" t="inlineStr">
        <is>
          <t>A 26144-2025</t>
        </is>
      </c>
      <c r="B299" s="1" t="n">
        <v>45805.42827546296</v>
      </c>
      <c r="C299" s="1" t="n">
        <v>46050</v>
      </c>
      <c r="D299" t="inlineStr">
        <is>
          <t>JÄMTLANDS LÄN</t>
        </is>
      </c>
      <c r="E299" t="inlineStr">
        <is>
          <t>ÖSTERSUND</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46050</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11182-2025</t>
        </is>
      </c>
      <c r="B301" s="1" t="n">
        <v>45725.44297453704</v>
      </c>
      <c r="C301" s="1" t="n">
        <v>46050</v>
      </c>
      <c r="D301" t="inlineStr">
        <is>
          <t>JÄMTLANDS LÄN</t>
        </is>
      </c>
      <c r="E301" t="inlineStr">
        <is>
          <t>ÖSTERSUND</t>
        </is>
      </c>
      <c r="G301" t="n">
        <v>3.3</v>
      </c>
      <c r="H301" t="n">
        <v>0</v>
      </c>
      <c r="I301" t="n">
        <v>0</v>
      </c>
      <c r="J301" t="n">
        <v>0</v>
      </c>
      <c r="K301" t="n">
        <v>0</v>
      </c>
      <c r="L301" t="n">
        <v>0</v>
      </c>
      <c r="M301" t="n">
        <v>0</v>
      </c>
      <c r="N301" t="n">
        <v>0</v>
      </c>
      <c r="O301" t="n">
        <v>0</v>
      </c>
      <c r="P301" t="n">
        <v>0</v>
      </c>
      <c r="Q301" t="n">
        <v>0</v>
      </c>
      <c r="R301" s="2" t="inlineStr"/>
    </row>
    <row r="302" ht="15" customHeight="1">
      <c r="A302" t="inlineStr">
        <is>
          <t>A 56646-2024</t>
        </is>
      </c>
      <c r="B302" s="1" t="n">
        <v>45625</v>
      </c>
      <c r="C302" s="1" t="n">
        <v>46050</v>
      </c>
      <c r="D302" t="inlineStr">
        <is>
          <t>JÄMTLANDS LÄN</t>
        </is>
      </c>
      <c r="E302" t="inlineStr">
        <is>
          <t>ÖSTERSUND</t>
        </is>
      </c>
      <c r="G302" t="n">
        <v>18.9</v>
      </c>
      <c r="H302" t="n">
        <v>0</v>
      </c>
      <c r="I302" t="n">
        <v>0</v>
      </c>
      <c r="J302" t="n">
        <v>0</v>
      </c>
      <c r="K302" t="n">
        <v>0</v>
      </c>
      <c r="L302" t="n">
        <v>0</v>
      </c>
      <c r="M302" t="n">
        <v>0</v>
      </c>
      <c r="N302" t="n">
        <v>0</v>
      </c>
      <c r="O302" t="n">
        <v>0</v>
      </c>
      <c r="P302" t="n">
        <v>0</v>
      </c>
      <c r="Q302" t="n">
        <v>0</v>
      </c>
      <c r="R302" s="2" t="inlineStr"/>
    </row>
    <row r="303" ht="15" customHeight="1">
      <c r="A303" t="inlineStr">
        <is>
          <t>A 47357-2024</t>
        </is>
      </c>
      <c r="B303" s="1" t="n">
        <v>45587.42835648148</v>
      </c>
      <c r="C303" s="1" t="n">
        <v>46050</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39030-2025</t>
        </is>
      </c>
      <c r="B304" s="1" t="n">
        <v>45888.40700231482</v>
      </c>
      <c r="C304" s="1" t="n">
        <v>46050</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16335-2025</t>
        </is>
      </c>
      <c r="B305" s="1" t="n">
        <v>45751.36518518518</v>
      </c>
      <c r="C305" s="1" t="n">
        <v>46050</v>
      </c>
      <c r="D305" t="inlineStr">
        <is>
          <t>JÄMTLANDS LÄN</t>
        </is>
      </c>
      <c r="E305" t="inlineStr">
        <is>
          <t>ÖSTERSUND</t>
        </is>
      </c>
      <c r="G305" t="n">
        <v>3.7</v>
      </c>
      <c r="H305" t="n">
        <v>0</v>
      </c>
      <c r="I305" t="n">
        <v>0</v>
      </c>
      <c r="J305" t="n">
        <v>0</v>
      </c>
      <c r="K305" t="n">
        <v>0</v>
      </c>
      <c r="L305" t="n">
        <v>0</v>
      </c>
      <c r="M305" t="n">
        <v>0</v>
      </c>
      <c r="N305" t="n">
        <v>0</v>
      </c>
      <c r="O305" t="n">
        <v>0</v>
      </c>
      <c r="P305" t="n">
        <v>0</v>
      </c>
      <c r="Q305" t="n">
        <v>0</v>
      </c>
      <c r="R305" s="2" t="inlineStr"/>
    </row>
    <row r="306" ht="15" customHeight="1">
      <c r="A306" t="inlineStr">
        <is>
          <t>A 15686-2025</t>
        </is>
      </c>
      <c r="B306" s="1" t="n">
        <v>45748.46021990741</v>
      </c>
      <c r="C306" s="1" t="n">
        <v>46050</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53378-2023</t>
        </is>
      </c>
      <c r="B307" s="1" t="n">
        <v>45223</v>
      </c>
      <c r="C307" s="1" t="n">
        <v>46050</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39103-2025</t>
        </is>
      </c>
      <c r="B308" s="1" t="n">
        <v>45888.52440972222</v>
      </c>
      <c r="C308" s="1" t="n">
        <v>46050</v>
      </c>
      <c r="D308" t="inlineStr">
        <is>
          <t>JÄMTLANDS LÄN</t>
        </is>
      </c>
      <c r="E308" t="inlineStr">
        <is>
          <t>ÖSTERSUND</t>
        </is>
      </c>
      <c r="G308" t="n">
        <v>23.9</v>
      </c>
      <c r="H308" t="n">
        <v>0</v>
      </c>
      <c r="I308" t="n">
        <v>0</v>
      </c>
      <c r="J308" t="n">
        <v>0</v>
      </c>
      <c r="K308" t="n">
        <v>0</v>
      </c>
      <c r="L308" t="n">
        <v>0</v>
      </c>
      <c r="M308" t="n">
        <v>0</v>
      </c>
      <c r="N308" t="n">
        <v>0</v>
      </c>
      <c r="O308" t="n">
        <v>0</v>
      </c>
      <c r="P308" t="n">
        <v>0</v>
      </c>
      <c r="Q308" t="n">
        <v>0</v>
      </c>
      <c r="R308" s="2" t="inlineStr"/>
    </row>
    <row r="309" ht="15" customHeight="1">
      <c r="A309" t="inlineStr">
        <is>
          <t>A 26492-2025</t>
        </is>
      </c>
      <c r="B309" s="1" t="n">
        <v>45807</v>
      </c>
      <c r="C309" s="1" t="n">
        <v>46050</v>
      </c>
      <c r="D309" t="inlineStr">
        <is>
          <t>JÄMTLANDS LÄN</t>
        </is>
      </c>
      <c r="E309" t="inlineStr">
        <is>
          <t>ÖSTERSUND</t>
        </is>
      </c>
      <c r="G309" t="n">
        <v>7</v>
      </c>
      <c r="H309" t="n">
        <v>0</v>
      </c>
      <c r="I309" t="n">
        <v>0</v>
      </c>
      <c r="J309" t="n">
        <v>0</v>
      </c>
      <c r="K309" t="n">
        <v>0</v>
      </c>
      <c r="L309" t="n">
        <v>0</v>
      </c>
      <c r="M309" t="n">
        <v>0</v>
      </c>
      <c r="N309" t="n">
        <v>0</v>
      </c>
      <c r="O309" t="n">
        <v>0</v>
      </c>
      <c r="P309" t="n">
        <v>0</v>
      </c>
      <c r="Q309" t="n">
        <v>0</v>
      </c>
      <c r="R309" s="2" t="inlineStr"/>
    </row>
    <row r="310" ht="15" customHeight="1">
      <c r="A310" t="inlineStr">
        <is>
          <t>A 26500-2025</t>
        </is>
      </c>
      <c r="B310" s="1" t="n">
        <v>45807</v>
      </c>
      <c r="C310" s="1" t="n">
        <v>46050</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5135-2025</t>
        </is>
      </c>
      <c r="B311" s="1" t="n">
        <v>45691</v>
      </c>
      <c r="C311" s="1" t="n">
        <v>46050</v>
      </c>
      <c r="D311" t="inlineStr">
        <is>
          <t>JÄMTLANDS LÄN</t>
        </is>
      </c>
      <c r="E311" t="inlineStr">
        <is>
          <t>ÖSTERSUND</t>
        </is>
      </c>
      <c r="F311" t="inlineStr">
        <is>
          <t>Övriga Aktiebolag</t>
        </is>
      </c>
      <c r="G311" t="n">
        <v>126.9</v>
      </c>
      <c r="H311" t="n">
        <v>0</v>
      </c>
      <c r="I311" t="n">
        <v>0</v>
      </c>
      <c r="J311" t="n">
        <v>0</v>
      </c>
      <c r="K311" t="n">
        <v>0</v>
      </c>
      <c r="L311" t="n">
        <v>0</v>
      </c>
      <c r="M311" t="n">
        <v>0</v>
      </c>
      <c r="N311" t="n">
        <v>0</v>
      </c>
      <c r="O311" t="n">
        <v>0</v>
      </c>
      <c r="P311" t="n">
        <v>0</v>
      </c>
      <c r="Q311" t="n">
        <v>0</v>
      </c>
      <c r="R311" s="2" t="inlineStr"/>
    </row>
    <row r="312" ht="15" customHeight="1">
      <c r="A312" t="inlineStr">
        <is>
          <t>A 3610-2024</t>
        </is>
      </c>
      <c r="B312" s="1" t="n">
        <v>45320.92060185185</v>
      </c>
      <c r="C312" s="1" t="n">
        <v>46050</v>
      </c>
      <c r="D312" t="inlineStr">
        <is>
          <t>JÄMTLANDS LÄN</t>
        </is>
      </c>
      <c r="E312" t="inlineStr">
        <is>
          <t>ÖSTERSUND</t>
        </is>
      </c>
      <c r="G312" t="n">
        <v>6.2</v>
      </c>
      <c r="H312" t="n">
        <v>0</v>
      </c>
      <c r="I312" t="n">
        <v>0</v>
      </c>
      <c r="J312" t="n">
        <v>0</v>
      </c>
      <c r="K312" t="n">
        <v>0</v>
      </c>
      <c r="L312" t="n">
        <v>0</v>
      </c>
      <c r="M312" t="n">
        <v>0</v>
      </c>
      <c r="N312" t="n">
        <v>0</v>
      </c>
      <c r="O312" t="n">
        <v>0</v>
      </c>
      <c r="P312" t="n">
        <v>0</v>
      </c>
      <c r="Q312" t="n">
        <v>0</v>
      </c>
      <c r="R312" s="2" t="inlineStr"/>
    </row>
    <row r="313" ht="15" customHeight="1">
      <c r="A313" t="inlineStr">
        <is>
          <t>A 27034-2025</t>
        </is>
      </c>
      <c r="B313" s="1" t="n">
        <v>45811.59258101852</v>
      </c>
      <c r="C313" s="1" t="n">
        <v>46050</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26587-2025</t>
        </is>
      </c>
      <c r="B314" s="1" t="n">
        <v>45807.75076388889</v>
      </c>
      <c r="C314" s="1" t="n">
        <v>46050</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11181-2025</t>
        </is>
      </c>
      <c r="B315" s="1" t="n">
        <v>45725.44039351852</v>
      </c>
      <c r="C315" s="1" t="n">
        <v>46050</v>
      </c>
      <c r="D315" t="inlineStr">
        <is>
          <t>JÄMTLANDS LÄN</t>
        </is>
      </c>
      <c r="E315" t="inlineStr">
        <is>
          <t>ÖSTERSUND</t>
        </is>
      </c>
      <c r="G315" t="n">
        <v>15.4</v>
      </c>
      <c r="H315" t="n">
        <v>0</v>
      </c>
      <c r="I315" t="n">
        <v>0</v>
      </c>
      <c r="J315" t="n">
        <v>0</v>
      </c>
      <c r="K315" t="n">
        <v>0</v>
      </c>
      <c r="L315" t="n">
        <v>0</v>
      </c>
      <c r="M315" t="n">
        <v>0</v>
      </c>
      <c r="N315" t="n">
        <v>0</v>
      </c>
      <c r="O315" t="n">
        <v>0</v>
      </c>
      <c r="P315" t="n">
        <v>0</v>
      </c>
      <c r="Q315" t="n">
        <v>0</v>
      </c>
      <c r="R315" s="2" t="inlineStr"/>
    </row>
    <row r="316" ht="15" customHeight="1">
      <c r="A316" t="inlineStr">
        <is>
          <t>A 10064-2024</t>
        </is>
      </c>
      <c r="B316" s="1" t="n">
        <v>45364.3874074074</v>
      </c>
      <c r="C316" s="1" t="n">
        <v>46050</v>
      </c>
      <c r="D316" t="inlineStr">
        <is>
          <t>JÄMTLANDS LÄN</t>
        </is>
      </c>
      <c r="E316" t="inlineStr">
        <is>
          <t>ÖSTERSUND</t>
        </is>
      </c>
      <c r="G316" t="n">
        <v>13.9</v>
      </c>
      <c r="H316" t="n">
        <v>0</v>
      </c>
      <c r="I316" t="n">
        <v>0</v>
      </c>
      <c r="J316" t="n">
        <v>0</v>
      </c>
      <c r="K316" t="n">
        <v>0</v>
      </c>
      <c r="L316" t="n">
        <v>0</v>
      </c>
      <c r="M316" t="n">
        <v>0</v>
      </c>
      <c r="N316" t="n">
        <v>0</v>
      </c>
      <c r="O316" t="n">
        <v>0</v>
      </c>
      <c r="P316" t="n">
        <v>0</v>
      </c>
      <c r="Q316" t="n">
        <v>0</v>
      </c>
      <c r="R316" s="2" t="inlineStr"/>
    </row>
    <row r="317" ht="15" customHeight="1">
      <c r="A317" t="inlineStr">
        <is>
          <t>A 25221-2025</t>
        </is>
      </c>
      <c r="B317" s="1" t="n">
        <v>45800.47802083333</v>
      </c>
      <c r="C317" s="1" t="n">
        <v>46050</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40325-2025</t>
        </is>
      </c>
      <c r="B318" s="1" t="n">
        <v>45895.4484837963</v>
      </c>
      <c r="C318" s="1" t="n">
        <v>46050</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13651-2025</t>
        </is>
      </c>
      <c r="B319" s="1" t="n">
        <v>45736.71818287037</v>
      </c>
      <c r="C319" s="1" t="n">
        <v>46050</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40361-2025</t>
        </is>
      </c>
      <c r="B320" s="1" t="n">
        <v>45895.49026620371</v>
      </c>
      <c r="C320" s="1" t="n">
        <v>46050</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40360-2025</t>
        </is>
      </c>
      <c r="B321" s="1" t="n">
        <v>45895.49024305555</v>
      </c>
      <c r="C321" s="1" t="n">
        <v>46050</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39510-2024</t>
        </is>
      </c>
      <c r="B322" s="1" t="n">
        <v>45551.67761574074</v>
      </c>
      <c r="C322" s="1" t="n">
        <v>46050</v>
      </c>
      <c r="D322" t="inlineStr">
        <is>
          <t>JÄMTLANDS LÄN</t>
        </is>
      </c>
      <c r="E322" t="inlineStr">
        <is>
          <t>ÖSTERSUND</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27035-2025</t>
        </is>
      </c>
      <c r="B323" s="1" t="n">
        <v>45811.5928587963</v>
      </c>
      <c r="C323" s="1" t="n">
        <v>46050</v>
      </c>
      <c r="D323" t="inlineStr">
        <is>
          <t>JÄMTLANDS LÄN</t>
        </is>
      </c>
      <c r="E323" t="inlineStr">
        <is>
          <t>ÖSTERSUND</t>
        </is>
      </c>
      <c r="G323" t="n">
        <v>2.8</v>
      </c>
      <c r="H323" t="n">
        <v>0</v>
      </c>
      <c r="I323" t="n">
        <v>0</v>
      </c>
      <c r="J323" t="n">
        <v>0</v>
      </c>
      <c r="K323" t="n">
        <v>0</v>
      </c>
      <c r="L323" t="n">
        <v>0</v>
      </c>
      <c r="M323" t="n">
        <v>0</v>
      </c>
      <c r="N323" t="n">
        <v>0</v>
      </c>
      <c r="O323" t="n">
        <v>0</v>
      </c>
      <c r="P323" t="n">
        <v>0</v>
      </c>
      <c r="Q323" t="n">
        <v>0</v>
      </c>
      <c r="R323" s="2" t="inlineStr"/>
    </row>
    <row r="324" ht="15" customHeight="1">
      <c r="A324" t="inlineStr">
        <is>
          <t>A 40326-2025</t>
        </is>
      </c>
      <c r="B324" s="1" t="n">
        <v>45895.44856481482</v>
      </c>
      <c r="C324" s="1" t="n">
        <v>46050</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10266-2025</t>
        </is>
      </c>
      <c r="B325" s="1" t="n">
        <v>45720.38576388889</v>
      </c>
      <c r="C325" s="1" t="n">
        <v>46050</v>
      </c>
      <c r="D325" t="inlineStr">
        <is>
          <t>JÄMTLANDS LÄN</t>
        </is>
      </c>
      <c r="E325" t="inlineStr">
        <is>
          <t>ÖSTERSUND</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27517-2025</t>
        </is>
      </c>
      <c r="B326" s="1" t="n">
        <v>45813.43966435185</v>
      </c>
      <c r="C326" s="1" t="n">
        <v>46050</v>
      </c>
      <c r="D326" t="inlineStr">
        <is>
          <t>JÄMTLANDS LÄN</t>
        </is>
      </c>
      <c r="E326" t="inlineStr">
        <is>
          <t>ÖSTERSUND</t>
        </is>
      </c>
      <c r="G326" t="n">
        <v>2.2</v>
      </c>
      <c r="H326" t="n">
        <v>0</v>
      </c>
      <c r="I326" t="n">
        <v>0</v>
      </c>
      <c r="J326" t="n">
        <v>0</v>
      </c>
      <c r="K326" t="n">
        <v>0</v>
      </c>
      <c r="L326" t="n">
        <v>0</v>
      </c>
      <c r="M326" t="n">
        <v>0</v>
      </c>
      <c r="N326" t="n">
        <v>0</v>
      </c>
      <c r="O326" t="n">
        <v>0</v>
      </c>
      <c r="P326" t="n">
        <v>0</v>
      </c>
      <c r="Q326" t="n">
        <v>0</v>
      </c>
      <c r="R326" s="2" t="inlineStr"/>
    </row>
    <row r="327" ht="15" customHeight="1">
      <c r="A327" t="inlineStr">
        <is>
          <t>A 27343-2022</t>
        </is>
      </c>
      <c r="B327" s="1" t="n">
        <v>44742</v>
      </c>
      <c r="C327" s="1" t="n">
        <v>46050</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7022-2025</t>
        </is>
      </c>
      <c r="B328" s="1" t="n">
        <v>45701.61899305556</v>
      </c>
      <c r="C328" s="1" t="n">
        <v>46050</v>
      </c>
      <c r="D328" t="inlineStr">
        <is>
          <t>JÄMTLANDS LÄN</t>
        </is>
      </c>
      <c r="E328" t="inlineStr">
        <is>
          <t>ÖSTERSUND</t>
        </is>
      </c>
      <c r="G328" t="n">
        <v>4.8</v>
      </c>
      <c r="H328" t="n">
        <v>0</v>
      </c>
      <c r="I328" t="n">
        <v>0</v>
      </c>
      <c r="J328" t="n">
        <v>0</v>
      </c>
      <c r="K328" t="n">
        <v>0</v>
      </c>
      <c r="L328" t="n">
        <v>0</v>
      </c>
      <c r="M328" t="n">
        <v>0</v>
      </c>
      <c r="N328" t="n">
        <v>0</v>
      </c>
      <c r="O328" t="n">
        <v>0</v>
      </c>
      <c r="P328" t="n">
        <v>0</v>
      </c>
      <c r="Q328" t="n">
        <v>0</v>
      </c>
      <c r="R328" s="2" t="inlineStr"/>
    </row>
    <row r="329" ht="15" customHeight="1">
      <c r="A329" t="inlineStr">
        <is>
          <t>A 14182-2025</t>
        </is>
      </c>
      <c r="B329" s="1" t="n">
        <v>45740.54168981482</v>
      </c>
      <c r="C329" s="1" t="n">
        <v>46050</v>
      </c>
      <c r="D329" t="inlineStr">
        <is>
          <t>JÄMTLANDS LÄN</t>
        </is>
      </c>
      <c r="E329" t="inlineStr">
        <is>
          <t>ÖSTERSUND</t>
        </is>
      </c>
      <c r="F329" t="inlineStr">
        <is>
          <t>Övriga Aktiebolag</t>
        </is>
      </c>
      <c r="G329" t="n">
        <v>20.1</v>
      </c>
      <c r="H329" t="n">
        <v>0</v>
      </c>
      <c r="I329" t="n">
        <v>0</v>
      </c>
      <c r="J329" t="n">
        <v>0</v>
      </c>
      <c r="K329" t="n">
        <v>0</v>
      </c>
      <c r="L329" t="n">
        <v>0</v>
      </c>
      <c r="M329" t="n">
        <v>0</v>
      </c>
      <c r="N329" t="n">
        <v>0</v>
      </c>
      <c r="O329" t="n">
        <v>0</v>
      </c>
      <c r="P329" t="n">
        <v>0</v>
      </c>
      <c r="Q329" t="n">
        <v>0</v>
      </c>
      <c r="R329" s="2" t="inlineStr"/>
    </row>
    <row r="330" ht="15" customHeight="1">
      <c r="A330" t="inlineStr">
        <is>
          <t>A 7956-2025</t>
        </is>
      </c>
      <c r="B330" s="1" t="n">
        <v>45707.42825231481</v>
      </c>
      <c r="C330" s="1" t="n">
        <v>46050</v>
      </c>
      <c r="D330" t="inlineStr">
        <is>
          <t>JÄMTLANDS LÄN</t>
        </is>
      </c>
      <c r="E330" t="inlineStr">
        <is>
          <t>ÖSTERSUND</t>
        </is>
      </c>
      <c r="F330" t="inlineStr">
        <is>
          <t>Övriga Aktiebolag</t>
        </is>
      </c>
      <c r="G330" t="n">
        <v>111.2</v>
      </c>
      <c r="H330" t="n">
        <v>0</v>
      </c>
      <c r="I330" t="n">
        <v>0</v>
      </c>
      <c r="J330" t="n">
        <v>0</v>
      </c>
      <c r="K330" t="n">
        <v>0</v>
      </c>
      <c r="L330" t="n">
        <v>0</v>
      </c>
      <c r="M330" t="n">
        <v>0</v>
      </c>
      <c r="N330" t="n">
        <v>0</v>
      </c>
      <c r="O330" t="n">
        <v>0</v>
      </c>
      <c r="P330" t="n">
        <v>0</v>
      </c>
      <c r="Q330" t="n">
        <v>0</v>
      </c>
      <c r="R330" s="2" t="inlineStr"/>
    </row>
    <row r="331" ht="15" customHeight="1">
      <c r="A331" t="inlineStr">
        <is>
          <t>A 28025-2025</t>
        </is>
      </c>
      <c r="B331" s="1" t="n">
        <v>45817</v>
      </c>
      <c r="C331" s="1" t="n">
        <v>46050</v>
      </c>
      <c r="D331" t="inlineStr">
        <is>
          <t>JÄMTLANDS LÄN</t>
        </is>
      </c>
      <c r="E331" t="inlineStr">
        <is>
          <t>ÖSTERSUND</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28595-2025</t>
        </is>
      </c>
      <c r="B332" s="1" t="n">
        <v>45819.59429398148</v>
      </c>
      <c r="C332" s="1" t="n">
        <v>46050</v>
      </c>
      <c r="D332" t="inlineStr">
        <is>
          <t>JÄMTLANDS LÄN</t>
        </is>
      </c>
      <c r="E332" t="inlineStr">
        <is>
          <t>ÖSTERSUND</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62111-2024</t>
        </is>
      </c>
      <c r="B333" s="1" t="n">
        <v>45656.53215277778</v>
      </c>
      <c r="C333" s="1" t="n">
        <v>46050</v>
      </c>
      <c r="D333" t="inlineStr">
        <is>
          <t>JÄMTLANDS LÄN</t>
        </is>
      </c>
      <c r="E333" t="inlineStr">
        <is>
          <t>ÖSTERSUND</t>
        </is>
      </c>
      <c r="G333" t="n">
        <v>3.4</v>
      </c>
      <c r="H333" t="n">
        <v>0</v>
      </c>
      <c r="I333" t="n">
        <v>0</v>
      </c>
      <c r="J333" t="n">
        <v>0</v>
      </c>
      <c r="K333" t="n">
        <v>0</v>
      </c>
      <c r="L333" t="n">
        <v>0</v>
      </c>
      <c r="M333" t="n">
        <v>0</v>
      </c>
      <c r="N333" t="n">
        <v>0</v>
      </c>
      <c r="O333" t="n">
        <v>0</v>
      </c>
      <c r="P333" t="n">
        <v>0</v>
      </c>
      <c r="Q333" t="n">
        <v>0</v>
      </c>
      <c r="R333" s="2" t="inlineStr"/>
    </row>
    <row r="334" ht="15" customHeight="1">
      <c r="A334" t="inlineStr">
        <is>
          <t>A 28185-2025</t>
        </is>
      </c>
      <c r="B334" s="1" t="n">
        <v>45818.40337962963</v>
      </c>
      <c r="C334" s="1" t="n">
        <v>46050</v>
      </c>
      <c r="D334" t="inlineStr">
        <is>
          <t>JÄMTLANDS LÄN</t>
        </is>
      </c>
      <c r="E334" t="inlineStr">
        <is>
          <t>ÖSTERSUND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14653-2022</t>
        </is>
      </c>
      <c r="B335" s="1" t="n">
        <v>44655.69303240741</v>
      </c>
      <c r="C335" s="1" t="n">
        <v>46050</v>
      </c>
      <c r="D335" t="inlineStr">
        <is>
          <t>JÄMTLANDS LÄN</t>
        </is>
      </c>
      <c r="E335" t="inlineStr">
        <is>
          <t>ÖSTERSUND</t>
        </is>
      </c>
      <c r="G335" t="n">
        <v>1.6</v>
      </c>
      <c r="H335" t="n">
        <v>0</v>
      </c>
      <c r="I335" t="n">
        <v>0</v>
      </c>
      <c r="J335" t="n">
        <v>0</v>
      </c>
      <c r="K335" t="n">
        <v>0</v>
      </c>
      <c r="L335" t="n">
        <v>0</v>
      </c>
      <c r="M335" t="n">
        <v>0</v>
      </c>
      <c r="N335" t="n">
        <v>0</v>
      </c>
      <c r="O335" t="n">
        <v>0</v>
      </c>
      <c r="P335" t="n">
        <v>0</v>
      </c>
      <c r="Q335" t="n">
        <v>0</v>
      </c>
      <c r="R335" s="2" t="inlineStr"/>
    </row>
    <row r="336" ht="15" customHeight="1">
      <c r="A336" t="inlineStr">
        <is>
          <t>A 41582-2025</t>
        </is>
      </c>
      <c r="B336" s="1" t="n">
        <v>45901</v>
      </c>
      <c r="C336" s="1" t="n">
        <v>46050</v>
      </c>
      <c r="D336" t="inlineStr">
        <is>
          <t>JÄMTLANDS LÄN</t>
        </is>
      </c>
      <c r="E336" t="inlineStr">
        <is>
          <t>ÖSTERSUND</t>
        </is>
      </c>
      <c r="G336" t="n">
        <v>0.9</v>
      </c>
      <c r="H336" t="n">
        <v>0</v>
      </c>
      <c r="I336" t="n">
        <v>0</v>
      </c>
      <c r="J336" t="n">
        <v>0</v>
      </c>
      <c r="K336" t="n">
        <v>0</v>
      </c>
      <c r="L336" t="n">
        <v>0</v>
      </c>
      <c r="M336" t="n">
        <v>0</v>
      </c>
      <c r="N336" t="n">
        <v>0</v>
      </c>
      <c r="O336" t="n">
        <v>0</v>
      </c>
      <c r="P336" t="n">
        <v>0</v>
      </c>
      <c r="Q336" t="n">
        <v>0</v>
      </c>
      <c r="R336" s="2" t="inlineStr"/>
    </row>
    <row r="337" ht="15" customHeight="1">
      <c r="A337" t="inlineStr">
        <is>
          <t>A 24781-2024</t>
        </is>
      </c>
      <c r="B337" s="1" t="n">
        <v>45460.7772800926</v>
      </c>
      <c r="C337" s="1" t="n">
        <v>46050</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3844-2024</t>
        </is>
      </c>
      <c r="B338" s="1" t="n">
        <v>45321</v>
      </c>
      <c r="C338" s="1" t="n">
        <v>46050</v>
      </c>
      <c r="D338" t="inlineStr">
        <is>
          <t>JÄMTLANDS LÄN</t>
        </is>
      </c>
      <c r="E338" t="inlineStr">
        <is>
          <t>ÖSTERSUND</t>
        </is>
      </c>
      <c r="G338" t="n">
        <v>2.2</v>
      </c>
      <c r="H338" t="n">
        <v>0</v>
      </c>
      <c r="I338" t="n">
        <v>0</v>
      </c>
      <c r="J338" t="n">
        <v>0</v>
      </c>
      <c r="K338" t="n">
        <v>0</v>
      </c>
      <c r="L338" t="n">
        <v>0</v>
      </c>
      <c r="M338" t="n">
        <v>0</v>
      </c>
      <c r="N338" t="n">
        <v>0</v>
      </c>
      <c r="O338" t="n">
        <v>0</v>
      </c>
      <c r="P338" t="n">
        <v>0</v>
      </c>
      <c r="Q338" t="n">
        <v>0</v>
      </c>
      <c r="R338" s="2" t="inlineStr"/>
    </row>
    <row r="339" ht="15" customHeight="1">
      <c r="A339" t="inlineStr">
        <is>
          <t>A 7327-2023</t>
        </is>
      </c>
      <c r="B339" s="1" t="n">
        <v>44970.97871527778</v>
      </c>
      <c r="C339" s="1" t="n">
        <v>46050</v>
      </c>
      <c r="D339" t="inlineStr">
        <is>
          <t>JÄMTLANDS LÄN</t>
        </is>
      </c>
      <c r="E339" t="inlineStr">
        <is>
          <t>ÖSTERSUND</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41675-2025</t>
        </is>
      </c>
      <c r="B340" s="1" t="n">
        <v>45902.36641203704</v>
      </c>
      <c r="C340" s="1" t="n">
        <v>46050</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41708-2025</t>
        </is>
      </c>
      <c r="B341" s="1" t="n">
        <v>45902.42280092592</v>
      </c>
      <c r="C341" s="1" t="n">
        <v>46050</v>
      </c>
      <c r="D341" t="inlineStr">
        <is>
          <t>JÄMTLANDS LÄN</t>
        </is>
      </c>
      <c r="E341" t="inlineStr">
        <is>
          <t>ÖSTERSUND</t>
        </is>
      </c>
      <c r="G341" t="n">
        <v>1.2</v>
      </c>
      <c r="H341" t="n">
        <v>0</v>
      </c>
      <c r="I341" t="n">
        <v>0</v>
      </c>
      <c r="J341" t="n">
        <v>0</v>
      </c>
      <c r="K341" t="n">
        <v>0</v>
      </c>
      <c r="L341" t="n">
        <v>0</v>
      </c>
      <c r="M341" t="n">
        <v>0</v>
      </c>
      <c r="N341" t="n">
        <v>0</v>
      </c>
      <c r="O341" t="n">
        <v>0</v>
      </c>
      <c r="P341" t="n">
        <v>0</v>
      </c>
      <c r="Q341" t="n">
        <v>0</v>
      </c>
      <c r="R341" s="2" t="inlineStr"/>
    </row>
    <row r="342" ht="15" customHeight="1">
      <c r="A342" t="inlineStr">
        <is>
          <t>A 49192-2024</t>
        </is>
      </c>
      <c r="B342" s="1" t="n">
        <v>45595.34762731481</v>
      </c>
      <c r="C342" s="1" t="n">
        <v>46050</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30320-2025</t>
        </is>
      </c>
      <c r="B343" s="1" t="n">
        <v>45827.49415509259</v>
      </c>
      <c r="C343" s="1" t="n">
        <v>46050</v>
      </c>
      <c r="D343" t="inlineStr">
        <is>
          <t>JÄMTLANDS LÄN</t>
        </is>
      </c>
      <c r="E343" t="inlineStr">
        <is>
          <t>ÖSTERSUND</t>
        </is>
      </c>
      <c r="G343" t="n">
        <v>4.6</v>
      </c>
      <c r="H343" t="n">
        <v>0</v>
      </c>
      <c r="I343" t="n">
        <v>0</v>
      </c>
      <c r="J343" t="n">
        <v>0</v>
      </c>
      <c r="K343" t="n">
        <v>0</v>
      </c>
      <c r="L343" t="n">
        <v>0</v>
      </c>
      <c r="M343" t="n">
        <v>0</v>
      </c>
      <c r="N343" t="n">
        <v>0</v>
      </c>
      <c r="O343" t="n">
        <v>0</v>
      </c>
      <c r="P343" t="n">
        <v>0</v>
      </c>
      <c r="Q343" t="n">
        <v>0</v>
      </c>
      <c r="R343" s="2" t="inlineStr"/>
    </row>
    <row r="344" ht="15" customHeight="1">
      <c r="A344" t="inlineStr">
        <is>
          <t>A 42129-2025</t>
        </is>
      </c>
      <c r="B344" s="1" t="n">
        <v>45904.3452662037</v>
      </c>
      <c r="C344" s="1" t="n">
        <v>46050</v>
      </c>
      <c r="D344" t="inlineStr">
        <is>
          <t>JÄMTLANDS LÄN</t>
        </is>
      </c>
      <c r="E344" t="inlineStr">
        <is>
          <t>ÖSTERSUND</t>
        </is>
      </c>
      <c r="G344" t="n">
        <v>0.4</v>
      </c>
      <c r="H344" t="n">
        <v>0</v>
      </c>
      <c r="I344" t="n">
        <v>0</v>
      </c>
      <c r="J344" t="n">
        <v>0</v>
      </c>
      <c r="K344" t="n">
        <v>0</v>
      </c>
      <c r="L344" t="n">
        <v>0</v>
      </c>
      <c r="M344" t="n">
        <v>0</v>
      </c>
      <c r="N344" t="n">
        <v>0</v>
      </c>
      <c r="O344" t="n">
        <v>0</v>
      </c>
      <c r="P344" t="n">
        <v>0</v>
      </c>
      <c r="Q344" t="n">
        <v>0</v>
      </c>
      <c r="R344" s="2" t="inlineStr"/>
    </row>
    <row r="345" ht="15" customHeight="1">
      <c r="A345" t="inlineStr">
        <is>
          <t>A 30210-2025</t>
        </is>
      </c>
      <c r="B345" s="1" t="n">
        <v>45827.36590277778</v>
      </c>
      <c r="C345" s="1" t="n">
        <v>46050</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79-2025</t>
        </is>
      </c>
      <c r="B346" s="1" t="n">
        <v>45659.44413194444</v>
      </c>
      <c r="C346" s="1" t="n">
        <v>46050</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44327-2023</t>
        </is>
      </c>
      <c r="B347" s="1" t="n">
        <v>45188</v>
      </c>
      <c r="C347" s="1" t="n">
        <v>46050</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36099-2025</t>
        </is>
      </c>
      <c r="B348" s="1" t="n">
        <v>45866.51630787037</v>
      </c>
      <c r="C348" s="1" t="n">
        <v>46050</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25995-2025</t>
        </is>
      </c>
      <c r="B349" s="1" t="n">
        <v>45804.656875</v>
      </c>
      <c r="C349" s="1" t="n">
        <v>46050</v>
      </c>
      <c r="D349" t="inlineStr">
        <is>
          <t>JÄMTLANDS LÄN</t>
        </is>
      </c>
      <c r="E349" t="inlineStr">
        <is>
          <t>ÖSTERSUND</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18627-2024</t>
        </is>
      </c>
      <c r="B350" s="1" t="n">
        <v>45425.96443287037</v>
      </c>
      <c r="C350" s="1" t="n">
        <v>46050</v>
      </c>
      <c r="D350" t="inlineStr">
        <is>
          <t>JÄMTLANDS LÄN</t>
        </is>
      </c>
      <c r="E350" t="inlineStr">
        <is>
          <t>ÖSTERSUND</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42989-2025</t>
        </is>
      </c>
      <c r="B351" s="1" t="n">
        <v>45909.44971064815</v>
      </c>
      <c r="C351" s="1" t="n">
        <v>46050</v>
      </c>
      <c r="D351" t="inlineStr">
        <is>
          <t>JÄMTLANDS LÄN</t>
        </is>
      </c>
      <c r="E351" t="inlineStr">
        <is>
          <t>ÖSTERSUND</t>
        </is>
      </c>
      <c r="G351" t="n">
        <v>3</v>
      </c>
      <c r="H351" t="n">
        <v>0</v>
      </c>
      <c r="I351" t="n">
        <v>0</v>
      </c>
      <c r="J351" t="n">
        <v>0</v>
      </c>
      <c r="K351" t="n">
        <v>0</v>
      </c>
      <c r="L351" t="n">
        <v>0</v>
      </c>
      <c r="M351" t="n">
        <v>0</v>
      </c>
      <c r="N351" t="n">
        <v>0</v>
      </c>
      <c r="O351" t="n">
        <v>0</v>
      </c>
      <c r="P351" t="n">
        <v>0</v>
      </c>
      <c r="Q351" t="n">
        <v>0</v>
      </c>
      <c r="R351" s="2" t="inlineStr"/>
    </row>
    <row r="352" ht="15" customHeight="1">
      <c r="A352" t="inlineStr">
        <is>
          <t>A 21667-2024</t>
        </is>
      </c>
      <c r="B352" s="1" t="n">
        <v>45442.38511574074</v>
      </c>
      <c r="C352" s="1" t="n">
        <v>46050</v>
      </c>
      <c r="D352" t="inlineStr">
        <is>
          <t>JÄMTLANDS LÄN</t>
        </is>
      </c>
      <c r="E352" t="inlineStr">
        <is>
          <t>ÖSTERSUND</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43225-2025</t>
        </is>
      </c>
      <c r="B353" s="1" t="n">
        <v>45910.4900462963</v>
      </c>
      <c r="C353" s="1" t="n">
        <v>46050</v>
      </c>
      <c r="D353" t="inlineStr">
        <is>
          <t>JÄMTLANDS LÄN</t>
        </is>
      </c>
      <c r="E353" t="inlineStr">
        <is>
          <t>ÖSTERSUND</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46050</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43411-2025</t>
        </is>
      </c>
      <c r="B355" s="1" t="n">
        <v>45911.40074074074</v>
      </c>
      <c r="C355" s="1" t="n">
        <v>46050</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43519-2025</t>
        </is>
      </c>
      <c r="B356" s="1" t="n">
        <v>45911.57349537037</v>
      </c>
      <c r="C356" s="1" t="n">
        <v>46050</v>
      </c>
      <c r="D356" t="inlineStr">
        <is>
          <t>JÄMTLANDS LÄN</t>
        </is>
      </c>
      <c r="E356" t="inlineStr">
        <is>
          <t>ÖSTERSUND</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32071-2025</t>
        </is>
      </c>
      <c r="B357" s="1" t="n">
        <v>45835.4491087963</v>
      </c>
      <c r="C357" s="1" t="n">
        <v>46050</v>
      </c>
      <c r="D357" t="inlineStr">
        <is>
          <t>JÄMTLANDS LÄN</t>
        </is>
      </c>
      <c r="E357" t="inlineStr">
        <is>
          <t>ÖSTERSUND</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25187-2024</t>
        </is>
      </c>
      <c r="B358" s="1" t="n">
        <v>45462.56172453704</v>
      </c>
      <c r="C358" s="1" t="n">
        <v>46050</v>
      </c>
      <c r="D358" t="inlineStr">
        <is>
          <t>JÄMTLANDS LÄN</t>
        </is>
      </c>
      <c r="E358" t="inlineStr">
        <is>
          <t>ÖSTERSUND</t>
        </is>
      </c>
      <c r="G358" t="n">
        <v>2.4</v>
      </c>
      <c r="H358" t="n">
        <v>0</v>
      </c>
      <c r="I358" t="n">
        <v>0</v>
      </c>
      <c r="J358" t="n">
        <v>0</v>
      </c>
      <c r="K358" t="n">
        <v>0</v>
      </c>
      <c r="L358" t="n">
        <v>0</v>
      </c>
      <c r="M358" t="n">
        <v>0</v>
      </c>
      <c r="N358" t="n">
        <v>0</v>
      </c>
      <c r="O358" t="n">
        <v>0</v>
      </c>
      <c r="P358" t="n">
        <v>0</v>
      </c>
      <c r="Q358" t="n">
        <v>0</v>
      </c>
      <c r="R358" s="2" t="inlineStr"/>
    </row>
    <row r="359" ht="15" customHeight="1">
      <c r="A359" t="inlineStr">
        <is>
          <t>A 32279-2025</t>
        </is>
      </c>
      <c r="B359" s="1" t="n">
        <v>45835.67109953704</v>
      </c>
      <c r="C359" s="1" t="n">
        <v>46050</v>
      </c>
      <c r="D359" t="inlineStr">
        <is>
          <t>JÄMTLANDS LÄN</t>
        </is>
      </c>
      <c r="E359" t="inlineStr">
        <is>
          <t>ÖSTERSUND</t>
        </is>
      </c>
      <c r="G359" t="n">
        <v>3.5</v>
      </c>
      <c r="H359" t="n">
        <v>0</v>
      </c>
      <c r="I359" t="n">
        <v>0</v>
      </c>
      <c r="J359" t="n">
        <v>0</v>
      </c>
      <c r="K359" t="n">
        <v>0</v>
      </c>
      <c r="L359" t="n">
        <v>0</v>
      </c>
      <c r="M359" t="n">
        <v>0</v>
      </c>
      <c r="N359" t="n">
        <v>0</v>
      </c>
      <c r="O359" t="n">
        <v>0</v>
      </c>
      <c r="P359" t="n">
        <v>0</v>
      </c>
      <c r="Q359" t="n">
        <v>0</v>
      </c>
      <c r="R359" s="2" t="inlineStr"/>
    </row>
    <row r="360" ht="15" customHeight="1">
      <c r="A360" t="inlineStr">
        <is>
          <t>A 13282-2023</t>
        </is>
      </c>
      <c r="B360" s="1" t="n">
        <v>45004</v>
      </c>
      <c r="C360" s="1" t="n">
        <v>46050</v>
      </c>
      <c r="D360" t="inlineStr">
        <is>
          <t>JÄMTLANDS LÄN</t>
        </is>
      </c>
      <c r="E360" t="inlineStr">
        <is>
          <t>ÖSTERSUND</t>
        </is>
      </c>
      <c r="G360" t="n">
        <v>28.5</v>
      </c>
      <c r="H360" t="n">
        <v>0</v>
      </c>
      <c r="I360" t="n">
        <v>0</v>
      </c>
      <c r="J360" t="n">
        <v>0</v>
      </c>
      <c r="K360" t="n">
        <v>0</v>
      </c>
      <c r="L360" t="n">
        <v>0</v>
      </c>
      <c r="M360" t="n">
        <v>0</v>
      </c>
      <c r="N360" t="n">
        <v>0</v>
      </c>
      <c r="O360" t="n">
        <v>0</v>
      </c>
      <c r="P360" t="n">
        <v>0</v>
      </c>
      <c r="Q360" t="n">
        <v>0</v>
      </c>
      <c r="R360" s="2" t="inlineStr"/>
    </row>
    <row r="361" ht="15" customHeight="1">
      <c r="A361" t="inlineStr">
        <is>
          <t>A 44446-2025</t>
        </is>
      </c>
      <c r="B361" s="1" t="n">
        <v>45916.59773148148</v>
      </c>
      <c r="C361" s="1" t="n">
        <v>46050</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32358-2025</t>
        </is>
      </c>
      <c r="B362" s="1" t="n">
        <v>45837.57481481481</v>
      </c>
      <c r="C362" s="1" t="n">
        <v>46050</v>
      </c>
      <c r="D362" t="inlineStr">
        <is>
          <t>JÄMTLANDS LÄN</t>
        </is>
      </c>
      <c r="E362" t="inlineStr">
        <is>
          <t>ÖSTERSUND</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44429-2025</t>
        </is>
      </c>
      <c r="B363" s="1" t="n">
        <v>45916.57010416667</v>
      </c>
      <c r="C363" s="1" t="n">
        <v>46050</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32353-2025</t>
        </is>
      </c>
      <c r="B364" s="1" t="n">
        <v>45837.51741898148</v>
      </c>
      <c r="C364" s="1" t="n">
        <v>46050</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32369-2025</t>
        </is>
      </c>
      <c r="B365" s="1" t="n">
        <v>45837.67381944445</v>
      </c>
      <c r="C365" s="1" t="n">
        <v>46050</v>
      </c>
      <c r="D365" t="inlineStr">
        <is>
          <t>JÄMTLANDS LÄN</t>
        </is>
      </c>
      <c r="E365" t="inlineStr">
        <is>
          <t>ÖSTERSUND</t>
        </is>
      </c>
      <c r="F365" t="inlineStr">
        <is>
          <t>Övriga Aktiebolag</t>
        </is>
      </c>
      <c r="G365" t="n">
        <v>5.7</v>
      </c>
      <c r="H365" t="n">
        <v>0</v>
      </c>
      <c r="I365" t="n">
        <v>0</v>
      </c>
      <c r="J365" t="n">
        <v>0</v>
      </c>
      <c r="K365" t="n">
        <v>0</v>
      </c>
      <c r="L365" t="n">
        <v>0</v>
      </c>
      <c r="M365" t="n">
        <v>0</v>
      </c>
      <c r="N365" t="n">
        <v>0</v>
      </c>
      <c r="O365" t="n">
        <v>0</v>
      </c>
      <c r="P365" t="n">
        <v>0</v>
      </c>
      <c r="Q365" t="n">
        <v>0</v>
      </c>
      <c r="R365" s="2" t="inlineStr"/>
    </row>
    <row r="366" ht="15" customHeight="1">
      <c r="A366" t="inlineStr">
        <is>
          <t>A 10267-2025</t>
        </is>
      </c>
      <c r="B366" s="1" t="n">
        <v>45720.3859375</v>
      </c>
      <c r="C366" s="1" t="n">
        <v>46050</v>
      </c>
      <c r="D366" t="inlineStr">
        <is>
          <t>JÄMTLANDS LÄN</t>
        </is>
      </c>
      <c r="E366" t="inlineStr">
        <is>
          <t>ÖSTERSUND</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32368-2025</t>
        </is>
      </c>
      <c r="B367" s="1" t="n">
        <v>45837.66230324074</v>
      </c>
      <c r="C367" s="1" t="n">
        <v>46050</v>
      </c>
      <c r="D367" t="inlineStr">
        <is>
          <t>JÄMTLANDS LÄN</t>
        </is>
      </c>
      <c r="E367" t="inlineStr">
        <is>
          <t>ÖSTERSUND</t>
        </is>
      </c>
      <c r="F367" t="inlineStr">
        <is>
          <t>Övriga Aktiebolag</t>
        </is>
      </c>
      <c r="G367" t="n">
        <v>19.5</v>
      </c>
      <c r="H367" t="n">
        <v>0</v>
      </c>
      <c r="I367" t="n">
        <v>0</v>
      </c>
      <c r="J367" t="n">
        <v>0</v>
      </c>
      <c r="K367" t="n">
        <v>0</v>
      </c>
      <c r="L367" t="n">
        <v>0</v>
      </c>
      <c r="M367" t="n">
        <v>0</v>
      </c>
      <c r="N367" t="n">
        <v>0</v>
      </c>
      <c r="O367" t="n">
        <v>0</v>
      </c>
      <c r="P367" t="n">
        <v>0</v>
      </c>
      <c r="Q367" t="n">
        <v>0</v>
      </c>
      <c r="R367" s="2" t="inlineStr"/>
    </row>
    <row r="368" ht="15" customHeight="1">
      <c r="A368" t="inlineStr">
        <is>
          <t>A 27780-2022</t>
        </is>
      </c>
      <c r="B368" s="1" t="n">
        <v>44743</v>
      </c>
      <c r="C368" s="1" t="n">
        <v>46050</v>
      </c>
      <c r="D368" t="inlineStr">
        <is>
          <t>JÄMTLANDS LÄN</t>
        </is>
      </c>
      <c r="E368" t="inlineStr">
        <is>
          <t>ÖSTERSUND</t>
        </is>
      </c>
      <c r="G368" t="n">
        <v>2.2</v>
      </c>
      <c r="H368" t="n">
        <v>0</v>
      </c>
      <c r="I368" t="n">
        <v>0</v>
      </c>
      <c r="J368" t="n">
        <v>0</v>
      </c>
      <c r="K368" t="n">
        <v>0</v>
      </c>
      <c r="L368" t="n">
        <v>0</v>
      </c>
      <c r="M368" t="n">
        <v>0</v>
      </c>
      <c r="N368" t="n">
        <v>0</v>
      </c>
      <c r="O368" t="n">
        <v>0</v>
      </c>
      <c r="P368" t="n">
        <v>0</v>
      </c>
      <c r="Q368" t="n">
        <v>0</v>
      </c>
      <c r="R368" s="2" t="inlineStr"/>
    </row>
    <row r="369" ht="15" customHeight="1">
      <c r="A369" t="inlineStr">
        <is>
          <t>A 43082-2024</t>
        </is>
      </c>
      <c r="B369" s="1" t="n">
        <v>45567.51068287037</v>
      </c>
      <c r="C369" s="1" t="n">
        <v>46050</v>
      </c>
      <c r="D369" t="inlineStr">
        <is>
          <t>JÄMTLANDS LÄN</t>
        </is>
      </c>
      <c r="E369" t="inlineStr">
        <is>
          <t>ÖSTERSUND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61653-2022</t>
        </is>
      </c>
      <c r="B370" s="1" t="n">
        <v>44916</v>
      </c>
      <c r="C370" s="1" t="n">
        <v>46050</v>
      </c>
      <c r="D370" t="inlineStr">
        <is>
          <t>JÄMTLANDS LÄN</t>
        </is>
      </c>
      <c r="E370" t="inlineStr">
        <is>
          <t>ÖSTERSUND</t>
        </is>
      </c>
      <c r="G370" t="n">
        <v>7.6</v>
      </c>
      <c r="H370" t="n">
        <v>0</v>
      </c>
      <c r="I370" t="n">
        <v>0</v>
      </c>
      <c r="J370" t="n">
        <v>0</v>
      </c>
      <c r="K370" t="n">
        <v>0</v>
      </c>
      <c r="L370" t="n">
        <v>0</v>
      </c>
      <c r="M370" t="n">
        <v>0</v>
      </c>
      <c r="N370" t="n">
        <v>0</v>
      </c>
      <c r="O370" t="n">
        <v>0</v>
      </c>
      <c r="P370" t="n">
        <v>0</v>
      </c>
      <c r="Q370" t="n">
        <v>0</v>
      </c>
      <c r="R370" s="2" t="inlineStr"/>
    </row>
    <row r="371" ht="15" customHeight="1">
      <c r="A371" t="inlineStr">
        <is>
          <t>A 52854-2024</t>
        </is>
      </c>
      <c r="B371" s="1" t="n">
        <v>45610.61030092592</v>
      </c>
      <c r="C371" s="1" t="n">
        <v>46050</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45389-2025</t>
        </is>
      </c>
      <c r="B372" s="1" t="n">
        <v>45922.4075</v>
      </c>
      <c r="C372" s="1" t="n">
        <v>46050</v>
      </c>
      <c r="D372" t="inlineStr">
        <is>
          <t>JÄMTLANDS LÄN</t>
        </is>
      </c>
      <c r="E372" t="inlineStr">
        <is>
          <t>ÖSTERSUND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45391-2025</t>
        </is>
      </c>
      <c r="B373" s="1" t="n">
        <v>45922.4077662037</v>
      </c>
      <c r="C373" s="1" t="n">
        <v>46050</v>
      </c>
      <c r="D373" t="inlineStr">
        <is>
          <t>JÄMTLANDS LÄN</t>
        </is>
      </c>
      <c r="E373" t="inlineStr">
        <is>
          <t>ÖSTERSUND</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45297-2025</t>
        </is>
      </c>
      <c r="B374" s="1" t="n">
        <v>45920.8446412037</v>
      </c>
      <c r="C374" s="1" t="n">
        <v>46050</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33358-2025</t>
        </is>
      </c>
      <c r="B375" s="1" t="n">
        <v>45841.38054398148</v>
      </c>
      <c r="C375" s="1" t="n">
        <v>46050</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45385-2025</t>
        </is>
      </c>
      <c r="B376" s="1" t="n">
        <v>45922.40680555555</v>
      </c>
      <c r="C376" s="1" t="n">
        <v>46050</v>
      </c>
      <c r="D376" t="inlineStr">
        <is>
          <t>JÄMTLANDS LÄN</t>
        </is>
      </c>
      <c r="E376" t="inlineStr">
        <is>
          <t>ÖSTERSUND</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2228-2024</t>
        </is>
      </c>
      <c r="B377" s="1" t="n">
        <v>45309</v>
      </c>
      <c r="C377" s="1" t="n">
        <v>46050</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45386-2025</t>
        </is>
      </c>
      <c r="B378" s="1" t="n">
        <v>45922.40697916667</v>
      </c>
      <c r="C378" s="1" t="n">
        <v>46050</v>
      </c>
      <c r="D378" t="inlineStr">
        <is>
          <t>JÄMTLANDS LÄN</t>
        </is>
      </c>
      <c r="E378" t="inlineStr">
        <is>
          <t>ÖSTERSUND</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45388-2025</t>
        </is>
      </c>
      <c r="B379" s="1" t="n">
        <v>45922.4074537037</v>
      </c>
      <c r="C379" s="1" t="n">
        <v>46050</v>
      </c>
      <c r="D379" t="inlineStr">
        <is>
          <t>JÄMTLANDS LÄN</t>
        </is>
      </c>
      <c r="E379" t="inlineStr">
        <is>
          <t>ÖSTERSUND</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29703-2023</t>
        </is>
      </c>
      <c r="B380" s="1" t="n">
        <v>45107</v>
      </c>
      <c r="C380" s="1" t="n">
        <v>46050</v>
      </c>
      <c r="D380" t="inlineStr">
        <is>
          <t>JÄMTLANDS LÄN</t>
        </is>
      </c>
      <c r="E380" t="inlineStr">
        <is>
          <t>ÖSTERSUND</t>
        </is>
      </c>
      <c r="G380" t="n">
        <v>0.3</v>
      </c>
      <c r="H380" t="n">
        <v>0</v>
      </c>
      <c r="I380" t="n">
        <v>0</v>
      </c>
      <c r="J380" t="n">
        <v>0</v>
      </c>
      <c r="K380" t="n">
        <v>0</v>
      </c>
      <c r="L380" t="n">
        <v>0</v>
      </c>
      <c r="M380" t="n">
        <v>0</v>
      </c>
      <c r="N380" t="n">
        <v>0</v>
      </c>
      <c r="O380" t="n">
        <v>0</v>
      </c>
      <c r="P380" t="n">
        <v>0</v>
      </c>
      <c r="Q380" t="n">
        <v>0</v>
      </c>
      <c r="R380" s="2" t="inlineStr"/>
    </row>
    <row r="381" ht="15" customHeight="1">
      <c r="A381" t="inlineStr">
        <is>
          <t>A 45558-2025</t>
        </is>
      </c>
      <c r="B381" s="1" t="n">
        <v>45922</v>
      </c>
      <c r="C381" s="1" t="n">
        <v>46050</v>
      </c>
      <c r="D381" t="inlineStr">
        <is>
          <t>JÄMTLANDS LÄN</t>
        </is>
      </c>
      <c r="E381" t="inlineStr">
        <is>
          <t>ÖSTERSUND</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46050</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46050</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46050</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46202-2025</t>
        </is>
      </c>
      <c r="B385" s="1" t="n">
        <v>45924.70346064815</v>
      </c>
      <c r="C385" s="1" t="n">
        <v>46050</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61530-2023</t>
        </is>
      </c>
      <c r="B386" s="1" t="n">
        <v>45261</v>
      </c>
      <c r="C386" s="1" t="n">
        <v>46050</v>
      </c>
      <c r="D386" t="inlineStr">
        <is>
          <t>JÄMTLANDS LÄN</t>
        </is>
      </c>
      <c r="E386" t="inlineStr">
        <is>
          <t>ÖSTERSUND</t>
        </is>
      </c>
      <c r="F386" t="inlineStr">
        <is>
          <t>Övriga statliga verk och myndigheter</t>
        </is>
      </c>
      <c r="G386" t="n">
        <v>1</v>
      </c>
      <c r="H386" t="n">
        <v>0</v>
      </c>
      <c r="I386" t="n">
        <v>0</v>
      </c>
      <c r="J386" t="n">
        <v>0</v>
      </c>
      <c r="K386" t="n">
        <v>0</v>
      </c>
      <c r="L386" t="n">
        <v>0</v>
      </c>
      <c r="M386" t="n">
        <v>0</v>
      </c>
      <c r="N386" t="n">
        <v>0</v>
      </c>
      <c r="O386" t="n">
        <v>0</v>
      </c>
      <c r="P386" t="n">
        <v>0</v>
      </c>
      <c r="Q386" t="n">
        <v>0</v>
      </c>
      <c r="R386" s="2" t="inlineStr"/>
    </row>
    <row r="387" ht="15" customHeight="1">
      <c r="A387" t="inlineStr">
        <is>
          <t>A 34490-2025</t>
        </is>
      </c>
      <c r="B387" s="1" t="n">
        <v>45847.40722222222</v>
      </c>
      <c r="C387" s="1" t="n">
        <v>46050</v>
      </c>
      <c r="D387" t="inlineStr">
        <is>
          <t>JÄMTLANDS LÄN</t>
        </is>
      </c>
      <c r="E387" t="inlineStr">
        <is>
          <t>ÖSTERSUND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34331-2025</t>
        </is>
      </c>
      <c r="B388" s="1" t="n">
        <v>45846.44827546296</v>
      </c>
      <c r="C388" s="1" t="n">
        <v>46050</v>
      </c>
      <c r="D388" t="inlineStr">
        <is>
          <t>JÄMTLANDS LÄN</t>
        </is>
      </c>
      <c r="E388" t="inlineStr">
        <is>
          <t>ÖSTERSUND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34589-2025</t>
        </is>
      </c>
      <c r="B389" s="1" t="n">
        <v>45847.61561342593</v>
      </c>
      <c r="C389" s="1" t="n">
        <v>46050</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34587-2025</t>
        </is>
      </c>
      <c r="B390" s="1" t="n">
        <v>45847.61533564814</v>
      </c>
      <c r="C390" s="1" t="n">
        <v>46050</v>
      </c>
      <c r="D390" t="inlineStr">
        <is>
          <t>JÄMTLANDS LÄN</t>
        </is>
      </c>
      <c r="E390" t="inlineStr">
        <is>
          <t>ÖSTERSUND</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25535-2023</t>
        </is>
      </c>
      <c r="B391" s="1" t="n">
        <v>45089.54944444444</v>
      </c>
      <c r="C391" s="1" t="n">
        <v>46050</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32225-2024</t>
        </is>
      </c>
      <c r="B392" s="1" t="n">
        <v>45511.92825231481</v>
      </c>
      <c r="C392" s="1" t="n">
        <v>46050</v>
      </c>
      <c r="D392" t="inlineStr">
        <is>
          <t>JÄMTLANDS LÄN</t>
        </is>
      </c>
      <c r="E392" t="inlineStr">
        <is>
          <t>ÖSTERSUND</t>
        </is>
      </c>
      <c r="G392" t="n">
        <v>2</v>
      </c>
      <c r="H392" t="n">
        <v>0</v>
      </c>
      <c r="I392" t="n">
        <v>0</v>
      </c>
      <c r="J392" t="n">
        <v>0</v>
      </c>
      <c r="K392" t="n">
        <v>0</v>
      </c>
      <c r="L392" t="n">
        <v>0</v>
      </c>
      <c r="M392" t="n">
        <v>0</v>
      </c>
      <c r="N392" t="n">
        <v>0</v>
      </c>
      <c r="O392" t="n">
        <v>0</v>
      </c>
      <c r="P392" t="n">
        <v>0</v>
      </c>
      <c r="Q392" t="n">
        <v>0</v>
      </c>
      <c r="R392" s="2" t="inlineStr"/>
    </row>
    <row r="393" ht="15" customHeight="1">
      <c r="A393" t="inlineStr">
        <is>
          <t>A 4311-2025</t>
        </is>
      </c>
      <c r="B393" s="1" t="n">
        <v>45685.69267361111</v>
      </c>
      <c r="C393" s="1" t="n">
        <v>46050</v>
      </c>
      <c r="D393" t="inlineStr">
        <is>
          <t>JÄMTLANDS LÄN</t>
        </is>
      </c>
      <c r="E393" t="inlineStr">
        <is>
          <t>ÖSTERSUND</t>
        </is>
      </c>
      <c r="G393" t="n">
        <v>0.7</v>
      </c>
      <c r="H393" t="n">
        <v>0</v>
      </c>
      <c r="I393" t="n">
        <v>0</v>
      </c>
      <c r="J393" t="n">
        <v>0</v>
      </c>
      <c r="K393" t="n">
        <v>0</v>
      </c>
      <c r="L393" t="n">
        <v>0</v>
      </c>
      <c r="M393" t="n">
        <v>0</v>
      </c>
      <c r="N393" t="n">
        <v>0</v>
      </c>
      <c r="O393" t="n">
        <v>0</v>
      </c>
      <c r="P393" t="n">
        <v>0</v>
      </c>
      <c r="Q393" t="n">
        <v>0</v>
      </c>
      <c r="R393" s="2" t="inlineStr"/>
    </row>
    <row r="394" ht="15" customHeight="1">
      <c r="A394" t="inlineStr">
        <is>
          <t>A 47563-2025</t>
        </is>
      </c>
      <c r="B394" s="1" t="n">
        <v>45931.38956018518</v>
      </c>
      <c r="C394" s="1" t="n">
        <v>46050</v>
      </c>
      <c r="D394" t="inlineStr">
        <is>
          <t>JÄMTLANDS LÄN</t>
        </is>
      </c>
      <c r="E394" t="inlineStr">
        <is>
          <t>ÖSTERSUND</t>
        </is>
      </c>
      <c r="G394" t="n">
        <v>2.3</v>
      </c>
      <c r="H394" t="n">
        <v>0</v>
      </c>
      <c r="I394" t="n">
        <v>0</v>
      </c>
      <c r="J394" t="n">
        <v>0</v>
      </c>
      <c r="K394" t="n">
        <v>0</v>
      </c>
      <c r="L394" t="n">
        <v>0</v>
      </c>
      <c r="M394" t="n">
        <v>0</v>
      </c>
      <c r="N394" t="n">
        <v>0</v>
      </c>
      <c r="O394" t="n">
        <v>0</v>
      </c>
      <c r="P394" t="n">
        <v>0</v>
      </c>
      <c r="Q394" t="n">
        <v>0</v>
      </c>
      <c r="R394" s="2" t="inlineStr"/>
    </row>
    <row r="395" ht="15" customHeight="1">
      <c r="A395" t="inlineStr">
        <is>
          <t>A 47805-2024</t>
        </is>
      </c>
      <c r="B395" s="1" t="n">
        <v>45588.61512731481</v>
      </c>
      <c r="C395" s="1" t="n">
        <v>46050</v>
      </c>
      <c r="D395" t="inlineStr">
        <is>
          <t>JÄMTLANDS LÄN</t>
        </is>
      </c>
      <c r="E395" t="inlineStr">
        <is>
          <t>ÖSTERSUND</t>
        </is>
      </c>
      <c r="G395" t="n">
        <v>7.4</v>
      </c>
      <c r="H395" t="n">
        <v>0</v>
      </c>
      <c r="I395" t="n">
        <v>0</v>
      </c>
      <c r="J395" t="n">
        <v>0</v>
      </c>
      <c r="K395" t="n">
        <v>0</v>
      </c>
      <c r="L395" t="n">
        <v>0</v>
      </c>
      <c r="M395" t="n">
        <v>0</v>
      </c>
      <c r="N395" t="n">
        <v>0</v>
      </c>
      <c r="O395" t="n">
        <v>0</v>
      </c>
      <c r="P395" t="n">
        <v>0</v>
      </c>
      <c r="Q395" t="n">
        <v>0</v>
      </c>
      <c r="R395" s="2" t="inlineStr"/>
    </row>
    <row r="396" ht="15" customHeight="1">
      <c r="A396" t="inlineStr">
        <is>
          <t>A 45338-2024</t>
        </is>
      </c>
      <c r="B396" s="1" t="n">
        <v>45576.46905092592</v>
      </c>
      <c r="C396" s="1" t="n">
        <v>46050</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45895-2024</t>
        </is>
      </c>
      <c r="B397" s="1" t="n">
        <v>45580.42736111111</v>
      </c>
      <c r="C397" s="1" t="n">
        <v>46050</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47575-2025</t>
        </is>
      </c>
      <c r="B398" s="1" t="n">
        <v>45931.40100694444</v>
      </c>
      <c r="C398" s="1" t="n">
        <v>46050</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47579-2025</t>
        </is>
      </c>
      <c r="B399" s="1" t="n">
        <v>45931.40671296296</v>
      </c>
      <c r="C399" s="1" t="n">
        <v>46050</v>
      </c>
      <c r="D399" t="inlineStr">
        <is>
          <t>JÄMTLANDS LÄN</t>
        </is>
      </c>
      <c r="E399" t="inlineStr">
        <is>
          <t>ÖSTERSUND</t>
        </is>
      </c>
      <c r="G399" t="n">
        <v>5.8</v>
      </c>
      <c r="H399" t="n">
        <v>0</v>
      </c>
      <c r="I399" t="n">
        <v>0</v>
      </c>
      <c r="J399" t="n">
        <v>0</v>
      </c>
      <c r="K399" t="n">
        <v>0</v>
      </c>
      <c r="L399" t="n">
        <v>0</v>
      </c>
      <c r="M399" t="n">
        <v>0</v>
      </c>
      <c r="N399" t="n">
        <v>0</v>
      </c>
      <c r="O399" t="n">
        <v>0</v>
      </c>
      <c r="P399" t="n">
        <v>0</v>
      </c>
      <c r="Q399" t="n">
        <v>0</v>
      </c>
      <c r="R399" s="2" t="inlineStr"/>
    </row>
    <row r="400" ht="15" customHeight="1">
      <c r="A400" t="inlineStr">
        <is>
          <t>A 12998-2025</t>
        </is>
      </c>
      <c r="B400" s="1" t="n">
        <v>45734.48991898148</v>
      </c>
      <c r="C400" s="1" t="n">
        <v>46050</v>
      </c>
      <c r="D400" t="inlineStr">
        <is>
          <t>JÄMTLANDS LÄN</t>
        </is>
      </c>
      <c r="E400" t="inlineStr">
        <is>
          <t>ÖSTERSUND</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46732-2024</t>
        </is>
      </c>
      <c r="B401" s="1" t="n">
        <v>45583.46936342592</v>
      </c>
      <c r="C401" s="1" t="n">
        <v>46050</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25228-2025</t>
        </is>
      </c>
      <c r="B402" s="1" t="n">
        <v>45800.48368055555</v>
      </c>
      <c r="C402" s="1" t="n">
        <v>46050</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26373-2025</t>
        </is>
      </c>
      <c r="B403" s="1" t="n">
        <v>45806.40677083333</v>
      </c>
      <c r="C403" s="1" t="n">
        <v>46050</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47759-2025</t>
        </is>
      </c>
      <c r="B404" s="1" t="n">
        <v>45931.67381944445</v>
      </c>
      <c r="C404" s="1" t="n">
        <v>46050</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54913-2024</t>
        </is>
      </c>
      <c r="B405" s="1" t="n">
        <v>45618.6917824074</v>
      </c>
      <c r="C405" s="1" t="n">
        <v>46050</v>
      </c>
      <c r="D405" t="inlineStr">
        <is>
          <t>JÄMTLANDS LÄN</t>
        </is>
      </c>
      <c r="E405" t="inlineStr">
        <is>
          <t>ÖSTERSUND</t>
        </is>
      </c>
      <c r="G405" t="n">
        <v>4.7</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46050</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57398-2023</t>
        </is>
      </c>
      <c r="B407" s="1" t="n">
        <v>45245</v>
      </c>
      <c r="C407" s="1" t="n">
        <v>46050</v>
      </c>
      <c r="D407" t="inlineStr">
        <is>
          <t>JÄMTLANDS LÄN</t>
        </is>
      </c>
      <c r="E407" t="inlineStr">
        <is>
          <t>ÖSTERSUND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44051-2021</t>
        </is>
      </c>
      <c r="B408" s="1" t="n">
        <v>44434</v>
      </c>
      <c r="C408" s="1" t="n">
        <v>46050</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55235-2023</t>
        </is>
      </c>
      <c r="B409" s="1" t="n">
        <v>45231</v>
      </c>
      <c r="C409" s="1" t="n">
        <v>46050</v>
      </c>
      <c r="D409" t="inlineStr">
        <is>
          <t>JÄMTLANDS LÄN</t>
        </is>
      </c>
      <c r="E409" t="inlineStr">
        <is>
          <t>ÖSTERSUND</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26586-2025</t>
        </is>
      </c>
      <c r="B410" s="1" t="n">
        <v>45807.74140046296</v>
      </c>
      <c r="C410" s="1" t="n">
        <v>46050</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36211-2025</t>
        </is>
      </c>
      <c r="B411" s="1" t="n">
        <v>45867.46946759259</v>
      </c>
      <c r="C411" s="1" t="n">
        <v>46050</v>
      </c>
      <c r="D411" t="inlineStr">
        <is>
          <t>JÄMTLANDS LÄN</t>
        </is>
      </c>
      <c r="E411" t="inlineStr">
        <is>
          <t>ÖSTERSUND</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54587-2024</t>
        </is>
      </c>
      <c r="B412" s="1" t="n">
        <v>45617.65800925926</v>
      </c>
      <c r="C412" s="1" t="n">
        <v>46050</v>
      </c>
      <c r="D412" t="inlineStr">
        <is>
          <t>JÄMTLANDS LÄN</t>
        </is>
      </c>
      <c r="E412" t="inlineStr">
        <is>
          <t>ÖSTERSUND</t>
        </is>
      </c>
      <c r="G412" t="n">
        <v>14</v>
      </c>
      <c r="H412" t="n">
        <v>0</v>
      </c>
      <c r="I412" t="n">
        <v>0</v>
      </c>
      <c r="J412" t="n">
        <v>0</v>
      </c>
      <c r="K412" t="n">
        <v>0</v>
      </c>
      <c r="L412" t="n">
        <v>0</v>
      </c>
      <c r="M412" t="n">
        <v>0</v>
      </c>
      <c r="N412" t="n">
        <v>0</v>
      </c>
      <c r="O412" t="n">
        <v>0</v>
      </c>
      <c r="P412" t="n">
        <v>0</v>
      </c>
      <c r="Q412" t="n">
        <v>0</v>
      </c>
      <c r="R412" s="2" t="inlineStr"/>
    </row>
    <row r="413" ht="15" customHeight="1">
      <c r="A413" t="inlineStr">
        <is>
          <t>A 34923-2025</t>
        </is>
      </c>
      <c r="B413" s="1" t="n">
        <v>45849.55601851852</v>
      </c>
      <c r="C413" s="1" t="n">
        <v>46050</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38644-2021</t>
        </is>
      </c>
      <c r="B414" s="1" t="n">
        <v>44410.35376157407</v>
      </c>
      <c r="C414" s="1" t="n">
        <v>46050</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36098-2025</t>
        </is>
      </c>
      <c r="B415" s="1" t="n">
        <v>45866.50549768518</v>
      </c>
      <c r="C415" s="1" t="n">
        <v>46050</v>
      </c>
      <c r="D415" t="inlineStr">
        <is>
          <t>JÄMTLANDS LÄN</t>
        </is>
      </c>
      <c r="E415" t="inlineStr">
        <is>
          <t>ÖSTERSUND</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36566-2025</t>
        </is>
      </c>
      <c r="B416" s="1" t="n">
        <v>45869</v>
      </c>
      <c r="C416" s="1" t="n">
        <v>46050</v>
      </c>
      <c r="D416" t="inlineStr">
        <is>
          <t>JÄMTLANDS LÄN</t>
        </is>
      </c>
      <c r="E416" t="inlineStr">
        <is>
          <t>ÖSTERSUND</t>
        </is>
      </c>
      <c r="F416" t="inlineStr">
        <is>
          <t>Sveaskog</t>
        </is>
      </c>
      <c r="G416" t="n">
        <v>6.9</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46050</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56811-2025</t>
        </is>
      </c>
      <c r="B418" s="1" t="n">
        <v>45978.45540509259</v>
      </c>
      <c r="C418" s="1" t="n">
        <v>46050</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20960-2022</t>
        </is>
      </c>
      <c r="B419" s="1" t="n">
        <v>44701.94034722223</v>
      </c>
      <c r="C419" s="1" t="n">
        <v>46050</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57268-2025</t>
        </is>
      </c>
      <c r="B420" s="1" t="n">
        <v>45979.6756712963</v>
      </c>
      <c r="C420" s="1" t="n">
        <v>46050</v>
      </c>
      <c r="D420" t="inlineStr">
        <is>
          <t>JÄMTLANDS LÄN</t>
        </is>
      </c>
      <c r="E420" t="inlineStr">
        <is>
          <t>ÖSTERSUND</t>
        </is>
      </c>
      <c r="F420" t="inlineStr">
        <is>
          <t>Kommuner</t>
        </is>
      </c>
      <c r="G420" t="n">
        <v>0.7</v>
      </c>
      <c r="H420" t="n">
        <v>0</v>
      </c>
      <c r="I420" t="n">
        <v>0</v>
      </c>
      <c r="J420" t="n">
        <v>0</v>
      </c>
      <c r="K420" t="n">
        <v>0</v>
      </c>
      <c r="L420" t="n">
        <v>0</v>
      </c>
      <c r="M420" t="n">
        <v>0</v>
      </c>
      <c r="N420" t="n">
        <v>0</v>
      </c>
      <c r="O420" t="n">
        <v>0</v>
      </c>
      <c r="P420" t="n">
        <v>0</v>
      </c>
      <c r="Q420" t="n">
        <v>0</v>
      </c>
      <c r="R420" s="2" t="inlineStr"/>
    </row>
    <row r="421" ht="15" customHeight="1">
      <c r="A421" t="inlineStr">
        <is>
          <t>A 10756-2025</t>
        </is>
      </c>
      <c r="B421" s="1" t="n">
        <v>45722.44892361111</v>
      </c>
      <c r="C421" s="1" t="n">
        <v>46050</v>
      </c>
      <c r="D421" t="inlineStr">
        <is>
          <t>JÄMTLANDS LÄN</t>
        </is>
      </c>
      <c r="E421" t="inlineStr">
        <is>
          <t>ÖSTERSUND</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48893-2025</t>
        </is>
      </c>
      <c r="B422" s="1" t="n">
        <v>45937.47302083333</v>
      </c>
      <c r="C422" s="1" t="n">
        <v>46050</v>
      </c>
      <c r="D422" t="inlineStr">
        <is>
          <t>JÄMTLANDS LÄN</t>
        </is>
      </c>
      <c r="E422" t="inlineStr">
        <is>
          <t>ÖSTERSUND</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7936-2025</t>
        </is>
      </c>
      <c r="B423" s="1" t="n">
        <v>45707</v>
      </c>
      <c r="C423" s="1" t="n">
        <v>46050</v>
      </c>
      <c r="D423" t="inlineStr">
        <is>
          <t>JÄMTLANDS LÄN</t>
        </is>
      </c>
      <c r="E423" t="inlineStr">
        <is>
          <t>ÖSTERSUND</t>
        </is>
      </c>
      <c r="G423" t="n">
        <v>0.2</v>
      </c>
      <c r="H423" t="n">
        <v>0</v>
      </c>
      <c r="I423" t="n">
        <v>0</v>
      </c>
      <c r="J423" t="n">
        <v>0</v>
      </c>
      <c r="K423" t="n">
        <v>0</v>
      </c>
      <c r="L423" t="n">
        <v>0</v>
      </c>
      <c r="M423" t="n">
        <v>0</v>
      </c>
      <c r="N423" t="n">
        <v>0</v>
      </c>
      <c r="O423" t="n">
        <v>0</v>
      </c>
      <c r="P423" t="n">
        <v>0</v>
      </c>
      <c r="Q423" t="n">
        <v>0</v>
      </c>
      <c r="R423" s="2" t="inlineStr"/>
    </row>
    <row r="424" ht="15" customHeight="1">
      <c r="A424" t="inlineStr">
        <is>
          <t>A 7940-2025</t>
        </is>
      </c>
      <c r="B424" s="1" t="n">
        <v>45707.40493055555</v>
      </c>
      <c r="C424" s="1" t="n">
        <v>46050</v>
      </c>
      <c r="D424" t="inlineStr">
        <is>
          <t>JÄMTLANDS LÄN</t>
        </is>
      </c>
      <c r="E424" t="inlineStr">
        <is>
          <t>ÖSTERSUND</t>
        </is>
      </c>
      <c r="F424" t="inlineStr">
        <is>
          <t>Övriga Aktiebolag</t>
        </is>
      </c>
      <c r="G424" t="n">
        <v>48.1</v>
      </c>
      <c r="H424" t="n">
        <v>0</v>
      </c>
      <c r="I424" t="n">
        <v>0</v>
      </c>
      <c r="J424" t="n">
        <v>0</v>
      </c>
      <c r="K424" t="n">
        <v>0</v>
      </c>
      <c r="L424" t="n">
        <v>0</v>
      </c>
      <c r="M424" t="n">
        <v>0</v>
      </c>
      <c r="N424" t="n">
        <v>0</v>
      </c>
      <c r="O424" t="n">
        <v>0</v>
      </c>
      <c r="P424" t="n">
        <v>0</v>
      </c>
      <c r="Q424" t="n">
        <v>0</v>
      </c>
      <c r="R424" s="2" t="inlineStr"/>
    </row>
    <row r="425" ht="15" customHeight="1">
      <c r="A425" t="inlineStr">
        <is>
          <t>A 5024-2025</t>
        </is>
      </c>
      <c r="B425" s="1" t="n">
        <v>45691.40832175926</v>
      </c>
      <c r="C425" s="1" t="n">
        <v>46050</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5025-2025</t>
        </is>
      </c>
      <c r="B426" s="1" t="n">
        <v>45691.40836805556</v>
      </c>
      <c r="C426" s="1" t="n">
        <v>46050</v>
      </c>
      <c r="D426" t="inlineStr">
        <is>
          <t>JÄMTLANDS LÄN</t>
        </is>
      </c>
      <c r="E426" t="inlineStr">
        <is>
          <t>ÖSTERSUND</t>
        </is>
      </c>
      <c r="G426" t="n">
        <v>0.1</v>
      </c>
      <c r="H426" t="n">
        <v>0</v>
      </c>
      <c r="I426" t="n">
        <v>0</v>
      </c>
      <c r="J426" t="n">
        <v>0</v>
      </c>
      <c r="K426" t="n">
        <v>0</v>
      </c>
      <c r="L426" t="n">
        <v>0</v>
      </c>
      <c r="M426" t="n">
        <v>0</v>
      </c>
      <c r="N426" t="n">
        <v>0</v>
      </c>
      <c r="O426" t="n">
        <v>0</v>
      </c>
      <c r="P426" t="n">
        <v>0</v>
      </c>
      <c r="Q426" t="n">
        <v>0</v>
      </c>
      <c r="R426" s="2" t="inlineStr"/>
    </row>
    <row r="427" ht="15" customHeight="1">
      <c r="A427" t="inlineStr">
        <is>
          <t>A 47727-2023</t>
        </is>
      </c>
      <c r="B427" s="1" t="n">
        <v>45203</v>
      </c>
      <c r="C427" s="1" t="n">
        <v>46050</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60767-2022</t>
        </is>
      </c>
      <c r="B428" s="1" t="n">
        <v>44914.35599537037</v>
      </c>
      <c r="C428" s="1" t="n">
        <v>46050</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49039-2025</t>
        </is>
      </c>
      <c r="B429" s="1" t="n">
        <v>45937.63275462963</v>
      </c>
      <c r="C429" s="1" t="n">
        <v>46050</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37085-2025</t>
        </is>
      </c>
      <c r="B430" s="1" t="n">
        <v>45875.44840277778</v>
      </c>
      <c r="C430" s="1" t="n">
        <v>46050</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49572-2025</t>
        </is>
      </c>
      <c r="B431" s="1" t="n">
        <v>45939.49018518518</v>
      </c>
      <c r="C431" s="1" t="n">
        <v>46050</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49576-2025</t>
        </is>
      </c>
      <c r="B432" s="1" t="n">
        <v>45939</v>
      </c>
      <c r="C432" s="1" t="n">
        <v>46050</v>
      </c>
      <c r="D432" t="inlineStr">
        <is>
          <t>JÄMTLANDS LÄN</t>
        </is>
      </c>
      <c r="E432" t="inlineStr">
        <is>
          <t>ÖSTERSUND</t>
        </is>
      </c>
      <c r="F432" t="inlineStr">
        <is>
          <t>SCA</t>
        </is>
      </c>
      <c r="G432" t="n">
        <v>17.1</v>
      </c>
      <c r="H432" t="n">
        <v>0</v>
      </c>
      <c r="I432" t="n">
        <v>0</v>
      </c>
      <c r="J432" t="n">
        <v>0</v>
      </c>
      <c r="K432" t="n">
        <v>0</v>
      </c>
      <c r="L432" t="n">
        <v>0</v>
      </c>
      <c r="M432" t="n">
        <v>0</v>
      </c>
      <c r="N432" t="n">
        <v>0</v>
      </c>
      <c r="O432" t="n">
        <v>0</v>
      </c>
      <c r="P432" t="n">
        <v>0</v>
      </c>
      <c r="Q432" t="n">
        <v>0</v>
      </c>
      <c r="R432" s="2" t="inlineStr"/>
    </row>
    <row r="433" ht="15" customHeight="1">
      <c r="A433" t="inlineStr">
        <is>
          <t>A 60623-2022</t>
        </is>
      </c>
      <c r="B433" s="1" t="n">
        <v>44911.6459837963</v>
      </c>
      <c r="C433" s="1" t="n">
        <v>46050</v>
      </c>
      <c r="D433" t="inlineStr">
        <is>
          <t>JÄMTLANDS LÄN</t>
        </is>
      </c>
      <c r="E433" t="inlineStr">
        <is>
          <t>ÖSTERSUND</t>
        </is>
      </c>
      <c r="G433" t="n">
        <v>10.9</v>
      </c>
      <c r="H433" t="n">
        <v>0</v>
      </c>
      <c r="I433" t="n">
        <v>0</v>
      </c>
      <c r="J433" t="n">
        <v>0</v>
      </c>
      <c r="K433" t="n">
        <v>0</v>
      </c>
      <c r="L433" t="n">
        <v>0</v>
      </c>
      <c r="M433" t="n">
        <v>0</v>
      </c>
      <c r="N433" t="n">
        <v>0</v>
      </c>
      <c r="O433" t="n">
        <v>0</v>
      </c>
      <c r="P433" t="n">
        <v>0</v>
      </c>
      <c r="Q433" t="n">
        <v>0</v>
      </c>
      <c r="R433" s="2" t="inlineStr"/>
    </row>
    <row r="434" ht="15" customHeight="1">
      <c r="A434" t="inlineStr">
        <is>
          <t>A 50168-2025</t>
        </is>
      </c>
      <c r="B434" s="1" t="n">
        <v>45943.59442129629</v>
      </c>
      <c r="C434" s="1" t="n">
        <v>46050</v>
      </c>
      <c r="D434" t="inlineStr">
        <is>
          <t>JÄMTLANDS LÄN</t>
        </is>
      </c>
      <c r="E434" t="inlineStr">
        <is>
          <t>ÖSTERSUND</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3615-2025</t>
        </is>
      </c>
      <c r="B435" s="1" t="n">
        <v>45681.36493055556</v>
      </c>
      <c r="C435" s="1" t="n">
        <v>46050</v>
      </c>
      <c r="D435" t="inlineStr">
        <is>
          <t>JÄMTLANDS LÄN</t>
        </is>
      </c>
      <c r="E435" t="inlineStr">
        <is>
          <t>ÖSTERSUND</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3651-2025</t>
        </is>
      </c>
      <c r="B436" s="1" t="n">
        <v>45681.40689814815</v>
      </c>
      <c r="C436" s="1" t="n">
        <v>46050</v>
      </c>
      <c r="D436" t="inlineStr">
        <is>
          <t>JÄMTLANDS LÄN</t>
        </is>
      </c>
      <c r="E436" t="inlineStr">
        <is>
          <t>ÖSTERSUND</t>
        </is>
      </c>
      <c r="F436" t="inlineStr">
        <is>
          <t>SCA</t>
        </is>
      </c>
      <c r="G436" t="n">
        <v>9.6</v>
      </c>
      <c r="H436" t="n">
        <v>0</v>
      </c>
      <c r="I436" t="n">
        <v>0</v>
      </c>
      <c r="J436" t="n">
        <v>0</v>
      </c>
      <c r="K436" t="n">
        <v>0</v>
      </c>
      <c r="L436" t="n">
        <v>0</v>
      </c>
      <c r="M436" t="n">
        <v>0</v>
      </c>
      <c r="N436" t="n">
        <v>0</v>
      </c>
      <c r="O436" t="n">
        <v>0</v>
      </c>
      <c r="P436" t="n">
        <v>0</v>
      </c>
      <c r="Q436" t="n">
        <v>0</v>
      </c>
      <c r="R436" s="2" t="inlineStr"/>
    </row>
    <row r="437" ht="15" customHeight="1">
      <c r="A437" t="inlineStr">
        <is>
          <t>A 3664-2025</t>
        </is>
      </c>
      <c r="B437" s="1" t="n">
        <v>45681.4275462963</v>
      </c>
      <c r="C437" s="1" t="n">
        <v>46050</v>
      </c>
      <c r="D437" t="inlineStr">
        <is>
          <t>JÄMTLANDS LÄN</t>
        </is>
      </c>
      <c r="E437" t="inlineStr">
        <is>
          <t>ÖSTERSUND</t>
        </is>
      </c>
      <c r="F437" t="inlineStr">
        <is>
          <t>SCA</t>
        </is>
      </c>
      <c r="G437" t="n">
        <v>10.9</v>
      </c>
      <c r="H437" t="n">
        <v>0</v>
      </c>
      <c r="I437" t="n">
        <v>0</v>
      </c>
      <c r="J437" t="n">
        <v>0</v>
      </c>
      <c r="K437" t="n">
        <v>0</v>
      </c>
      <c r="L437" t="n">
        <v>0</v>
      </c>
      <c r="M437" t="n">
        <v>0</v>
      </c>
      <c r="N437" t="n">
        <v>0</v>
      </c>
      <c r="O437" t="n">
        <v>0</v>
      </c>
      <c r="P437" t="n">
        <v>0</v>
      </c>
      <c r="Q437" t="n">
        <v>0</v>
      </c>
      <c r="R437" s="2" t="inlineStr"/>
    </row>
    <row r="438" ht="15" customHeight="1">
      <c r="A438" t="inlineStr">
        <is>
          <t>A 12821-2023</t>
        </is>
      </c>
      <c r="B438" s="1" t="n">
        <v>45000</v>
      </c>
      <c r="C438" s="1" t="n">
        <v>46050</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50528-2025</t>
        </is>
      </c>
      <c r="B439" s="1" t="n">
        <v>45945.47097222223</v>
      </c>
      <c r="C439" s="1" t="n">
        <v>46050</v>
      </c>
      <c r="D439" t="inlineStr">
        <is>
          <t>JÄMTLANDS LÄN</t>
        </is>
      </c>
      <c r="E439" t="inlineStr">
        <is>
          <t>ÖSTERSUND</t>
        </is>
      </c>
      <c r="G439" t="n">
        <v>3.4</v>
      </c>
      <c r="H439" t="n">
        <v>0</v>
      </c>
      <c r="I439" t="n">
        <v>0</v>
      </c>
      <c r="J439" t="n">
        <v>0</v>
      </c>
      <c r="K439" t="n">
        <v>0</v>
      </c>
      <c r="L439" t="n">
        <v>0</v>
      </c>
      <c r="M439" t="n">
        <v>0</v>
      </c>
      <c r="N439" t="n">
        <v>0</v>
      </c>
      <c r="O439" t="n">
        <v>0</v>
      </c>
      <c r="P439" t="n">
        <v>0</v>
      </c>
      <c r="Q439" t="n">
        <v>0</v>
      </c>
      <c r="R439" s="2" t="inlineStr"/>
    </row>
    <row r="440" ht="15" customHeight="1">
      <c r="A440" t="inlineStr">
        <is>
          <t>A 44798-2023</t>
        </is>
      </c>
      <c r="B440" s="1" t="n">
        <v>45190</v>
      </c>
      <c r="C440" s="1" t="n">
        <v>46050</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4936-2025</t>
        </is>
      </c>
      <c r="B441" s="1" t="n">
        <v>45688.69356481481</v>
      </c>
      <c r="C441" s="1" t="n">
        <v>46050</v>
      </c>
      <c r="D441" t="inlineStr">
        <is>
          <t>JÄMTLANDS LÄN</t>
        </is>
      </c>
      <c r="E441" t="inlineStr">
        <is>
          <t>ÖSTERSUND</t>
        </is>
      </c>
      <c r="G441" t="n">
        <v>8.1</v>
      </c>
      <c r="H441" t="n">
        <v>0</v>
      </c>
      <c r="I441" t="n">
        <v>0</v>
      </c>
      <c r="J441" t="n">
        <v>0</v>
      </c>
      <c r="K441" t="n">
        <v>0</v>
      </c>
      <c r="L441" t="n">
        <v>0</v>
      </c>
      <c r="M441" t="n">
        <v>0</v>
      </c>
      <c r="N441" t="n">
        <v>0</v>
      </c>
      <c r="O441" t="n">
        <v>0</v>
      </c>
      <c r="P441" t="n">
        <v>0</v>
      </c>
      <c r="Q441" t="n">
        <v>0</v>
      </c>
      <c r="R441" s="2" t="inlineStr"/>
    </row>
    <row r="442" ht="15" customHeight="1">
      <c r="A442" t="inlineStr">
        <is>
          <t>A 50428-2025</t>
        </is>
      </c>
      <c r="B442" s="1" t="n">
        <v>45944.67787037037</v>
      </c>
      <c r="C442" s="1" t="n">
        <v>46050</v>
      </c>
      <c r="D442" t="inlineStr">
        <is>
          <t>JÄMTLANDS LÄN</t>
        </is>
      </c>
      <c r="E442" t="inlineStr">
        <is>
          <t>ÖSTERSUND</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58996-2025</t>
        </is>
      </c>
      <c r="B443" s="1" t="n">
        <v>45987.67032407408</v>
      </c>
      <c r="C443" s="1" t="n">
        <v>46050</v>
      </c>
      <c r="D443" t="inlineStr">
        <is>
          <t>JÄMTLANDS LÄN</t>
        </is>
      </c>
      <c r="E443" t="inlineStr">
        <is>
          <t>ÖSTERSUND</t>
        </is>
      </c>
      <c r="G443" t="n">
        <v>4.3</v>
      </c>
      <c r="H443" t="n">
        <v>0</v>
      </c>
      <c r="I443" t="n">
        <v>0</v>
      </c>
      <c r="J443" t="n">
        <v>0</v>
      </c>
      <c r="K443" t="n">
        <v>0</v>
      </c>
      <c r="L443" t="n">
        <v>0</v>
      </c>
      <c r="M443" t="n">
        <v>0</v>
      </c>
      <c r="N443" t="n">
        <v>0</v>
      </c>
      <c r="O443" t="n">
        <v>0</v>
      </c>
      <c r="P443" t="n">
        <v>0</v>
      </c>
      <c r="Q443" t="n">
        <v>0</v>
      </c>
      <c r="R443" s="2" t="inlineStr"/>
    </row>
    <row r="444" ht="15" customHeight="1">
      <c r="A444" t="inlineStr">
        <is>
          <t>A 6877-2024</t>
        </is>
      </c>
      <c r="B444" s="1" t="n">
        <v>45342</v>
      </c>
      <c r="C444" s="1" t="n">
        <v>46050</v>
      </c>
      <c r="D444" t="inlineStr">
        <is>
          <t>JÄMTLANDS LÄN</t>
        </is>
      </c>
      <c r="E444" t="inlineStr">
        <is>
          <t>ÖSTERSUND</t>
        </is>
      </c>
      <c r="F444" t="inlineStr">
        <is>
          <t>Kyrkan</t>
        </is>
      </c>
      <c r="G444" t="n">
        <v>0.9</v>
      </c>
      <c r="H444" t="n">
        <v>0</v>
      </c>
      <c r="I444" t="n">
        <v>0</v>
      </c>
      <c r="J444" t="n">
        <v>0</v>
      </c>
      <c r="K444" t="n">
        <v>0</v>
      </c>
      <c r="L444" t="n">
        <v>0</v>
      </c>
      <c r="M444" t="n">
        <v>0</v>
      </c>
      <c r="N444" t="n">
        <v>0</v>
      </c>
      <c r="O444" t="n">
        <v>0</v>
      </c>
      <c r="P444" t="n">
        <v>0</v>
      </c>
      <c r="Q444" t="n">
        <v>0</v>
      </c>
      <c r="R444" s="2" t="inlineStr"/>
    </row>
    <row r="445" ht="15" customHeight="1">
      <c r="A445" t="inlineStr">
        <is>
          <t>A 9971-2025</t>
        </is>
      </c>
      <c r="B445" s="1" t="n">
        <v>45719.38630787037</v>
      </c>
      <c r="C445" s="1" t="n">
        <v>46050</v>
      </c>
      <c r="D445" t="inlineStr">
        <is>
          <t>JÄMTLANDS LÄN</t>
        </is>
      </c>
      <c r="E445" t="inlineStr">
        <is>
          <t>ÖSTERSUND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7941-2025</t>
        </is>
      </c>
      <c r="B446" s="1" t="n">
        <v>45707</v>
      </c>
      <c r="C446" s="1" t="n">
        <v>46050</v>
      </c>
      <c r="D446" t="inlineStr">
        <is>
          <t>JÄMTLANDS LÄN</t>
        </is>
      </c>
      <c r="E446" t="inlineStr">
        <is>
          <t>ÖSTERSUND</t>
        </is>
      </c>
      <c r="G446" t="n">
        <v>2</v>
      </c>
      <c r="H446" t="n">
        <v>0</v>
      </c>
      <c r="I446" t="n">
        <v>0</v>
      </c>
      <c r="J446" t="n">
        <v>0</v>
      </c>
      <c r="K446" t="n">
        <v>0</v>
      </c>
      <c r="L446" t="n">
        <v>0</v>
      </c>
      <c r="M446" t="n">
        <v>0</v>
      </c>
      <c r="N446" t="n">
        <v>0</v>
      </c>
      <c r="O446" t="n">
        <v>0</v>
      </c>
      <c r="P446" t="n">
        <v>0</v>
      </c>
      <c r="Q446" t="n">
        <v>0</v>
      </c>
      <c r="R446" s="2" t="inlineStr"/>
    </row>
    <row r="447" ht="15" customHeight="1">
      <c r="A447" t="inlineStr">
        <is>
          <t>A 6351-2024</t>
        </is>
      </c>
      <c r="B447" s="1" t="n">
        <v>45338</v>
      </c>
      <c r="C447" s="1" t="n">
        <v>46050</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52247-2025</t>
        </is>
      </c>
      <c r="B448" s="1" t="n">
        <v>45953.47575231481</v>
      </c>
      <c r="C448" s="1" t="n">
        <v>46050</v>
      </c>
      <c r="D448" t="inlineStr">
        <is>
          <t>JÄMTLANDS LÄN</t>
        </is>
      </c>
      <c r="E448" t="inlineStr">
        <is>
          <t>ÖSTERSUND</t>
        </is>
      </c>
      <c r="G448" t="n">
        <v>8.4</v>
      </c>
      <c r="H448" t="n">
        <v>0</v>
      </c>
      <c r="I448" t="n">
        <v>0</v>
      </c>
      <c r="J448" t="n">
        <v>0</v>
      </c>
      <c r="K448" t="n">
        <v>0</v>
      </c>
      <c r="L448" t="n">
        <v>0</v>
      </c>
      <c r="M448" t="n">
        <v>0</v>
      </c>
      <c r="N448" t="n">
        <v>0</v>
      </c>
      <c r="O448" t="n">
        <v>0</v>
      </c>
      <c r="P448" t="n">
        <v>0</v>
      </c>
      <c r="Q448" t="n">
        <v>0</v>
      </c>
      <c r="R448" s="2" t="inlineStr"/>
    </row>
    <row r="449" ht="15" customHeight="1">
      <c r="A449" t="inlineStr">
        <is>
          <t>A 52286-2025</t>
        </is>
      </c>
      <c r="B449" s="1" t="n">
        <v>45953.58497685185</v>
      </c>
      <c r="C449" s="1" t="n">
        <v>46050</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3749-2023</t>
        </is>
      </c>
      <c r="B450" s="1" t="n">
        <v>44949</v>
      </c>
      <c r="C450" s="1" t="n">
        <v>46050</v>
      </c>
      <c r="D450" t="inlineStr">
        <is>
          <t>JÄMTLANDS LÄN</t>
        </is>
      </c>
      <c r="E450" t="inlineStr">
        <is>
          <t>ÖSTERSUND</t>
        </is>
      </c>
      <c r="G450" t="n">
        <v>0.2</v>
      </c>
      <c r="H450" t="n">
        <v>0</v>
      </c>
      <c r="I450" t="n">
        <v>0</v>
      </c>
      <c r="J450" t="n">
        <v>0</v>
      </c>
      <c r="K450" t="n">
        <v>0</v>
      </c>
      <c r="L450" t="n">
        <v>0</v>
      </c>
      <c r="M450" t="n">
        <v>0</v>
      </c>
      <c r="N450" t="n">
        <v>0</v>
      </c>
      <c r="O450" t="n">
        <v>0</v>
      </c>
      <c r="P450" t="n">
        <v>0</v>
      </c>
      <c r="Q450" t="n">
        <v>0</v>
      </c>
      <c r="R450" s="2" t="inlineStr"/>
    </row>
    <row r="451" ht="15" customHeight="1">
      <c r="A451" t="inlineStr">
        <is>
          <t>A 52280-2025</t>
        </is>
      </c>
      <c r="B451" s="1" t="n">
        <v>45953.56976851852</v>
      </c>
      <c r="C451" s="1" t="n">
        <v>46050</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3255-2025</t>
        </is>
      </c>
      <c r="B452" s="1" t="n">
        <v>45679.55256944444</v>
      </c>
      <c r="C452" s="1" t="n">
        <v>46050</v>
      </c>
      <c r="D452" t="inlineStr">
        <is>
          <t>JÄMTLANDS LÄN</t>
        </is>
      </c>
      <c r="E452" t="inlineStr">
        <is>
          <t>ÖSTERSUND</t>
        </is>
      </c>
      <c r="F452" t="inlineStr">
        <is>
          <t>SCA</t>
        </is>
      </c>
      <c r="G452" t="n">
        <v>16.7</v>
      </c>
      <c r="H452" t="n">
        <v>0</v>
      </c>
      <c r="I452" t="n">
        <v>0</v>
      </c>
      <c r="J452" t="n">
        <v>0</v>
      </c>
      <c r="K452" t="n">
        <v>0</v>
      </c>
      <c r="L452" t="n">
        <v>0</v>
      </c>
      <c r="M452" t="n">
        <v>0</v>
      </c>
      <c r="N452" t="n">
        <v>0</v>
      </c>
      <c r="O452" t="n">
        <v>0</v>
      </c>
      <c r="P452" t="n">
        <v>0</v>
      </c>
      <c r="Q452" t="n">
        <v>0</v>
      </c>
      <c r="R452" s="2" t="inlineStr"/>
    </row>
    <row r="453" ht="15" customHeight="1">
      <c r="A453" t="inlineStr">
        <is>
          <t>A 52003-2025</t>
        </is>
      </c>
      <c r="B453" s="1" t="n">
        <v>45952.5909375</v>
      </c>
      <c r="C453" s="1" t="n">
        <v>46050</v>
      </c>
      <c r="D453" t="inlineStr">
        <is>
          <t>JÄMTLANDS LÄN</t>
        </is>
      </c>
      <c r="E453" t="inlineStr">
        <is>
          <t>ÖSTERSUND</t>
        </is>
      </c>
      <c r="G453" t="n">
        <v>5.7</v>
      </c>
      <c r="H453" t="n">
        <v>0</v>
      </c>
      <c r="I453" t="n">
        <v>0</v>
      </c>
      <c r="J453" t="n">
        <v>0</v>
      </c>
      <c r="K453" t="n">
        <v>0</v>
      </c>
      <c r="L453" t="n">
        <v>0</v>
      </c>
      <c r="M453" t="n">
        <v>0</v>
      </c>
      <c r="N453" t="n">
        <v>0</v>
      </c>
      <c r="O453" t="n">
        <v>0</v>
      </c>
      <c r="P453" t="n">
        <v>0</v>
      </c>
      <c r="Q453" t="n">
        <v>0</v>
      </c>
      <c r="R453" s="2" t="inlineStr"/>
    </row>
    <row r="454" ht="15" customHeight="1">
      <c r="A454" t="inlineStr">
        <is>
          <t>A 58364-2024</t>
        </is>
      </c>
      <c r="B454" s="1" t="n">
        <v>45632.68814814815</v>
      </c>
      <c r="C454" s="1" t="n">
        <v>46050</v>
      </c>
      <c r="D454" t="inlineStr">
        <is>
          <t>JÄMTLANDS LÄN</t>
        </is>
      </c>
      <c r="E454" t="inlineStr">
        <is>
          <t>ÖSTERSUND</t>
        </is>
      </c>
      <c r="G454" t="n">
        <v>5.5</v>
      </c>
      <c r="H454" t="n">
        <v>0</v>
      </c>
      <c r="I454" t="n">
        <v>0</v>
      </c>
      <c r="J454" t="n">
        <v>0</v>
      </c>
      <c r="K454" t="n">
        <v>0</v>
      </c>
      <c r="L454" t="n">
        <v>0</v>
      </c>
      <c r="M454" t="n">
        <v>0</v>
      </c>
      <c r="N454" t="n">
        <v>0</v>
      </c>
      <c r="O454" t="n">
        <v>0</v>
      </c>
      <c r="P454" t="n">
        <v>0</v>
      </c>
      <c r="Q454" t="n">
        <v>0</v>
      </c>
      <c r="R454" s="2" t="inlineStr"/>
    </row>
    <row r="455" ht="15" customHeight="1">
      <c r="A455" t="inlineStr">
        <is>
          <t>A 52935-2025</t>
        </is>
      </c>
      <c r="B455" s="1" t="n">
        <v>45957.62978009259</v>
      </c>
      <c r="C455" s="1" t="n">
        <v>46050</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33801-2022</t>
        </is>
      </c>
      <c r="B456" s="1" t="n">
        <v>44790</v>
      </c>
      <c r="C456" s="1" t="n">
        <v>46050</v>
      </c>
      <c r="D456" t="inlineStr">
        <is>
          <t>JÄMTLANDS LÄN</t>
        </is>
      </c>
      <c r="E456" t="inlineStr">
        <is>
          <t>ÖSTERSUND</t>
        </is>
      </c>
      <c r="G456" t="n">
        <v>7.6</v>
      </c>
      <c r="H456" t="n">
        <v>0</v>
      </c>
      <c r="I456" t="n">
        <v>0</v>
      </c>
      <c r="J456" t="n">
        <v>0</v>
      </c>
      <c r="K456" t="n">
        <v>0</v>
      </c>
      <c r="L456" t="n">
        <v>0</v>
      </c>
      <c r="M456" t="n">
        <v>0</v>
      </c>
      <c r="N456" t="n">
        <v>0</v>
      </c>
      <c r="O456" t="n">
        <v>0</v>
      </c>
      <c r="P456" t="n">
        <v>0</v>
      </c>
      <c r="Q456" t="n">
        <v>0</v>
      </c>
      <c r="R456" s="2" t="inlineStr"/>
    </row>
    <row r="457" ht="15" customHeight="1">
      <c r="A457" t="inlineStr">
        <is>
          <t>A 3997-2025</t>
        </is>
      </c>
      <c r="B457" s="1" t="n">
        <v>45684.56725694444</v>
      </c>
      <c r="C457" s="1" t="n">
        <v>46050</v>
      </c>
      <c r="D457" t="inlineStr">
        <is>
          <t>JÄMTLANDS LÄN</t>
        </is>
      </c>
      <c r="E457" t="inlineStr">
        <is>
          <t>ÖSTERSUND</t>
        </is>
      </c>
      <c r="G457" t="n">
        <v>1.9</v>
      </c>
      <c r="H457" t="n">
        <v>0</v>
      </c>
      <c r="I457" t="n">
        <v>0</v>
      </c>
      <c r="J457" t="n">
        <v>0</v>
      </c>
      <c r="K457" t="n">
        <v>0</v>
      </c>
      <c r="L457" t="n">
        <v>0</v>
      </c>
      <c r="M457" t="n">
        <v>0</v>
      </c>
      <c r="N457" t="n">
        <v>0</v>
      </c>
      <c r="O457" t="n">
        <v>0</v>
      </c>
      <c r="P457" t="n">
        <v>0</v>
      </c>
      <c r="Q457" t="n">
        <v>0</v>
      </c>
      <c r="R457" s="2" t="inlineStr"/>
    </row>
    <row r="458" ht="15" customHeight="1">
      <c r="A458" t="inlineStr">
        <is>
          <t>A 52620-2025</t>
        </is>
      </c>
      <c r="B458" s="1" t="n">
        <v>45954.68207175926</v>
      </c>
      <c r="C458" s="1" t="n">
        <v>46050</v>
      </c>
      <c r="D458" t="inlineStr">
        <is>
          <t>JÄMTLANDS LÄN</t>
        </is>
      </c>
      <c r="E458" t="inlineStr">
        <is>
          <t>ÖSTERSUND</t>
        </is>
      </c>
      <c r="G458" t="n">
        <v>4.6</v>
      </c>
      <c r="H458" t="n">
        <v>0</v>
      </c>
      <c r="I458" t="n">
        <v>0</v>
      </c>
      <c r="J458" t="n">
        <v>0</v>
      </c>
      <c r="K458" t="n">
        <v>0</v>
      </c>
      <c r="L458" t="n">
        <v>0</v>
      </c>
      <c r="M458" t="n">
        <v>0</v>
      </c>
      <c r="N458" t="n">
        <v>0</v>
      </c>
      <c r="O458" t="n">
        <v>0</v>
      </c>
      <c r="P458" t="n">
        <v>0</v>
      </c>
      <c r="Q458" t="n">
        <v>0</v>
      </c>
      <c r="R458" s="2" t="inlineStr"/>
    </row>
    <row r="459" ht="15" customHeight="1">
      <c r="A459" t="inlineStr">
        <is>
          <t>A 64645-2021</t>
        </is>
      </c>
      <c r="B459" s="1" t="n">
        <v>44511.94629629629</v>
      </c>
      <c r="C459" s="1" t="n">
        <v>46050</v>
      </c>
      <c r="D459" t="inlineStr">
        <is>
          <t>JÄMTLANDS LÄN</t>
        </is>
      </c>
      <c r="E459" t="inlineStr">
        <is>
          <t>ÖSTERSUND</t>
        </is>
      </c>
      <c r="G459" t="n">
        <v>3.2</v>
      </c>
      <c r="H459" t="n">
        <v>0</v>
      </c>
      <c r="I459" t="n">
        <v>0</v>
      </c>
      <c r="J459" t="n">
        <v>0</v>
      </c>
      <c r="K459" t="n">
        <v>0</v>
      </c>
      <c r="L459" t="n">
        <v>0</v>
      </c>
      <c r="M459" t="n">
        <v>0</v>
      </c>
      <c r="N459" t="n">
        <v>0</v>
      </c>
      <c r="O459" t="n">
        <v>0</v>
      </c>
      <c r="P459" t="n">
        <v>0</v>
      </c>
      <c r="Q459" t="n">
        <v>0</v>
      </c>
      <c r="R459" s="2" t="inlineStr"/>
    </row>
    <row r="460" ht="15" customHeight="1">
      <c r="A460" t="inlineStr">
        <is>
          <t>A 52975-2025</t>
        </is>
      </c>
      <c r="B460" s="1" t="n">
        <v>45957.67876157408</v>
      </c>
      <c r="C460" s="1" t="n">
        <v>46050</v>
      </c>
      <c r="D460" t="inlineStr">
        <is>
          <t>JÄMTLANDS LÄN</t>
        </is>
      </c>
      <c r="E460" t="inlineStr">
        <is>
          <t>ÖSTERSUND</t>
        </is>
      </c>
      <c r="F460" t="inlineStr">
        <is>
          <t>SCA</t>
        </is>
      </c>
      <c r="G460" t="n">
        <v>7.5</v>
      </c>
      <c r="H460" t="n">
        <v>0</v>
      </c>
      <c r="I460" t="n">
        <v>0</v>
      </c>
      <c r="J460" t="n">
        <v>0</v>
      </c>
      <c r="K460" t="n">
        <v>0</v>
      </c>
      <c r="L460" t="n">
        <v>0</v>
      </c>
      <c r="M460" t="n">
        <v>0</v>
      </c>
      <c r="N460" t="n">
        <v>0</v>
      </c>
      <c r="O460" t="n">
        <v>0</v>
      </c>
      <c r="P460" t="n">
        <v>0</v>
      </c>
      <c r="Q460" t="n">
        <v>0</v>
      </c>
      <c r="R460" s="2" t="inlineStr"/>
    </row>
    <row r="461" ht="15" customHeight="1">
      <c r="A461" t="inlineStr">
        <is>
          <t>A 53054-2025</t>
        </is>
      </c>
      <c r="B461" s="1" t="n">
        <v>45958.36498842593</v>
      </c>
      <c r="C461" s="1" t="n">
        <v>46050</v>
      </c>
      <c r="D461" t="inlineStr">
        <is>
          <t>JÄMTLANDS LÄN</t>
        </is>
      </c>
      <c r="E461" t="inlineStr">
        <is>
          <t>ÖSTERSUND</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53057-2025</t>
        </is>
      </c>
      <c r="B462" s="1" t="n">
        <v>45958.36537037037</v>
      </c>
      <c r="C462" s="1" t="n">
        <v>46050</v>
      </c>
      <c r="D462" t="inlineStr">
        <is>
          <t>JÄMTLANDS LÄN</t>
        </is>
      </c>
      <c r="E462" t="inlineStr">
        <is>
          <t>ÖSTERSUND</t>
        </is>
      </c>
      <c r="F462" t="inlineStr">
        <is>
          <t>SCA</t>
        </is>
      </c>
      <c r="G462" t="n">
        <v>47.8</v>
      </c>
      <c r="H462" t="n">
        <v>0</v>
      </c>
      <c r="I462" t="n">
        <v>0</v>
      </c>
      <c r="J462" t="n">
        <v>0</v>
      </c>
      <c r="K462" t="n">
        <v>0</v>
      </c>
      <c r="L462" t="n">
        <v>0</v>
      </c>
      <c r="M462" t="n">
        <v>0</v>
      </c>
      <c r="N462" t="n">
        <v>0</v>
      </c>
      <c r="O462" t="n">
        <v>0</v>
      </c>
      <c r="P462" t="n">
        <v>0</v>
      </c>
      <c r="Q462" t="n">
        <v>0</v>
      </c>
      <c r="R462" s="2" t="inlineStr"/>
    </row>
    <row r="463" ht="15" customHeight="1">
      <c r="A463" t="inlineStr">
        <is>
          <t>A 846-2024</t>
        </is>
      </c>
      <c r="B463" s="1" t="n">
        <v>45300</v>
      </c>
      <c r="C463" s="1" t="n">
        <v>46050</v>
      </c>
      <c r="D463" t="inlineStr">
        <is>
          <t>JÄMTLANDS LÄN</t>
        </is>
      </c>
      <c r="E463" t="inlineStr">
        <is>
          <t>ÖSTERSUND</t>
        </is>
      </c>
      <c r="G463" t="n">
        <v>2.8</v>
      </c>
      <c r="H463" t="n">
        <v>0</v>
      </c>
      <c r="I463" t="n">
        <v>0</v>
      </c>
      <c r="J463" t="n">
        <v>0</v>
      </c>
      <c r="K463" t="n">
        <v>0</v>
      </c>
      <c r="L463" t="n">
        <v>0</v>
      </c>
      <c r="M463" t="n">
        <v>0</v>
      </c>
      <c r="N463" t="n">
        <v>0</v>
      </c>
      <c r="O463" t="n">
        <v>0</v>
      </c>
      <c r="P463" t="n">
        <v>0</v>
      </c>
      <c r="Q463" t="n">
        <v>0</v>
      </c>
      <c r="R463" s="2" t="inlineStr"/>
    </row>
    <row r="464" ht="15" customHeight="1">
      <c r="A464" t="inlineStr">
        <is>
          <t>A 12102-2025</t>
        </is>
      </c>
      <c r="B464" s="1" t="n">
        <v>45729.3425</v>
      </c>
      <c r="C464" s="1" t="n">
        <v>46050</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7233-2024</t>
        </is>
      </c>
      <c r="B465" s="1" t="n">
        <v>45344</v>
      </c>
      <c r="C465" s="1" t="n">
        <v>46050</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45533-2025</t>
        </is>
      </c>
      <c r="B466" s="1" t="n">
        <v>45922</v>
      </c>
      <c r="C466" s="1" t="n">
        <v>46050</v>
      </c>
      <c r="D466" t="inlineStr">
        <is>
          <t>JÄMTLANDS LÄN</t>
        </is>
      </c>
      <c r="E466" t="inlineStr">
        <is>
          <t>ÖSTERSUND</t>
        </is>
      </c>
      <c r="F466" t="inlineStr">
        <is>
          <t>Övriga statliga verk och myndigheter</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61791-2023</t>
        </is>
      </c>
      <c r="B467" s="1" t="n">
        <v>45265.95795138889</v>
      </c>
      <c r="C467" s="1" t="n">
        <v>46050</v>
      </c>
      <c r="D467" t="inlineStr">
        <is>
          <t>JÄMTLANDS LÄN</t>
        </is>
      </c>
      <c r="E467" t="inlineStr">
        <is>
          <t>ÖSTERSUND</t>
        </is>
      </c>
      <c r="F467" t="inlineStr">
        <is>
          <t>SCA</t>
        </is>
      </c>
      <c r="G467" t="n">
        <v>11.4</v>
      </c>
      <c r="H467" t="n">
        <v>0</v>
      </c>
      <c r="I467" t="n">
        <v>0</v>
      </c>
      <c r="J467" t="n">
        <v>0</v>
      </c>
      <c r="K467" t="n">
        <v>0</v>
      </c>
      <c r="L467" t="n">
        <v>0</v>
      </c>
      <c r="M467" t="n">
        <v>0</v>
      </c>
      <c r="N467" t="n">
        <v>0</v>
      </c>
      <c r="O467" t="n">
        <v>0</v>
      </c>
      <c r="P467" t="n">
        <v>0</v>
      </c>
      <c r="Q467" t="n">
        <v>0</v>
      </c>
      <c r="R467" s="2" t="inlineStr"/>
    </row>
    <row r="468" ht="15" customHeight="1">
      <c r="A468" t="inlineStr">
        <is>
          <t>A 47022-2024</t>
        </is>
      </c>
      <c r="B468" s="1" t="n">
        <v>45586.40660879629</v>
      </c>
      <c r="C468" s="1" t="n">
        <v>46050</v>
      </c>
      <c r="D468" t="inlineStr">
        <is>
          <t>JÄMTLANDS LÄN</t>
        </is>
      </c>
      <c r="E468" t="inlineStr">
        <is>
          <t>ÖSTERSUND</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54133-2025</t>
        </is>
      </c>
      <c r="B469" s="1" t="n">
        <v>45964.46944444445</v>
      </c>
      <c r="C469" s="1" t="n">
        <v>46050</v>
      </c>
      <c r="D469" t="inlineStr">
        <is>
          <t>JÄMTLANDS LÄN</t>
        </is>
      </c>
      <c r="E469" t="inlineStr">
        <is>
          <t>ÖSTERSUND</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12-2023</t>
        </is>
      </c>
      <c r="B470" s="1" t="n">
        <v>44927.88021990741</v>
      </c>
      <c r="C470" s="1" t="n">
        <v>46050</v>
      </c>
      <c r="D470" t="inlineStr">
        <is>
          <t>JÄMTLANDS LÄN</t>
        </is>
      </c>
      <c r="E470" t="inlineStr">
        <is>
          <t>ÖSTERSUND</t>
        </is>
      </c>
      <c r="G470" t="n">
        <v>4.7</v>
      </c>
      <c r="H470" t="n">
        <v>0</v>
      </c>
      <c r="I470" t="n">
        <v>0</v>
      </c>
      <c r="J470" t="n">
        <v>0</v>
      </c>
      <c r="K470" t="n">
        <v>0</v>
      </c>
      <c r="L470" t="n">
        <v>0</v>
      </c>
      <c r="M470" t="n">
        <v>0</v>
      </c>
      <c r="N470" t="n">
        <v>0</v>
      </c>
      <c r="O470" t="n">
        <v>0</v>
      </c>
      <c r="P470" t="n">
        <v>0</v>
      </c>
      <c r="Q470" t="n">
        <v>0</v>
      </c>
      <c r="R470" s="2" t="inlineStr"/>
    </row>
    <row r="471" ht="15" customHeight="1">
      <c r="A471" t="inlineStr">
        <is>
          <t>A 54528-2025</t>
        </is>
      </c>
      <c r="B471" s="1" t="n">
        <v>45965.63496527778</v>
      </c>
      <c r="C471" s="1" t="n">
        <v>46050</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64309-2023</t>
        </is>
      </c>
      <c r="B472" s="1" t="n">
        <v>45280</v>
      </c>
      <c r="C472" s="1" t="n">
        <v>46050</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64314-2023</t>
        </is>
      </c>
      <c r="B473" s="1" t="n">
        <v>45280</v>
      </c>
      <c r="C473" s="1" t="n">
        <v>46050</v>
      </c>
      <c r="D473" t="inlineStr">
        <is>
          <t>JÄMTLANDS LÄN</t>
        </is>
      </c>
      <c r="E473" t="inlineStr">
        <is>
          <t>ÖSTERSUND</t>
        </is>
      </c>
      <c r="G473" t="n">
        <v>0.6</v>
      </c>
      <c r="H473" t="n">
        <v>0</v>
      </c>
      <c r="I473" t="n">
        <v>0</v>
      </c>
      <c r="J473" t="n">
        <v>0</v>
      </c>
      <c r="K473" t="n">
        <v>0</v>
      </c>
      <c r="L473" t="n">
        <v>0</v>
      </c>
      <c r="M473" t="n">
        <v>0</v>
      </c>
      <c r="N473" t="n">
        <v>0</v>
      </c>
      <c r="O473" t="n">
        <v>0</v>
      </c>
      <c r="P473" t="n">
        <v>0</v>
      </c>
      <c r="Q473" t="n">
        <v>0</v>
      </c>
      <c r="R473" s="2" t="inlineStr"/>
    </row>
    <row r="474" ht="15" customHeight="1">
      <c r="A474" t="inlineStr">
        <is>
          <t>A 54965-2025</t>
        </is>
      </c>
      <c r="B474" s="1" t="n">
        <v>45967.49037037037</v>
      </c>
      <c r="C474" s="1" t="n">
        <v>46050</v>
      </c>
      <c r="D474" t="inlineStr">
        <is>
          <t>JÄMTLANDS LÄN</t>
        </is>
      </c>
      <c r="E474" t="inlineStr">
        <is>
          <t>ÖSTERSUND</t>
        </is>
      </c>
      <c r="G474" t="n">
        <v>4.3</v>
      </c>
      <c r="H474" t="n">
        <v>0</v>
      </c>
      <c r="I474" t="n">
        <v>0</v>
      </c>
      <c r="J474" t="n">
        <v>0</v>
      </c>
      <c r="K474" t="n">
        <v>0</v>
      </c>
      <c r="L474" t="n">
        <v>0</v>
      </c>
      <c r="M474" t="n">
        <v>0</v>
      </c>
      <c r="N474" t="n">
        <v>0</v>
      </c>
      <c r="O474" t="n">
        <v>0</v>
      </c>
      <c r="P474" t="n">
        <v>0</v>
      </c>
      <c r="Q474" t="n">
        <v>0</v>
      </c>
      <c r="R474" s="2" t="inlineStr"/>
    </row>
    <row r="475" ht="15" customHeight="1">
      <c r="A475" t="inlineStr">
        <is>
          <t>A 27124-2023</t>
        </is>
      </c>
      <c r="B475" s="1" t="n">
        <v>45096</v>
      </c>
      <c r="C475" s="1" t="n">
        <v>46050</v>
      </c>
      <c r="D475" t="inlineStr">
        <is>
          <t>JÄMTLANDS LÄN</t>
        </is>
      </c>
      <c r="E475" t="inlineStr">
        <is>
          <t>ÖSTERSUND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62622-2025</t>
        </is>
      </c>
      <c r="B476" s="1" t="n">
        <v>46008.34438657408</v>
      </c>
      <c r="C476" s="1" t="n">
        <v>46050</v>
      </c>
      <c r="D476" t="inlineStr">
        <is>
          <t>JÄMTLANDS LÄN</t>
        </is>
      </c>
      <c r="E476" t="inlineStr">
        <is>
          <t>ÖSTERSUND</t>
        </is>
      </c>
      <c r="G476" t="n">
        <v>7.4</v>
      </c>
      <c r="H476" t="n">
        <v>0</v>
      </c>
      <c r="I476" t="n">
        <v>0</v>
      </c>
      <c r="J476" t="n">
        <v>0</v>
      </c>
      <c r="K476" t="n">
        <v>0</v>
      </c>
      <c r="L476" t="n">
        <v>0</v>
      </c>
      <c r="M476" t="n">
        <v>0</v>
      </c>
      <c r="N476" t="n">
        <v>0</v>
      </c>
      <c r="O476" t="n">
        <v>0</v>
      </c>
      <c r="P476" t="n">
        <v>0</v>
      </c>
      <c r="Q476" t="n">
        <v>0</v>
      </c>
      <c r="R476" s="2" t="inlineStr"/>
    </row>
    <row r="477" ht="15" customHeight="1">
      <c r="A477" t="inlineStr">
        <is>
          <t>A 62623-2025</t>
        </is>
      </c>
      <c r="B477" s="1" t="n">
        <v>46008.34443287037</v>
      </c>
      <c r="C477" s="1" t="n">
        <v>46050</v>
      </c>
      <c r="D477" t="inlineStr">
        <is>
          <t>JÄMTLANDS LÄN</t>
        </is>
      </c>
      <c r="E477" t="inlineStr">
        <is>
          <t>ÖSTERSUND</t>
        </is>
      </c>
      <c r="G477" t="n">
        <v>7.9</v>
      </c>
      <c r="H477" t="n">
        <v>0</v>
      </c>
      <c r="I477" t="n">
        <v>0</v>
      </c>
      <c r="J477" t="n">
        <v>0</v>
      </c>
      <c r="K477" t="n">
        <v>0</v>
      </c>
      <c r="L477" t="n">
        <v>0</v>
      </c>
      <c r="M477" t="n">
        <v>0</v>
      </c>
      <c r="N477" t="n">
        <v>0</v>
      </c>
      <c r="O477" t="n">
        <v>0</v>
      </c>
      <c r="P477" t="n">
        <v>0</v>
      </c>
      <c r="Q477" t="n">
        <v>0</v>
      </c>
      <c r="R477" s="2" t="inlineStr"/>
    </row>
    <row r="478" ht="15" customHeight="1">
      <c r="A478" t="inlineStr">
        <is>
          <t>A 16336-2025</t>
        </is>
      </c>
      <c r="B478" s="1" t="n">
        <v>45751.36519675926</v>
      </c>
      <c r="C478" s="1" t="n">
        <v>46050</v>
      </c>
      <c r="D478" t="inlineStr">
        <is>
          <t>JÄMTLANDS LÄN</t>
        </is>
      </c>
      <c r="E478" t="inlineStr">
        <is>
          <t>ÖSTERSUND</t>
        </is>
      </c>
      <c r="G478" t="n">
        <v>0.9</v>
      </c>
      <c r="H478" t="n">
        <v>0</v>
      </c>
      <c r="I478" t="n">
        <v>0</v>
      </c>
      <c r="J478" t="n">
        <v>0</v>
      </c>
      <c r="K478" t="n">
        <v>0</v>
      </c>
      <c r="L478" t="n">
        <v>0</v>
      </c>
      <c r="M478" t="n">
        <v>0</v>
      </c>
      <c r="N478" t="n">
        <v>0</v>
      </c>
      <c r="O478" t="n">
        <v>0</v>
      </c>
      <c r="P478" t="n">
        <v>0</v>
      </c>
      <c r="Q478" t="n">
        <v>0</v>
      </c>
      <c r="R478" s="2" t="inlineStr"/>
    </row>
    <row r="479" ht="15" customHeight="1">
      <c r="A479" t="inlineStr">
        <is>
          <t>A 54667-2025</t>
        </is>
      </c>
      <c r="B479" s="1" t="n">
        <v>45966.4077662037</v>
      </c>
      <c r="C479" s="1" t="n">
        <v>46050</v>
      </c>
      <c r="D479" t="inlineStr">
        <is>
          <t>JÄMTLANDS LÄN</t>
        </is>
      </c>
      <c r="E479" t="inlineStr">
        <is>
          <t>ÖSTERSUND</t>
        </is>
      </c>
      <c r="G479" t="n">
        <v>6.8</v>
      </c>
      <c r="H479" t="n">
        <v>0</v>
      </c>
      <c r="I479" t="n">
        <v>0</v>
      </c>
      <c r="J479" t="n">
        <v>0</v>
      </c>
      <c r="K479" t="n">
        <v>0</v>
      </c>
      <c r="L479" t="n">
        <v>0</v>
      </c>
      <c r="M479" t="n">
        <v>0</v>
      </c>
      <c r="N479" t="n">
        <v>0</v>
      </c>
      <c r="O479" t="n">
        <v>0</v>
      </c>
      <c r="P479" t="n">
        <v>0</v>
      </c>
      <c r="Q479" t="n">
        <v>0</v>
      </c>
      <c r="R479" s="2" t="inlineStr"/>
    </row>
    <row r="480" ht="15" customHeight="1">
      <c r="A480" t="inlineStr">
        <is>
          <t>A 54931-2025</t>
        </is>
      </c>
      <c r="B480" s="1" t="n">
        <v>45967.42462962963</v>
      </c>
      <c r="C480" s="1" t="n">
        <v>46050</v>
      </c>
      <c r="D480" t="inlineStr">
        <is>
          <t>JÄMTLANDS LÄN</t>
        </is>
      </c>
      <c r="E480" t="inlineStr">
        <is>
          <t>ÖSTERSUND</t>
        </is>
      </c>
      <c r="G480" t="n">
        <v>7.1</v>
      </c>
      <c r="H480" t="n">
        <v>0</v>
      </c>
      <c r="I480" t="n">
        <v>0</v>
      </c>
      <c r="J480" t="n">
        <v>0</v>
      </c>
      <c r="K480" t="n">
        <v>0</v>
      </c>
      <c r="L480" t="n">
        <v>0</v>
      </c>
      <c r="M480" t="n">
        <v>0</v>
      </c>
      <c r="N480" t="n">
        <v>0</v>
      </c>
      <c r="O480" t="n">
        <v>0</v>
      </c>
      <c r="P480" t="n">
        <v>0</v>
      </c>
      <c r="Q480" t="n">
        <v>0</v>
      </c>
      <c r="R480" s="2" t="inlineStr"/>
    </row>
    <row r="481" ht="15" customHeight="1">
      <c r="A481" t="inlineStr">
        <is>
          <t>A 17066-2024</t>
        </is>
      </c>
      <c r="B481" s="1" t="n">
        <v>45412.46636574074</v>
      </c>
      <c r="C481" s="1" t="n">
        <v>46050</v>
      </c>
      <c r="D481" t="inlineStr">
        <is>
          <t>JÄMTLANDS LÄN</t>
        </is>
      </c>
      <c r="E481" t="inlineStr">
        <is>
          <t>ÖSTERSUND</t>
        </is>
      </c>
      <c r="G481" t="n">
        <v>4.2</v>
      </c>
      <c r="H481" t="n">
        <v>0</v>
      </c>
      <c r="I481" t="n">
        <v>0</v>
      </c>
      <c r="J481" t="n">
        <v>0</v>
      </c>
      <c r="K481" t="n">
        <v>0</v>
      </c>
      <c r="L481" t="n">
        <v>0</v>
      </c>
      <c r="M481" t="n">
        <v>0</v>
      </c>
      <c r="N481" t="n">
        <v>0</v>
      </c>
      <c r="O481" t="n">
        <v>0</v>
      </c>
      <c r="P481" t="n">
        <v>0</v>
      </c>
      <c r="Q481" t="n">
        <v>0</v>
      </c>
      <c r="R481" s="2" t="inlineStr"/>
    </row>
    <row r="482" ht="15" customHeight="1">
      <c r="A482" t="inlineStr">
        <is>
          <t>A 63195-2025</t>
        </is>
      </c>
      <c r="B482" s="1" t="n">
        <v>46010.45680555556</v>
      </c>
      <c r="C482" s="1" t="n">
        <v>46050</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63516-2025</t>
        </is>
      </c>
      <c r="B483" s="1" t="n">
        <v>46013.50993055556</v>
      </c>
      <c r="C483" s="1" t="n">
        <v>46050</v>
      </c>
      <c r="D483" t="inlineStr">
        <is>
          <t>JÄMTLANDS LÄN</t>
        </is>
      </c>
      <c r="E483" t="inlineStr">
        <is>
          <t>ÖSTERSUND</t>
        </is>
      </c>
      <c r="G483" t="n">
        <v>4.8</v>
      </c>
      <c r="H483" t="n">
        <v>0</v>
      </c>
      <c r="I483" t="n">
        <v>0</v>
      </c>
      <c r="J483" t="n">
        <v>0</v>
      </c>
      <c r="K483" t="n">
        <v>0</v>
      </c>
      <c r="L483" t="n">
        <v>0</v>
      </c>
      <c r="M483" t="n">
        <v>0</v>
      </c>
      <c r="N483" t="n">
        <v>0</v>
      </c>
      <c r="O483" t="n">
        <v>0</v>
      </c>
      <c r="P483" t="n">
        <v>0</v>
      </c>
      <c r="Q483" t="n">
        <v>0</v>
      </c>
      <c r="R483" s="2" t="inlineStr"/>
    </row>
    <row r="484" ht="15" customHeight="1">
      <c r="A484" t="inlineStr">
        <is>
          <t>A 61449-2024</t>
        </is>
      </c>
      <c r="B484" s="1" t="n">
        <v>45646.48988425926</v>
      </c>
      <c r="C484" s="1" t="n">
        <v>46050</v>
      </c>
      <c r="D484" t="inlineStr">
        <is>
          <t>JÄMTLANDS LÄN</t>
        </is>
      </c>
      <c r="E484" t="inlineStr">
        <is>
          <t>ÖSTERSUND</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61450-2024</t>
        </is>
      </c>
      <c r="B485" s="1" t="n">
        <v>45646.49012731481</v>
      </c>
      <c r="C485" s="1" t="n">
        <v>46050</v>
      </c>
      <c r="D485" t="inlineStr">
        <is>
          <t>JÄMTLANDS LÄN</t>
        </is>
      </c>
      <c r="E485" t="inlineStr">
        <is>
          <t>ÖSTERSUND</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61451-2024</t>
        </is>
      </c>
      <c r="B486" s="1" t="n">
        <v>45646.49017361111</v>
      </c>
      <c r="C486" s="1" t="n">
        <v>46050</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8261-2025</t>
        </is>
      </c>
      <c r="B487" s="1" t="n">
        <v>45708.50256944444</v>
      </c>
      <c r="C487" s="1" t="n">
        <v>46050</v>
      </c>
      <c r="D487" t="inlineStr">
        <is>
          <t>JÄMTLANDS LÄN</t>
        </is>
      </c>
      <c r="E487" t="inlineStr">
        <is>
          <t>ÖSTERSUND</t>
        </is>
      </c>
      <c r="G487" t="n">
        <v>5.4</v>
      </c>
      <c r="H487" t="n">
        <v>0</v>
      </c>
      <c r="I487" t="n">
        <v>0</v>
      </c>
      <c r="J487" t="n">
        <v>0</v>
      </c>
      <c r="K487" t="n">
        <v>0</v>
      </c>
      <c r="L487" t="n">
        <v>0</v>
      </c>
      <c r="M487" t="n">
        <v>0</v>
      </c>
      <c r="N487" t="n">
        <v>0</v>
      </c>
      <c r="O487" t="n">
        <v>0</v>
      </c>
      <c r="P487" t="n">
        <v>0</v>
      </c>
      <c r="Q487" t="n">
        <v>0</v>
      </c>
      <c r="R487" s="2" t="inlineStr"/>
    </row>
    <row r="488" ht="15" customHeight="1">
      <c r="A488" t="inlineStr">
        <is>
          <t>A 63245-2025</t>
        </is>
      </c>
      <c r="B488" s="1" t="n">
        <v>46010.53825231481</v>
      </c>
      <c r="C488" s="1" t="n">
        <v>46050</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55179-2025</t>
        </is>
      </c>
      <c r="B489" s="1" t="n">
        <v>45968.53167824074</v>
      </c>
      <c r="C489" s="1" t="n">
        <v>46050</v>
      </c>
      <c r="D489" t="inlineStr">
        <is>
          <t>JÄMTLANDS LÄN</t>
        </is>
      </c>
      <c r="E489" t="inlineStr">
        <is>
          <t>ÖSTERSUND</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39975-2024</t>
        </is>
      </c>
      <c r="B490" s="1" t="n">
        <v>45553.60474537037</v>
      </c>
      <c r="C490" s="1" t="n">
        <v>46050</v>
      </c>
      <c r="D490" t="inlineStr">
        <is>
          <t>JÄMTLANDS LÄN</t>
        </is>
      </c>
      <c r="E490" t="inlineStr">
        <is>
          <t>ÖSTERSUND</t>
        </is>
      </c>
      <c r="G490" t="n">
        <v>3.8</v>
      </c>
      <c r="H490" t="n">
        <v>0</v>
      </c>
      <c r="I490" t="n">
        <v>0</v>
      </c>
      <c r="J490" t="n">
        <v>0</v>
      </c>
      <c r="K490" t="n">
        <v>0</v>
      </c>
      <c r="L490" t="n">
        <v>0</v>
      </c>
      <c r="M490" t="n">
        <v>0</v>
      </c>
      <c r="N490" t="n">
        <v>0</v>
      </c>
      <c r="O490" t="n">
        <v>0</v>
      </c>
      <c r="P490" t="n">
        <v>0</v>
      </c>
      <c r="Q490" t="n">
        <v>0</v>
      </c>
      <c r="R490" s="2" t="inlineStr"/>
    </row>
    <row r="491" ht="15" customHeight="1">
      <c r="A491" t="inlineStr">
        <is>
          <t>A 63475-2025</t>
        </is>
      </c>
      <c r="B491" s="1" t="n">
        <v>46013.4459375</v>
      </c>
      <c r="C491" s="1" t="n">
        <v>46050</v>
      </c>
      <c r="D491" t="inlineStr">
        <is>
          <t>JÄMTLANDS LÄN</t>
        </is>
      </c>
      <c r="E491" t="inlineStr">
        <is>
          <t>ÖSTERSUND</t>
        </is>
      </c>
      <c r="G491" t="n">
        <v>4.4</v>
      </c>
      <c r="H491" t="n">
        <v>0</v>
      </c>
      <c r="I491" t="n">
        <v>0</v>
      </c>
      <c r="J491" t="n">
        <v>0</v>
      </c>
      <c r="K491" t="n">
        <v>0</v>
      </c>
      <c r="L491" t="n">
        <v>0</v>
      </c>
      <c r="M491" t="n">
        <v>0</v>
      </c>
      <c r="N491" t="n">
        <v>0</v>
      </c>
      <c r="O491" t="n">
        <v>0</v>
      </c>
      <c r="P491" t="n">
        <v>0</v>
      </c>
      <c r="Q491" t="n">
        <v>0</v>
      </c>
      <c r="R491" s="2" t="inlineStr"/>
    </row>
    <row r="492" ht="15" customHeight="1">
      <c r="A492" t="inlineStr">
        <is>
          <t>A 61506-2023</t>
        </is>
      </c>
      <c r="B492" s="1" t="n">
        <v>45264</v>
      </c>
      <c r="C492" s="1" t="n">
        <v>46050</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16753-2025</t>
        </is>
      </c>
      <c r="B493" s="1" t="n">
        <v>45754.56839120371</v>
      </c>
      <c r="C493" s="1" t="n">
        <v>46050</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63693-2025</t>
        </is>
      </c>
      <c r="B494" s="1" t="n">
        <v>46014.5496875</v>
      </c>
      <c r="C494" s="1" t="n">
        <v>46050</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56067-2022</t>
        </is>
      </c>
      <c r="B495" s="1" t="n">
        <v>44889.59378472222</v>
      </c>
      <c r="C495" s="1" t="n">
        <v>46050</v>
      </c>
      <c r="D495" t="inlineStr">
        <is>
          <t>JÄMTLANDS LÄN</t>
        </is>
      </c>
      <c r="E495" t="inlineStr">
        <is>
          <t>ÖSTERSUND</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56165-2025</t>
        </is>
      </c>
      <c r="B496" s="1" t="n">
        <v>45974.38310185185</v>
      </c>
      <c r="C496" s="1" t="n">
        <v>46050</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6067-2025</t>
        </is>
      </c>
      <c r="B497" s="1" t="n">
        <v>45696.34405092592</v>
      </c>
      <c r="C497" s="1" t="n">
        <v>46050</v>
      </c>
      <c r="D497" t="inlineStr">
        <is>
          <t>JÄMTLANDS LÄN</t>
        </is>
      </c>
      <c r="E497" t="inlineStr">
        <is>
          <t>ÖSTERSUND</t>
        </is>
      </c>
      <c r="G497" t="n">
        <v>2.1</v>
      </c>
      <c r="H497" t="n">
        <v>0</v>
      </c>
      <c r="I497" t="n">
        <v>0</v>
      </c>
      <c r="J497" t="n">
        <v>0</v>
      </c>
      <c r="K497" t="n">
        <v>0</v>
      </c>
      <c r="L497" t="n">
        <v>0</v>
      </c>
      <c r="M497" t="n">
        <v>0</v>
      </c>
      <c r="N497" t="n">
        <v>0</v>
      </c>
      <c r="O497" t="n">
        <v>0</v>
      </c>
      <c r="P497" t="n">
        <v>0</v>
      </c>
      <c r="Q497" t="n">
        <v>0</v>
      </c>
      <c r="R497" s="2" t="inlineStr"/>
    </row>
    <row r="498" ht="15" customHeight="1">
      <c r="A498" t="inlineStr">
        <is>
          <t>A 14518-2023</t>
        </is>
      </c>
      <c r="B498" s="1" t="n">
        <v>45012</v>
      </c>
      <c r="C498" s="1" t="n">
        <v>46050</v>
      </c>
      <c r="D498" t="inlineStr">
        <is>
          <t>JÄMTLANDS LÄN</t>
        </is>
      </c>
      <c r="E498" t="inlineStr">
        <is>
          <t>ÖSTERSUND</t>
        </is>
      </c>
      <c r="G498" t="n">
        <v>14.4</v>
      </c>
      <c r="H498" t="n">
        <v>0</v>
      </c>
      <c r="I498" t="n">
        <v>0</v>
      </c>
      <c r="J498" t="n">
        <v>0</v>
      </c>
      <c r="K498" t="n">
        <v>0</v>
      </c>
      <c r="L498" t="n">
        <v>0</v>
      </c>
      <c r="M498" t="n">
        <v>0</v>
      </c>
      <c r="N498" t="n">
        <v>0</v>
      </c>
      <c r="O498" t="n">
        <v>0</v>
      </c>
      <c r="P498" t="n">
        <v>0</v>
      </c>
      <c r="Q498" t="n">
        <v>0</v>
      </c>
      <c r="R498" s="2" t="inlineStr"/>
    </row>
    <row r="499" ht="15" customHeight="1">
      <c r="A499" t="inlineStr">
        <is>
          <t>A 63807-2025</t>
        </is>
      </c>
      <c r="B499" s="1" t="n">
        <v>46019</v>
      </c>
      <c r="C499" s="1" t="n">
        <v>46050</v>
      </c>
      <c r="D499" t="inlineStr">
        <is>
          <t>JÄMTLANDS LÄN</t>
        </is>
      </c>
      <c r="E499" t="inlineStr">
        <is>
          <t>ÖSTERSUND</t>
        </is>
      </c>
      <c r="G499" t="n">
        <v>2.4</v>
      </c>
      <c r="H499" t="n">
        <v>0</v>
      </c>
      <c r="I499" t="n">
        <v>0</v>
      </c>
      <c r="J499" t="n">
        <v>0</v>
      </c>
      <c r="K499" t="n">
        <v>0</v>
      </c>
      <c r="L499" t="n">
        <v>0</v>
      </c>
      <c r="M499" t="n">
        <v>0</v>
      </c>
      <c r="N499" t="n">
        <v>0</v>
      </c>
      <c r="O499" t="n">
        <v>0</v>
      </c>
      <c r="P499" t="n">
        <v>0</v>
      </c>
      <c r="Q499" t="n">
        <v>0</v>
      </c>
      <c r="R499" s="2" t="inlineStr"/>
    </row>
    <row r="500" ht="15" customHeight="1">
      <c r="A500" t="inlineStr">
        <is>
          <t>A 56903-2025</t>
        </is>
      </c>
      <c r="B500" s="1" t="n">
        <v>45978.57414351852</v>
      </c>
      <c r="C500" s="1" t="n">
        <v>46050</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56690-2025</t>
        </is>
      </c>
      <c r="B501" s="1" t="n">
        <v>45976.58684027778</v>
      </c>
      <c r="C501" s="1" t="n">
        <v>46050</v>
      </c>
      <c r="D501" t="inlineStr">
        <is>
          <t>JÄMTLANDS LÄN</t>
        </is>
      </c>
      <c r="E501" t="inlineStr">
        <is>
          <t>ÖSTERSUND</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63982-2025</t>
        </is>
      </c>
      <c r="B502" s="1" t="n">
        <v>46021.34454861111</v>
      </c>
      <c r="C502" s="1" t="n">
        <v>46050</v>
      </c>
      <c r="D502" t="inlineStr">
        <is>
          <t>JÄMTLANDS LÄN</t>
        </is>
      </c>
      <c r="E502" t="inlineStr">
        <is>
          <t>ÖSTERSUND</t>
        </is>
      </c>
      <c r="G502" t="n">
        <v>6.5</v>
      </c>
      <c r="H502" t="n">
        <v>0</v>
      </c>
      <c r="I502" t="n">
        <v>0</v>
      </c>
      <c r="J502" t="n">
        <v>0</v>
      </c>
      <c r="K502" t="n">
        <v>0</v>
      </c>
      <c r="L502" t="n">
        <v>0</v>
      </c>
      <c r="M502" t="n">
        <v>0</v>
      </c>
      <c r="N502" t="n">
        <v>0</v>
      </c>
      <c r="O502" t="n">
        <v>0</v>
      </c>
      <c r="P502" t="n">
        <v>0</v>
      </c>
      <c r="Q502" t="n">
        <v>0</v>
      </c>
      <c r="R502" s="2" t="inlineStr"/>
    </row>
    <row r="503" ht="15" customHeight="1">
      <c r="A503" t="inlineStr">
        <is>
          <t>A 30602-2023</t>
        </is>
      </c>
      <c r="B503" s="1" t="n">
        <v>45112</v>
      </c>
      <c r="C503" s="1" t="n">
        <v>46050</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64022-2025</t>
        </is>
      </c>
      <c r="B504" s="1" t="n">
        <v>46021.46912037037</v>
      </c>
      <c r="C504" s="1" t="n">
        <v>46050</v>
      </c>
      <c r="D504" t="inlineStr">
        <is>
          <t>JÄMTLANDS LÄN</t>
        </is>
      </c>
      <c r="E504" t="inlineStr">
        <is>
          <t>ÖSTERSUND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63981-2025</t>
        </is>
      </c>
      <c r="B505" s="1" t="n">
        <v>46021.34450231482</v>
      </c>
      <c r="C505" s="1" t="n">
        <v>46050</v>
      </c>
      <c r="D505" t="inlineStr">
        <is>
          <t>JÄMTLANDS LÄN</t>
        </is>
      </c>
      <c r="E505" t="inlineStr">
        <is>
          <t>ÖSTERSUND</t>
        </is>
      </c>
      <c r="G505" t="n">
        <v>17.7</v>
      </c>
      <c r="H505" t="n">
        <v>0</v>
      </c>
      <c r="I505" t="n">
        <v>0</v>
      </c>
      <c r="J505" t="n">
        <v>0</v>
      </c>
      <c r="K505" t="n">
        <v>0</v>
      </c>
      <c r="L505" t="n">
        <v>0</v>
      </c>
      <c r="M505" t="n">
        <v>0</v>
      </c>
      <c r="N505" t="n">
        <v>0</v>
      </c>
      <c r="O505" t="n">
        <v>0</v>
      </c>
      <c r="P505" t="n">
        <v>0</v>
      </c>
      <c r="Q505" t="n">
        <v>0</v>
      </c>
      <c r="R505" s="2" t="inlineStr"/>
    </row>
    <row r="506" ht="15" customHeight="1">
      <c r="A506" t="inlineStr">
        <is>
          <t>A 63856-2025</t>
        </is>
      </c>
      <c r="B506" s="1" t="n">
        <v>46020.47796296296</v>
      </c>
      <c r="C506" s="1" t="n">
        <v>46050</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1211-2025</t>
        </is>
      </c>
      <c r="B507" s="1" t="n">
        <v>45667.40662037037</v>
      </c>
      <c r="C507" s="1" t="n">
        <v>46050</v>
      </c>
      <c r="D507" t="inlineStr">
        <is>
          <t>JÄMTLANDS LÄN</t>
        </is>
      </c>
      <c r="E507" t="inlineStr">
        <is>
          <t>ÖSTERSUND</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63861-2025</t>
        </is>
      </c>
      <c r="B508" s="1" t="n">
        <v>46020.49056712963</v>
      </c>
      <c r="C508" s="1" t="n">
        <v>46050</v>
      </c>
      <c r="D508" t="inlineStr">
        <is>
          <t>JÄMTLANDS LÄN</t>
        </is>
      </c>
      <c r="E508" t="inlineStr">
        <is>
          <t>ÖSTERSUND</t>
        </is>
      </c>
      <c r="G508" t="n">
        <v>1</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46050</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12352-2025</t>
        </is>
      </c>
      <c r="B510" s="1" t="n">
        <v>45730.36263888889</v>
      </c>
      <c r="C510" s="1" t="n">
        <v>46050</v>
      </c>
      <c r="D510" t="inlineStr">
        <is>
          <t>JÄMTLANDS LÄN</t>
        </is>
      </c>
      <c r="E510" t="inlineStr">
        <is>
          <t>ÖSTERSUND</t>
        </is>
      </c>
      <c r="G510" t="n">
        <v>7.8</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46050</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27906-2024</t>
        </is>
      </c>
      <c r="B512" s="1" t="n">
        <v>45475.94585648148</v>
      </c>
      <c r="C512" s="1" t="n">
        <v>46050</v>
      </c>
      <c r="D512" t="inlineStr">
        <is>
          <t>JÄMTLANDS LÄN</t>
        </is>
      </c>
      <c r="E512" t="inlineStr">
        <is>
          <t>ÖSTERSUND</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53380-2023</t>
        </is>
      </c>
      <c r="B513" s="1" t="n">
        <v>45223</v>
      </c>
      <c r="C513" s="1" t="n">
        <v>46050</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46050</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48696-2024</t>
        </is>
      </c>
      <c r="B515" s="1" t="n">
        <v>45593.51123842593</v>
      </c>
      <c r="C515" s="1" t="n">
        <v>46050</v>
      </c>
      <c r="D515" t="inlineStr">
        <is>
          <t>JÄMTLANDS LÄN</t>
        </is>
      </c>
      <c r="E515" t="inlineStr">
        <is>
          <t>ÖSTERSUND</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58122-2025</t>
        </is>
      </c>
      <c r="B516" s="1" t="n">
        <v>45982.61043981482</v>
      </c>
      <c r="C516" s="1" t="n">
        <v>46050</v>
      </c>
      <c r="D516" t="inlineStr">
        <is>
          <t>JÄMTLANDS LÄN</t>
        </is>
      </c>
      <c r="E516" t="inlineStr">
        <is>
          <t>ÖSTERSUND</t>
        </is>
      </c>
      <c r="G516" t="n">
        <v>2.2</v>
      </c>
      <c r="H516" t="n">
        <v>0</v>
      </c>
      <c r="I516" t="n">
        <v>0</v>
      </c>
      <c r="J516" t="n">
        <v>0</v>
      </c>
      <c r="K516" t="n">
        <v>0</v>
      </c>
      <c r="L516" t="n">
        <v>0</v>
      </c>
      <c r="M516" t="n">
        <v>0</v>
      </c>
      <c r="N516" t="n">
        <v>0</v>
      </c>
      <c r="O516" t="n">
        <v>0</v>
      </c>
      <c r="P516" t="n">
        <v>0</v>
      </c>
      <c r="Q516" t="n">
        <v>0</v>
      </c>
      <c r="R516" s="2" t="inlineStr"/>
    </row>
    <row r="517" ht="15" customHeight="1">
      <c r="A517" t="inlineStr">
        <is>
          <t>A 48737-2024</t>
        </is>
      </c>
      <c r="B517" s="1" t="n">
        <v>45593.57327546296</v>
      </c>
      <c r="C517" s="1" t="n">
        <v>46050</v>
      </c>
      <c r="D517" t="inlineStr">
        <is>
          <t>JÄMTLANDS LÄN</t>
        </is>
      </c>
      <c r="E517" t="inlineStr">
        <is>
          <t>ÖSTERSUND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58099-2025</t>
        </is>
      </c>
      <c r="B518" s="1" t="n">
        <v>45982.5862037037</v>
      </c>
      <c r="C518" s="1" t="n">
        <v>46050</v>
      </c>
      <c r="D518" t="inlineStr">
        <is>
          <t>JÄMTLANDS LÄN</t>
        </is>
      </c>
      <c r="E518" t="inlineStr">
        <is>
          <t>ÖSTERSUND</t>
        </is>
      </c>
      <c r="G518" t="n">
        <v>6.1</v>
      </c>
      <c r="H518" t="n">
        <v>0</v>
      </c>
      <c r="I518" t="n">
        <v>0</v>
      </c>
      <c r="J518" t="n">
        <v>0</v>
      </c>
      <c r="K518" t="n">
        <v>0</v>
      </c>
      <c r="L518" t="n">
        <v>0</v>
      </c>
      <c r="M518" t="n">
        <v>0</v>
      </c>
      <c r="N518" t="n">
        <v>0</v>
      </c>
      <c r="O518" t="n">
        <v>0</v>
      </c>
      <c r="P518" t="n">
        <v>0</v>
      </c>
      <c r="Q518" t="n">
        <v>0</v>
      </c>
      <c r="R518" s="2" t="inlineStr"/>
    </row>
    <row r="519" ht="15" customHeight="1">
      <c r="A519" t="inlineStr">
        <is>
          <t>A 379-2026</t>
        </is>
      </c>
      <c r="B519" s="1" t="n">
        <v>46027.7344212963</v>
      </c>
      <c r="C519" s="1" t="n">
        <v>46050</v>
      </c>
      <c r="D519" t="inlineStr">
        <is>
          <t>JÄMTLANDS LÄN</t>
        </is>
      </c>
      <c r="E519" t="inlineStr">
        <is>
          <t>ÖSTERSUND</t>
        </is>
      </c>
      <c r="G519" t="n">
        <v>5.6</v>
      </c>
      <c r="H519" t="n">
        <v>0</v>
      </c>
      <c r="I519" t="n">
        <v>0</v>
      </c>
      <c r="J519" t="n">
        <v>0</v>
      </c>
      <c r="K519" t="n">
        <v>0</v>
      </c>
      <c r="L519" t="n">
        <v>0</v>
      </c>
      <c r="M519" t="n">
        <v>0</v>
      </c>
      <c r="N519" t="n">
        <v>0</v>
      </c>
      <c r="O519" t="n">
        <v>0</v>
      </c>
      <c r="P519" t="n">
        <v>0</v>
      </c>
      <c r="Q519" t="n">
        <v>0</v>
      </c>
      <c r="R519" s="2" t="inlineStr"/>
    </row>
    <row r="520" ht="15" customHeight="1">
      <c r="A520" t="inlineStr">
        <is>
          <t>A 58440-2025</t>
        </is>
      </c>
      <c r="B520" s="1" t="n">
        <v>45985.61524305555</v>
      </c>
      <c r="C520" s="1" t="n">
        <v>46050</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33501-2023</t>
        </is>
      </c>
      <c r="B521" s="1" t="n">
        <v>45118</v>
      </c>
      <c r="C521" s="1" t="n">
        <v>46050</v>
      </c>
      <c r="D521" t="inlineStr">
        <is>
          <t>JÄMTLANDS LÄN</t>
        </is>
      </c>
      <c r="E521" t="inlineStr">
        <is>
          <t>ÖSTERSUND</t>
        </is>
      </c>
      <c r="G521" t="n">
        <v>5.8</v>
      </c>
      <c r="H521" t="n">
        <v>0</v>
      </c>
      <c r="I521" t="n">
        <v>0</v>
      </c>
      <c r="J521" t="n">
        <v>0</v>
      </c>
      <c r="K521" t="n">
        <v>0</v>
      </c>
      <c r="L521" t="n">
        <v>0</v>
      </c>
      <c r="M521" t="n">
        <v>0</v>
      </c>
      <c r="N521" t="n">
        <v>0</v>
      </c>
      <c r="O521" t="n">
        <v>0</v>
      </c>
      <c r="P521" t="n">
        <v>0</v>
      </c>
      <c r="Q521" t="n">
        <v>0</v>
      </c>
      <c r="R521" s="2" t="inlineStr"/>
    </row>
    <row r="522" ht="15" customHeight="1">
      <c r="A522" t="inlineStr">
        <is>
          <t>A 60088-2024</t>
        </is>
      </c>
      <c r="B522" s="1" t="n">
        <v>45642.54847222222</v>
      </c>
      <c r="C522" s="1" t="n">
        <v>46050</v>
      </c>
      <c r="D522" t="inlineStr">
        <is>
          <t>JÄMTLANDS LÄN</t>
        </is>
      </c>
      <c r="E522" t="inlineStr">
        <is>
          <t>ÖSTERSUND</t>
        </is>
      </c>
      <c r="G522" t="n">
        <v>5</v>
      </c>
      <c r="H522" t="n">
        <v>0</v>
      </c>
      <c r="I522" t="n">
        <v>0</v>
      </c>
      <c r="J522" t="n">
        <v>0</v>
      </c>
      <c r="K522" t="n">
        <v>0</v>
      </c>
      <c r="L522" t="n">
        <v>0</v>
      </c>
      <c r="M522" t="n">
        <v>0</v>
      </c>
      <c r="N522" t="n">
        <v>0</v>
      </c>
      <c r="O522" t="n">
        <v>0</v>
      </c>
      <c r="P522" t="n">
        <v>0</v>
      </c>
      <c r="Q522" t="n">
        <v>0</v>
      </c>
      <c r="R522" s="2" t="inlineStr"/>
    </row>
    <row r="523" ht="15" customHeight="1">
      <c r="A523" t="inlineStr">
        <is>
          <t>A 58354-2025</t>
        </is>
      </c>
      <c r="B523" s="1" t="n">
        <v>45985.51131944444</v>
      </c>
      <c r="C523" s="1" t="n">
        <v>46050</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58353-2025</t>
        </is>
      </c>
      <c r="B524" s="1" t="n">
        <v>45985.51128472222</v>
      </c>
      <c r="C524" s="1" t="n">
        <v>46050</v>
      </c>
      <c r="D524" t="inlineStr">
        <is>
          <t>JÄMTLANDS LÄN</t>
        </is>
      </c>
      <c r="E524" t="inlineStr">
        <is>
          <t>ÖSTERSUND</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318-2026</t>
        </is>
      </c>
      <c r="B525" s="1" t="n">
        <v>46027.57334490741</v>
      </c>
      <c r="C525" s="1" t="n">
        <v>46050</v>
      </c>
      <c r="D525" t="inlineStr">
        <is>
          <t>JÄMTLANDS LÄN</t>
        </is>
      </c>
      <c r="E525" t="inlineStr">
        <is>
          <t>ÖSTERSUND</t>
        </is>
      </c>
      <c r="G525" t="n">
        <v>2</v>
      </c>
      <c r="H525" t="n">
        <v>0</v>
      </c>
      <c r="I525" t="n">
        <v>0</v>
      </c>
      <c r="J525" t="n">
        <v>0</v>
      </c>
      <c r="K525" t="n">
        <v>0</v>
      </c>
      <c r="L525" t="n">
        <v>0</v>
      </c>
      <c r="M525" t="n">
        <v>0</v>
      </c>
      <c r="N525" t="n">
        <v>0</v>
      </c>
      <c r="O525" t="n">
        <v>0</v>
      </c>
      <c r="P525" t="n">
        <v>0</v>
      </c>
      <c r="Q525" t="n">
        <v>0</v>
      </c>
      <c r="R525" s="2" t="inlineStr"/>
    </row>
    <row r="526" ht="15" customHeight="1">
      <c r="A526" t="inlineStr">
        <is>
          <t>A 49788-2024</t>
        </is>
      </c>
      <c r="B526" s="1" t="n">
        <v>45597.36623842592</v>
      </c>
      <c r="C526" s="1" t="n">
        <v>46050</v>
      </c>
      <c r="D526" t="inlineStr">
        <is>
          <t>JÄMTLANDS LÄN</t>
        </is>
      </c>
      <c r="E526" t="inlineStr">
        <is>
          <t>ÖSTERSUND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58373-2025</t>
        </is>
      </c>
      <c r="B527" s="1" t="n">
        <v>45985.53162037037</v>
      </c>
      <c r="C527" s="1" t="n">
        <v>46050</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330-2026</t>
        </is>
      </c>
      <c r="B528" s="1" t="n">
        <v>46027.59451388889</v>
      </c>
      <c r="C528" s="1" t="n">
        <v>46050</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4901-2025</t>
        </is>
      </c>
      <c r="B529" s="1" t="n">
        <v>45688.67965277778</v>
      </c>
      <c r="C529" s="1" t="n">
        <v>46050</v>
      </c>
      <c r="D529" t="inlineStr">
        <is>
          <t>JÄMTLANDS LÄN</t>
        </is>
      </c>
      <c r="E529" t="inlineStr">
        <is>
          <t>ÖSTERSUND</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58917-2025</t>
        </is>
      </c>
      <c r="B530" s="1" t="n">
        <v>45987.52949074074</v>
      </c>
      <c r="C530" s="1" t="n">
        <v>46050</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17709-2024</t>
        </is>
      </c>
      <c r="B531" s="1" t="n">
        <v>45418.4843287037</v>
      </c>
      <c r="C531" s="1" t="n">
        <v>46050</v>
      </c>
      <c r="D531" t="inlineStr">
        <is>
          <t>JÄMTLANDS LÄN</t>
        </is>
      </c>
      <c r="E531" t="inlineStr">
        <is>
          <t>ÖSTERSUND</t>
        </is>
      </c>
      <c r="G531" t="n">
        <v>2.9</v>
      </c>
      <c r="H531" t="n">
        <v>0</v>
      </c>
      <c r="I531" t="n">
        <v>0</v>
      </c>
      <c r="J531" t="n">
        <v>0</v>
      </c>
      <c r="K531" t="n">
        <v>0</v>
      </c>
      <c r="L531" t="n">
        <v>0</v>
      </c>
      <c r="M531" t="n">
        <v>0</v>
      </c>
      <c r="N531" t="n">
        <v>0</v>
      </c>
      <c r="O531" t="n">
        <v>0</v>
      </c>
      <c r="P531" t="n">
        <v>0</v>
      </c>
      <c r="Q531" t="n">
        <v>0</v>
      </c>
      <c r="R531" s="2" t="inlineStr"/>
    </row>
    <row r="532" ht="15" customHeight="1">
      <c r="A532" t="inlineStr">
        <is>
          <t>A 58818-2025</t>
        </is>
      </c>
      <c r="B532" s="1" t="n">
        <v>45987.33479166667</v>
      </c>
      <c r="C532" s="1" t="n">
        <v>46050</v>
      </c>
      <c r="D532" t="inlineStr">
        <is>
          <t>JÄMTLANDS LÄN</t>
        </is>
      </c>
      <c r="E532" t="inlineStr">
        <is>
          <t>ÖSTERSUND</t>
        </is>
      </c>
      <c r="G532" t="n">
        <v>3.6</v>
      </c>
      <c r="H532" t="n">
        <v>0</v>
      </c>
      <c r="I532" t="n">
        <v>0</v>
      </c>
      <c r="J532" t="n">
        <v>0</v>
      </c>
      <c r="K532" t="n">
        <v>0</v>
      </c>
      <c r="L532" t="n">
        <v>0</v>
      </c>
      <c r="M532" t="n">
        <v>0</v>
      </c>
      <c r="N532" t="n">
        <v>0</v>
      </c>
      <c r="O532" t="n">
        <v>0</v>
      </c>
      <c r="P532" t="n">
        <v>0</v>
      </c>
      <c r="Q532" t="n">
        <v>0</v>
      </c>
      <c r="R532" s="2" t="inlineStr"/>
    </row>
    <row r="533" ht="15" customHeight="1">
      <c r="A533" t="inlineStr">
        <is>
          <t>A 58824-2025</t>
        </is>
      </c>
      <c r="B533" s="1" t="n">
        <v>45987.34543981482</v>
      </c>
      <c r="C533" s="1" t="n">
        <v>46050</v>
      </c>
      <c r="D533" t="inlineStr">
        <is>
          <t>JÄMTLANDS LÄN</t>
        </is>
      </c>
      <c r="E533" t="inlineStr">
        <is>
          <t>ÖSTERSUND</t>
        </is>
      </c>
      <c r="G533" t="n">
        <v>3.2</v>
      </c>
      <c r="H533" t="n">
        <v>0</v>
      </c>
      <c r="I533" t="n">
        <v>0</v>
      </c>
      <c r="J533" t="n">
        <v>0</v>
      </c>
      <c r="K533" t="n">
        <v>0</v>
      </c>
      <c r="L533" t="n">
        <v>0</v>
      </c>
      <c r="M533" t="n">
        <v>0</v>
      </c>
      <c r="N533" t="n">
        <v>0</v>
      </c>
      <c r="O533" t="n">
        <v>0</v>
      </c>
      <c r="P533" t="n">
        <v>0</v>
      </c>
      <c r="Q533" t="n">
        <v>0</v>
      </c>
      <c r="R533" s="2" t="inlineStr"/>
    </row>
    <row r="534" ht="15" customHeight="1">
      <c r="A534" t="inlineStr">
        <is>
          <t>A 58406-2024</t>
        </is>
      </c>
      <c r="B534" s="1" t="n">
        <v>45634.70898148148</v>
      </c>
      <c r="C534" s="1" t="n">
        <v>46050</v>
      </c>
      <c r="D534" t="inlineStr">
        <is>
          <t>JÄMTLANDS LÄN</t>
        </is>
      </c>
      <c r="E534" t="inlineStr">
        <is>
          <t>ÖSTERSUND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51826-2024</t>
        </is>
      </c>
      <c r="B535" s="1" t="n">
        <v>45607.50137731482</v>
      </c>
      <c r="C535" s="1" t="n">
        <v>46050</v>
      </c>
      <c r="D535" t="inlineStr">
        <is>
          <t>JÄMTLANDS LÄN</t>
        </is>
      </c>
      <c r="E535" t="inlineStr">
        <is>
          <t>ÖSTERSUND</t>
        </is>
      </c>
      <c r="G535" t="n">
        <v>1.1</v>
      </c>
      <c r="H535" t="n">
        <v>0</v>
      </c>
      <c r="I535" t="n">
        <v>0</v>
      </c>
      <c r="J535" t="n">
        <v>0</v>
      </c>
      <c r="K535" t="n">
        <v>0</v>
      </c>
      <c r="L535" t="n">
        <v>0</v>
      </c>
      <c r="M535" t="n">
        <v>0</v>
      </c>
      <c r="N535" t="n">
        <v>0</v>
      </c>
      <c r="O535" t="n">
        <v>0</v>
      </c>
      <c r="P535" t="n">
        <v>0</v>
      </c>
      <c r="Q535" t="n">
        <v>0</v>
      </c>
      <c r="R535" s="2" t="inlineStr"/>
    </row>
    <row r="536" ht="15" customHeight="1">
      <c r="A536" t="inlineStr">
        <is>
          <t>A 58583-2025</t>
        </is>
      </c>
      <c r="B536" s="1" t="n">
        <v>45986.39024305555</v>
      </c>
      <c r="C536" s="1" t="n">
        <v>46050</v>
      </c>
      <c r="D536" t="inlineStr">
        <is>
          <t>JÄMTLANDS LÄN</t>
        </is>
      </c>
      <c r="E536" t="inlineStr">
        <is>
          <t>ÖSTERSUND</t>
        </is>
      </c>
      <c r="G536" t="n">
        <v>43.1</v>
      </c>
      <c r="H536" t="n">
        <v>0</v>
      </c>
      <c r="I536" t="n">
        <v>0</v>
      </c>
      <c r="J536" t="n">
        <v>0</v>
      </c>
      <c r="K536" t="n">
        <v>0</v>
      </c>
      <c r="L536" t="n">
        <v>0</v>
      </c>
      <c r="M536" t="n">
        <v>0</v>
      </c>
      <c r="N536" t="n">
        <v>0</v>
      </c>
      <c r="O536" t="n">
        <v>0</v>
      </c>
      <c r="P536" t="n">
        <v>0</v>
      </c>
      <c r="Q536" t="n">
        <v>0</v>
      </c>
      <c r="R536" s="2" t="inlineStr"/>
    </row>
    <row r="537" ht="15" customHeight="1">
      <c r="A537" t="inlineStr">
        <is>
          <t>A 13166-2023</t>
        </is>
      </c>
      <c r="B537" s="1" t="n">
        <v>45002</v>
      </c>
      <c r="C537" s="1" t="n">
        <v>46050</v>
      </c>
      <c r="D537" t="inlineStr">
        <is>
          <t>JÄMTLANDS LÄN</t>
        </is>
      </c>
      <c r="E537" t="inlineStr">
        <is>
          <t>ÖSTERSUND</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485-2026</t>
        </is>
      </c>
      <c r="B538" s="1" t="n">
        <v>46029.41560185186</v>
      </c>
      <c r="C538" s="1" t="n">
        <v>46050</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623-2026</t>
        </is>
      </c>
      <c r="B539" s="1" t="n">
        <v>46024</v>
      </c>
      <c r="C539" s="1" t="n">
        <v>46050</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59188-2025</t>
        </is>
      </c>
      <c r="B540" s="1" t="n">
        <v>45988.58856481482</v>
      </c>
      <c r="C540" s="1" t="n">
        <v>46050</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59015-2025</t>
        </is>
      </c>
      <c r="B541" s="1" t="n">
        <v>45987.83457175926</v>
      </c>
      <c r="C541" s="1" t="n">
        <v>46050</v>
      </c>
      <c r="D541" t="inlineStr">
        <is>
          <t>JÄMTLANDS LÄN</t>
        </is>
      </c>
      <c r="E541" t="inlineStr">
        <is>
          <t>ÖSTERSUND</t>
        </is>
      </c>
      <c r="G541" t="n">
        <v>2.4</v>
      </c>
      <c r="H541" t="n">
        <v>0</v>
      </c>
      <c r="I541" t="n">
        <v>0</v>
      </c>
      <c r="J541" t="n">
        <v>0</v>
      </c>
      <c r="K541" t="n">
        <v>0</v>
      </c>
      <c r="L541" t="n">
        <v>0</v>
      </c>
      <c r="M541" t="n">
        <v>0</v>
      </c>
      <c r="N541" t="n">
        <v>0</v>
      </c>
      <c r="O541" t="n">
        <v>0</v>
      </c>
      <c r="P541" t="n">
        <v>0</v>
      </c>
      <c r="Q541" t="n">
        <v>0</v>
      </c>
      <c r="R541" s="2" t="inlineStr"/>
    </row>
    <row r="542" ht="15" customHeight="1">
      <c r="A542" t="inlineStr">
        <is>
          <t>A 8423-2023</t>
        </is>
      </c>
      <c r="B542" s="1" t="n">
        <v>44977</v>
      </c>
      <c r="C542" s="1" t="n">
        <v>46050</v>
      </c>
      <c r="D542" t="inlineStr">
        <is>
          <t>JÄMTLANDS LÄN</t>
        </is>
      </c>
      <c r="E542" t="inlineStr">
        <is>
          <t>ÖSTERSUND</t>
        </is>
      </c>
      <c r="F542" t="inlineStr">
        <is>
          <t>Övriga Aktiebolag</t>
        </is>
      </c>
      <c r="G542" t="n">
        <v>53.1</v>
      </c>
      <c r="H542" t="n">
        <v>0</v>
      </c>
      <c r="I542" t="n">
        <v>0</v>
      </c>
      <c r="J542" t="n">
        <v>0</v>
      </c>
      <c r="K542" t="n">
        <v>0</v>
      </c>
      <c r="L542" t="n">
        <v>0</v>
      </c>
      <c r="M542" t="n">
        <v>0</v>
      </c>
      <c r="N542" t="n">
        <v>0</v>
      </c>
      <c r="O542" t="n">
        <v>0</v>
      </c>
      <c r="P542" t="n">
        <v>0</v>
      </c>
      <c r="Q542" t="n">
        <v>0</v>
      </c>
      <c r="R542" s="2" t="inlineStr"/>
    </row>
    <row r="543" ht="15" customHeight="1">
      <c r="A543" t="inlineStr">
        <is>
          <t>A 1374-2026</t>
        </is>
      </c>
      <c r="B543" s="1" t="n">
        <v>46031.6141087963</v>
      </c>
      <c r="C543" s="1" t="n">
        <v>46050</v>
      </c>
      <c r="D543" t="inlineStr">
        <is>
          <t>JÄMTLANDS LÄN</t>
        </is>
      </c>
      <c r="E543" t="inlineStr">
        <is>
          <t>ÖSTERSUND</t>
        </is>
      </c>
      <c r="G543" t="n">
        <v>2.7</v>
      </c>
      <c r="H543" t="n">
        <v>0</v>
      </c>
      <c r="I543" t="n">
        <v>0</v>
      </c>
      <c r="J543" t="n">
        <v>0</v>
      </c>
      <c r="K543" t="n">
        <v>0</v>
      </c>
      <c r="L543" t="n">
        <v>0</v>
      </c>
      <c r="M543" t="n">
        <v>0</v>
      </c>
      <c r="N543" t="n">
        <v>0</v>
      </c>
      <c r="O543" t="n">
        <v>0</v>
      </c>
      <c r="P543" t="n">
        <v>0</v>
      </c>
      <c r="Q543" t="n">
        <v>0</v>
      </c>
      <c r="R543" s="2" t="inlineStr"/>
    </row>
    <row r="544" ht="15" customHeight="1">
      <c r="A544" t="inlineStr">
        <is>
          <t>A 59007-2025</t>
        </is>
      </c>
      <c r="B544" s="1" t="n">
        <v>45987.69552083333</v>
      </c>
      <c r="C544" s="1" t="n">
        <v>46050</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14831-2025</t>
        </is>
      </c>
      <c r="B545" s="1" t="n">
        <v>45743.37109953703</v>
      </c>
      <c r="C545" s="1" t="n">
        <v>46050</v>
      </c>
      <c r="D545" t="inlineStr">
        <is>
          <t>JÄMTLANDS LÄN</t>
        </is>
      </c>
      <c r="E545" t="inlineStr">
        <is>
          <t>ÖSTERSUND</t>
        </is>
      </c>
      <c r="G545" t="n">
        <v>1.2</v>
      </c>
      <c r="H545" t="n">
        <v>0</v>
      </c>
      <c r="I545" t="n">
        <v>0</v>
      </c>
      <c r="J545" t="n">
        <v>0</v>
      </c>
      <c r="K545" t="n">
        <v>0</v>
      </c>
      <c r="L545" t="n">
        <v>0</v>
      </c>
      <c r="M545" t="n">
        <v>0</v>
      </c>
      <c r="N545" t="n">
        <v>0</v>
      </c>
      <c r="O545" t="n">
        <v>0</v>
      </c>
      <c r="P545" t="n">
        <v>0</v>
      </c>
      <c r="Q545" t="n">
        <v>0</v>
      </c>
      <c r="R545" s="2" t="inlineStr"/>
    </row>
    <row r="546" ht="15" customHeight="1">
      <c r="A546" t="inlineStr">
        <is>
          <t>A 59619-2025</t>
        </is>
      </c>
      <c r="B546" s="1" t="n">
        <v>45992.38109953704</v>
      </c>
      <c r="C546" s="1" t="n">
        <v>46050</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59612-2025</t>
        </is>
      </c>
      <c r="B547" s="1" t="n">
        <v>45992.3706712963</v>
      </c>
      <c r="C547" s="1" t="n">
        <v>46050</v>
      </c>
      <c r="D547" t="inlineStr">
        <is>
          <t>JÄMTLANDS LÄN</t>
        </is>
      </c>
      <c r="E547" t="inlineStr">
        <is>
          <t>ÖSTERSUND</t>
        </is>
      </c>
      <c r="G547" t="n">
        <v>2.3</v>
      </c>
      <c r="H547" t="n">
        <v>0</v>
      </c>
      <c r="I547" t="n">
        <v>0</v>
      </c>
      <c r="J547" t="n">
        <v>0</v>
      </c>
      <c r="K547" t="n">
        <v>0</v>
      </c>
      <c r="L547" t="n">
        <v>0</v>
      </c>
      <c r="M547" t="n">
        <v>0</v>
      </c>
      <c r="N547" t="n">
        <v>0</v>
      </c>
      <c r="O547" t="n">
        <v>0</v>
      </c>
      <c r="P547" t="n">
        <v>0</v>
      </c>
      <c r="Q547" t="n">
        <v>0</v>
      </c>
      <c r="R547" s="2" t="inlineStr"/>
    </row>
    <row r="548" ht="15" customHeight="1">
      <c r="A548" t="inlineStr">
        <is>
          <t>A 59687-2025</t>
        </is>
      </c>
      <c r="B548" s="1" t="n">
        <v>45992.47729166667</v>
      </c>
      <c r="C548" s="1" t="n">
        <v>46050</v>
      </c>
      <c r="D548" t="inlineStr">
        <is>
          <t>JÄMTLANDS LÄN</t>
        </is>
      </c>
      <c r="E548" t="inlineStr">
        <is>
          <t>ÖSTERSUND</t>
        </is>
      </c>
      <c r="G548" t="n">
        <v>5</v>
      </c>
      <c r="H548" t="n">
        <v>0</v>
      </c>
      <c r="I548" t="n">
        <v>0</v>
      </c>
      <c r="J548" t="n">
        <v>0</v>
      </c>
      <c r="K548" t="n">
        <v>0</v>
      </c>
      <c r="L548" t="n">
        <v>0</v>
      </c>
      <c r="M548" t="n">
        <v>0</v>
      </c>
      <c r="N548" t="n">
        <v>0</v>
      </c>
      <c r="O548" t="n">
        <v>0</v>
      </c>
      <c r="P548" t="n">
        <v>0</v>
      </c>
      <c r="Q548" t="n">
        <v>0</v>
      </c>
      <c r="R548" s="2" t="inlineStr"/>
    </row>
    <row r="549" ht="15" customHeight="1">
      <c r="A549" t="inlineStr">
        <is>
          <t>A 4500-2025</t>
        </is>
      </c>
      <c r="B549" s="1" t="n">
        <v>45686.6859375</v>
      </c>
      <c r="C549" s="1" t="n">
        <v>46050</v>
      </c>
      <c r="D549" t="inlineStr">
        <is>
          <t>JÄMTLANDS LÄN</t>
        </is>
      </c>
      <c r="E549" t="inlineStr">
        <is>
          <t>ÖSTERSUND</t>
        </is>
      </c>
      <c r="G549" t="n">
        <v>28.4</v>
      </c>
      <c r="H549" t="n">
        <v>0</v>
      </c>
      <c r="I549" t="n">
        <v>0</v>
      </c>
      <c r="J549" t="n">
        <v>0</v>
      </c>
      <c r="K549" t="n">
        <v>0</v>
      </c>
      <c r="L549" t="n">
        <v>0</v>
      </c>
      <c r="M549" t="n">
        <v>0</v>
      </c>
      <c r="N549" t="n">
        <v>0</v>
      </c>
      <c r="O549" t="n">
        <v>0</v>
      </c>
      <c r="P549" t="n">
        <v>0</v>
      </c>
      <c r="Q549" t="n">
        <v>0</v>
      </c>
      <c r="R549" s="2" t="inlineStr"/>
    </row>
    <row r="550" ht="15" customHeight="1">
      <c r="A550" t="inlineStr">
        <is>
          <t>A 59613-2025</t>
        </is>
      </c>
      <c r="B550" s="1" t="n">
        <v>45992.37172453704</v>
      </c>
      <c r="C550" s="1" t="n">
        <v>46050</v>
      </c>
      <c r="D550" t="inlineStr">
        <is>
          <t>JÄMTLANDS LÄN</t>
        </is>
      </c>
      <c r="E550" t="inlineStr">
        <is>
          <t>ÖSTERSUND</t>
        </is>
      </c>
      <c r="G550" t="n">
        <v>2.1</v>
      </c>
      <c r="H550" t="n">
        <v>0</v>
      </c>
      <c r="I550" t="n">
        <v>0</v>
      </c>
      <c r="J550" t="n">
        <v>0</v>
      </c>
      <c r="K550" t="n">
        <v>0</v>
      </c>
      <c r="L550" t="n">
        <v>0</v>
      </c>
      <c r="M550" t="n">
        <v>0</v>
      </c>
      <c r="N550" t="n">
        <v>0</v>
      </c>
      <c r="O550" t="n">
        <v>0</v>
      </c>
      <c r="P550" t="n">
        <v>0</v>
      </c>
      <c r="Q550" t="n">
        <v>0</v>
      </c>
      <c r="R550" s="2" t="inlineStr"/>
    </row>
    <row r="551" ht="15" customHeight="1">
      <c r="A551" t="inlineStr">
        <is>
          <t>A 4135-2023</t>
        </is>
      </c>
      <c r="B551" s="1" t="n">
        <v>44952</v>
      </c>
      <c r="C551" s="1" t="n">
        <v>46050</v>
      </c>
      <c r="D551" t="inlineStr">
        <is>
          <t>JÄMTLANDS LÄN</t>
        </is>
      </c>
      <c r="E551" t="inlineStr">
        <is>
          <t>ÖSTERSUND</t>
        </is>
      </c>
      <c r="G551" t="n">
        <v>1.3</v>
      </c>
      <c r="H551" t="n">
        <v>0</v>
      </c>
      <c r="I551" t="n">
        <v>0</v>
      </c>
      <c r="J551" t="n">
        <v>0</v>
      </c>
      <c r="K551" t="n">
        <v>0</v>
      </c>
      <c r="L551" t="n">
        <v>0</v>
      </c>
      <c r="M551" t="n">
        <v>0</v>
      </c>
      <c r="N551" t="n">
        <v>0</v>
      </c>
      <c r="O551" t="n">
        <v>0</v>
      </c>
      <c r="P551" t="n">
        <v>0</v>
      </c>
      <c r="Q551" t="n">
        <v>0</v>
      </c>
      <c r="R551" s="2" t="inlineStr"/>
    </row>
    <row r="552" ht="15" customHeight="1">
      <c r="A552" t="inlineStr">
        <is>
          <t>A 1552-2026</t>
        </is>
      </c>
      <c r="B552" s="1" t="n">
        <v>46034.38729166667</v>
      </c>
      <c r="C552" s="1" t="n">
        <v>46050</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42151-2023</t>
        </is>
      </c>
      <c r="B553" s="1" t="n">
        <v>45177.93612268518</v>
      </c>
      <c r="C553" s="1" t="n">
        <v>46050</v>
      </c>
      <c r="D553" t="inlineStr">
        <is>
          <t>JÄMTLANDS LÄN</t>
        </is>
      </c>
      <c r="E553" t="inlineStr">
        <is>
          <t>ÖSTERSUND</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59648-2022</t>
        </is>
      </c>
      <c r="B554" s="1" t="n">
        <v>44907</v>
      </c>
      <c r="C554" s="1" t="n">
        <v>46050</v>
      </c>
      <c r="D554" t="inlineStr">
        <is>
          <t>JÄMTLANDS LÄN</t>
        </is>
      </c>
      <c r="E554" t="inlineStr">
        <is>
          <t>ÖSTERSUND</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2700-2026</t>
        </is>
      </c>
      <c r="B555" s="1" t="n">
        <v>46037.6787962963</v>
      </c>
      <c r="C555" s="1" t="n">
        <v>46050</v>
      </c>
      <c r="D555" t="inlineStr">
        <is>
          <t>JÄMTLANDS LÄN</t>
        </is>
      </c>
      <c r="E555" t="inlineStr">
        <is>
          <t>ÖSTERSUND</t>
        </is>
      </c>
      <c r="G555" t="n">
        <v>8.6</v>
      </c>
      <c r="H555" t="n">
        <v>0</v>
      </c>
      <c r="I555" t="n">
        <v>0</v>
      </c>
      <c r="J555" t="n">
        <v>0</v>
      </c>
      <c r="K555" t="n">
        <v>0</v>
      </c>
      <c r="L555" t="n">
        <v>0</v>
      </c>
      <c r="M555" t="n">
        <v>0</v>
      </c>
      <c r="N555" t="n">
        <v>0</v>
      </c>
      <c r="O555" t="n">
        <v>0</v>
      </c>
      <c r="P555" t="n">
        <v>0</v>
      </c>
      <c r="Q555" t="n">
        <v>0</v>
      </c>
      <c r="R555" s="2" t="inlineStr"/>
    </row>
    <row r="556" ht="15" customHeight="1">
      <c r="A556" t="inlineStr">
        <is>
          <t>A 2702-2026</t>
        </is>
      </c>
      <c r="B556" s="1" t="n">
        <v>46037.68489583334</v>
      </c>
      <c r="C556" s="1" t="n">
        <v>46050</v>
      </c>
      <c r="D556" t="inlineStr">
        <is>
          <t>JÄMTLANDS LÄN</t>
        </is>
      </c>
      <c r="E556" t="inlineStr">
        <is>
          <t>ÖSTERSUND</t>
        </is>
      </c>
      <c r="G556" t="n">
        <v>1.7</v>
      </c>
      <c r="H556" t="n">
        <v>0</v>
      </c>
      <c r="I556" t="n">
        <v>0</v>
      </c>
      <c r="J556" t="n">
        <v>0</v>
      </c>
      <c r="K556" t="n">
        <v>0</v>
      </c>
      <c r="L556" t="n">
        <v>0</v>
      </c>
      <c r="M556" t="n">
        <v>0</v>
      </c>
      <c r="N556" t="n">
        <v>0</v>
      </c>
      <c r="O556" t="n">
        <v>0</v>
      </c>
      <c r="P556" t="n">
        <v>0</v>
      </c>
      <c r="Q556" t="n">
        <v>0</v>
      </c>
      <c r="R556" s="2" t="inlineStr"/>
    </row>
    <row r="557" ht="15" customHeight="1">
      <c r="A557" t="inlineStr">
        <is>
          <t>A 29128-2022</t>
        </is>
      </c>
      <c r="B557" s="1" t="n">
        <v>44750</v>
      </c>
      <c r="C557" s="1" t="n">
        <v>46050</v>
      </c>
      <c r="D557" t="inlineStr">
        <is>
          <t>JÄMTLANDS LÄN</t>
        </is>
      </c>
      <c r="E557" t="inlineStr">
        <is>
          <t>ÖSTERSUND</t>
        </is>
      </c>
      <c r="G557" t="n">
        <v>3</v>
      </c>
      <c r="H557" t="n">
        <v>0</v>
      </c>
      <c r="I557" t="n">
        <v>0</v>
      </c>
      <c r="J557" t="n">
        <v>0</v>
      </c>
      <c r="K557" t="n">
        <v>0</v>
      </c>
      <c r="L557" t="n">
        <v>0</v>
      </c>
      <c r="M557" t="n">
        <v>0</v>
      </c>
      <c r="N557" t="n">
        <v>0</v>
      </c>
      <c r="O557" t="n">
        <v>0</v>
      </c>
      <c r="P557" t="n">
        <v>0</v>
      </c>
      <c r="Q557" t="n">
        <v>0</v>
      </c>
      <c r="R557" s="2" t="inlineStr"/>
    </row>
    <row r="558" ht="15" customHeight="1">
      <c r="A558" t="inlineStr">
        <is>
          <t>A 1026-2026</t>
        </is>
      </c>
      <c r="B558" s="1" t="n">
        <v>46030.61326388889</v>
      </c>
      <c r="C558" s="1" t="n">
        <v>46050</v>
      </c>
      <c r="D558" t="inlineStr">
        <is>
          <t>JÄMTLANDS LÄN</t>
        </is>
      </c>
      <c r="E558" t="inlineStr">
        <is>
          <t>ÖSTERSUND</t>
        </is>
      </c>
      <c r="G558" t="n">
        <v>6.6</v>
      </c>
      <c r="H558" t="n">
        <v>0</v>
      </c>
      <c r="I558" t="n">
        <v>0</v>
      </c>
      <c r="J558" t="n">
        <v>0</v>
      </c>
      <c r="K558" t="n">
        <v>0</v>
      </c>
      <c r="L558" t="n">
        <v>0</v>
      </c>
      <c r="M558" t="n">
        <v>0</v>
      </c>
      <c r="N558" t="n">
        <v>0</v>
      </c>
      <c r="O558" t="n">
        <v>0</v>
      </c>
      <c r="P558" t="n">
        <v>0</v>
      </c>
      <c r="Q558" t="n">
        <v>0</v>
      </c>
      <c r="R558" s="2" t="inlineStr"/>
    </row>
    <row r="559" ht="15" customHeight="1">
      <c r="A559" t="inlineStr">
        <is>
          <t>A 60537-2025</t>
        </is>
      </c>
      <c r="B559" s="1" t="n">
        <v>45995</v>
      </c>
      <c r="C559" s="1" t="n">
        <v>46050</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14118-2025</t>
        </is>
      </c>
      <c r="B560" s="1" t="n">
        <v>45740.46325231482</v>
      </c>
      <c r="C560" s="1" t="n">
        <v>46050</v>
      </c>
      <c r="D560" t="inlineStr">
        <is>
          <t>JÄMTLANDS LÄN</t>
        </is>
      </c>
      <c r="E560" t="inlineStr">
        <is>
          <t>ÖSTERSUND</t>
        </is>
      </c>
      <c r="G560" t="n">
        <v>3.6</v>
      </c>
      <c r="H560" t="n">
        <v>0</v>
      </c>
      <c r="I560" t="n">
        <v>0</v>
      </c>
      <c r="J560" t="n">
        <v>0</v>
      </c>
      <c r="K560" t="n">
        <v>0</v>
      </c>
      <c r="L560" t="n">
        <v>0</v>
      </c>
      <c r="M560" t="n">
        <v>0</v>
      </c>
      <c r="N560" t="n">
        <v>0</v>
      </c>
      <c r="O560" t="n">
        <v>0</v>
      </c>
      <c r="P560" t="n">
        <v>0</v>
      </c>
      <c r="Q560" t="n">
        <v>0</v>
      </c>
      <c r="R560" s="2" t="inlineStr"/>
    </row>
    <row r="561" ht="15" customHeight="1">
      <c r="A561" t="inlineStr">
        <is>
          <t>A 44489-2024</t>
        </is>
      </c>
      <c r="B561" s="1" t="n">
        <v>45574.38943287037</v>
      </c>
      <c r="C561" s="1" t="n">
        <v>46050</v>
      </c>
      <c r="D561" t="inlineStr">
        <is>
          <t>JÄMTLANDS LÄN</t>
        </is>
      </c>
      <c r="E561" t="inlineStr">
        <is>
          <t>ÖSTERSUND</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7549-2025</t>
        </is>
      </c>
      <c r="B562" s="1" t="n">
        <v>45705.57454861111</v>
      </c>
      <c r="C562" s="1" t="n">
        <v>46050</v>
      </c>
      <c r="D562" t="inlineStr">
        <is>
          <t>JÄMTLANDS LÄN</t>
        </is>
      </c>
      <c r="E562" t="inlineStr">
        <is>
          <t>ÖSTERSUND</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2694-2026</t>
        </is>
      </c>
      <c r="B563" s="1" t="n">
        <v>46037.6703125</v>
      </c>
      <c r="C563" s="1" t="n">
        <v>46050</v>
      </c>
      <c r="D563" t="inlineStr">
        <is>
          <t>JÄMTLANDS LÄN</t>
        </is>
      </c>
      <c r="E563" t="inlineStr">
        <is>
          <t>ÖSTERSUND</t>
        </is>
      </c>
      <c r="G563" t="n">
        <v>3</v>
      </c>
      <c r="H563" t="n">
        <v>0</v>
      </c>
      <c r="I563" t="n">
        <v>0</v>
      </c>
      <c r="J563" t="n">
        <v>0</v>
      </c>
      <c r="K563" t="n">
        <v>0</v>
      </c>
      <c r="L563" t="n">
        <v>0</v>
      </c>
      <c r="M563" t="n">
        <v>0</v>
      </c>
      <c r="N563" t="n">
        <v>0</v>
      </c>
      <c r="O563" t="n">
        <v>0</v>
      </c>
      <c r="P563" t="n">
        <v>0</v>
      </c>
      <c r="Q563" t="n">
        <v>0</v>
      </c>
      <c r="R563" s="2" t="inlineStr"/>
    </row>
    <row r="564" ht="15" customHeight="1">
      <c r="A564" t="inlineStr">
        <is>
          <t>A 1901-2026</t>
        </is>
      </c>
      <c r="B564" s="1" t="n">
        <v>46032</v>
      </c>
      <c r="C564" s="1" t="n">
        <v>46050</v>
      </c>
      <c r="D564" t="inlineStr">
        <is>
          <t>JÄMTLANDS LÄN</t>
        </is>
      </c>
      <c r="E564" t="inlineStr">
        <is>
          <t>ÖSTERSUND</t>
        </is>
      </c>
      <c r="G564" t="n">
        <v>6.4</v>
      </c>
      <c r="H564" t="n">
        <v>0</v>
      </c>
      <c r="I564" t="n">
        <v>0</v>
      </c>
      <c r="J564" t="n">
        <v>0</v>
      </c>
      <c r="K564" t="n">
        <v>0</v>
      </c>
      <c r="L564" t="n">
        <v>0</v>
      </c>
      <c r="M564" t="n">
        <v>0</v>
      </c>
      <c r="N564" t="n">
        <v>0</v>
      </c>
      <c r="O564" t="n">
        <v>0</v>
      </c>
      <c r="P564" t="n">
        <v>0</v>
      </c>
      <c r="Q564" t="n">
        <v>0</v>
      </c>
      <c r="R564" s="2" t="inlineStr"/>
    </row>
    <row r="565" ht="15" customHeight="1">
      <c r="A565" t="inlineStr">
        <is>
          <t>A 2974-2026</t>
        </is>
      </c>
      <c r="B565" s="1" t="n">
        <v>46038.62193287037</v>
      </c>
      <c r="C565" s="1" t="n">
        <v>46050</v>
      </c>
      <c r="D565" t="inlineStr">
        <is>
          <t>JÄMTLANDS LÄN</t>
        </is>
      </c>
      <c r="E565" t="inlineStr">
        <is>
          <t>ÖSTERSUND</t>
        </is>
      </c>
      <c r="G565" t="n">
        <v>4.5</v>
      </c>
      <c r="H565" t="n">
        <v>0</v>
      </c>
      <c r="I565" t="n">
        <v>0</v>
      </c>
      <c r="J565" t="n">
        <v>0</v>
      </c>
      <c r="K565" t="n">
        <v>0</v>
      </c>
      <c r="L565" t="n">
        <v>0</v>
      </c>
      <c r="M565" t="n">
        <v>0</v>
      </c>
      <c r="N565" t="n">
        <v>0</v>
      </c>
      <c r="O565" t="n">
        <v>0</v>
      </c>
      <c r="P565" t="n">
        <v>0</v>
      </c>
      <c r="Q565" t="n">
        <v>0</v>
      </c>
      <c r="R565" s="2" t="inlineStr"/>
    </row>
    <row r="566" ht="15" customHeight="1">
      <c r="A566" t="inlineStr">
        <is>
          <t>A 14523-2023</t>
        </is>
      </c>
      <c r="B566" s="1" t="n">
        <v>45012</v>
      </c>
      <c r="C566" s="1" t="n">
        <v>46050</v>
      </c>
      <c r="D566" t="inlineStr">
        <is>
          <t>JÄMTLANDS LÄN</t>
        </is>
      </c>
      <c r="E566" t="inlineStr">
        <is>
          <t>ÖSTERSUND</t>
        </is>
      </c>
      <c r="G566" t="n">
        <v>4.5</v>
      </c>
      <c r="H566" t="n">
        <v>0</v>
      </c>
      <c r="I566" t="n">
        <v>0</v>
      </c>
      <c r="J566" t="n">
        <v>0</v>
      </c>
      <c r="K566" t="n">
        <v>0</v>
      </c>
      <c r="L566" t="n">
        <v>0</v>
      </c>
      <c r="M566" t="n">
        <v>0</v>
      </c>
      <c r="N566" t="n">
        <v>0</v>
      </c>
      <c r="O566" t="n">
        <v>0</v>
      </c>
      <c r="P566" t="n">
        <v>0</v>
      </c>
      <c r="Q566" t="n">
        <v>0</v>
      </c>
      <c r="R566" s="2" t="inlineStr"/>
    </row>
    <row r="567" ht="15" customHeight="1">
      <c r="A567" t="inlineStr">
        <is>
          <t>A 721-2026</t>
        </is>
      </c>
      <c r="B567" s="1" t="n">
        <v>46029</v>
      </c>
      <c r="C567" s="1" t="n">
        <v>46050</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1159-2024</t>
        </is>
      </c>
      <c r="B568" s="1" t="n">
        <v>45302.52006944444</v>
      </c>
      <c r="C568" s="1" t="n">
        <v>46050</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2986-2026</t>
        </is>
      </c>
      <c r="B569" s="1" t="n">
        <v>46038.6322337963</v>
      </c>
      <c r="C569" s="1" t="n">
        <v>46050</v>
      </c>
      <c r="D569" t="inlineStr">
        <is>
          <t>JÄMTLANDS LÄN</t>
        </is>
      </c>
      <c r="E569" t="inlineStr">
        <is>
          <t>ÖSTERSUND</t>
        </is>
      </c>
      <c r="G569" t="n">
        <v>8.6</v>
      </c>
      <c r="H569" t="n">
        <v>0</v>
      </c>
      <c r="I569" t="n">
        <v>0</v>
      </c>
      <c r="J569" t="n">
        <v>0</v>
      </c>
      <c r="K569" t="n">
        <v>0</v>
      </c>
      <c r="L569" t="n">
        <v>0</v>
      </c>
      <c r="M569" t="n">
        <v>0</v>
      </c>
      <c r="N569" t="n">
        <v>0</v>
      </c>
      <c r="O569" t="n">
        <v>0</v>
      </c>
      <c r="P569" t="n">
        <v>0</v>
      </c>
      <c r="Q569" t="n">
        <v>0</v>
      </c>
      <c r="R569" s="2" t="inlineStr"/>
    </row>
    <row r="570" ht="15" customHeight="1">
      <c r="A570" t="inlineStr">
        <is>
          <t>A 3197-2026</t>
        </is>
      </c>
      <c r="B570" s="1" t="n">
        <v>46041.47474537037</v>
      </c>
      <c r="C570" s="1" t="n">
        <v>46050</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15669-2025</t>
        </is>
      </c>
      <c r="B571" s="1" t="n">
        <v>45748.4396412037</v>
      </c>
      <c r="C571" s="1" t="n">
        <v>46050</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60048-2025</t>
        </is>
      </c>
      <c r="B572" s="1" t="n">
        <v>45993</v>
      </c>
      <c r="C572" s="1" t="n">
        <v>46050</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2971-2026</t>
        </is>
      </c>
      <c r="B573" s="1" t="n">
        <v>46038.62047453703</v>
      </c>
      <c r="C573" s="1" t="n">
        <v>46050</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2988-2026</t>
        </is>
      </c>
      <c r="B574" s="1" t="n">
        <v>46038.6360300926</v>
      </c>
      <c r="C574" s="1" t="n">
        <v>46050</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3122-2025</t>
        </is>
      </c>
      <c r="B575" s="1" t="n">
        <v>45678</v>
      </c>
      <c r="C575" s="1" t="n">
        <v>46050</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61222-2025</t>
        </is>
      </c>
      <c r="B576" s="1" t="n">
        <v>46000.62851851852</v>
      </c>
      <c r="C576" s="1" t="n">
        <v>46050</v>
      </c>
      <c r="D576" t="inlineStr">
        <is>
          <t>JÄMTLANDS LÄN</t>
        </is>
      </c>
      <c r="E576" t="inlineStr">
        <is>
          <t>ÖSTERSUND</t>
        </is>
      </c>
      <c r="G576" t="n">
        <v>9.1</v>
      </c>
      <c r="H576" t="n">
        <v>0</v>
      </c>
      <c r="I576" t="n">
        <v>0</v>
      </c>
      <c r="J576" t="n">
        <v>0</v>
      </c>
      <c r="K576" t="n">
        <v>0</v>
      </c>
      <c r="L576" t="n">
        <v>0</v>
      </c>
      <c r="M576" t="n">
        <v>0</v>
      </c>
      <c r="N576" t="n">
        <v>0</v>
      </c>
      <c r="O576" t="n">
        <v>0</v>
      </c>
      <c r="P576" t="n">
        <v>0</v>
      </c>
      <c r="Q576" t="n">
        <v>0</v>
      </c>
      <c r="R576" s="2" t="inlineStr"/>
    </row>
    <row r="577" ht="15" customHeight="1">
      <c r="A577" t="inlineStr">
        <is>
          <t>A 61235-2025</t>
        </is>
      </c>
      <c r="B577" s="1" t="n">
        <v>46000.63969907408</v>
      </c>
      <c r="C577" s="1" t="n">
        <v>46050</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61267-2025</t>
        </is>
      </c>
      <c r="B578" s="1" t="n">
        <v>46000.67793981481</v>
      </c>
      <c r="C578" s="1" t="n">
        <v>46050</v>
      </c>
      <c r="D578" t="inlineStr">
        <is>
          <t>JÄMTLANDS LÄN</t>
        </is>
      </c>
      <c r="E578" t="inlineStr">
        <is>
          <t>ÖSTERSUND</t>
        </is>
      </c>
      <c r="G578" t="n">
        <v>3.6</v>
      </c>
      <c r="H578" t="n">
        <v>0</v>
      </c>
      <c r="I578" t="n">
        <v>0</v>
      </c>
      <c r="J578" t="n">
        <v>0</v>
      </c>
      <c r="K578" t="n">
        <v>0</v>
      </c>
      <c r="L578" t="n">
        <v>0</v>
      </c>
      <c r="M578" t="n">
        <v>0</v>
      </c>
      <c r="N578" t="n">
        <v>0</v>
      </c>
      <c r="O578" t="n">
        <v>0</v>
      </c>
      <c r="P578" t="n">
        <v>0</v>
      </c>
      <c r="Q578" t="n">
        <v>0</v>
      </c>
      <c r="R578" s="2" t="inlineStr"/>
    </row>
    <row r="579" ht="15" customHeight="1">
      <c r="A579" t="inlineStr">
        <is>
          <t>A 60575-2022</t>
        </is>
      </c>
      <c r="B579" s="1" t="n">
        <v>44911.5662037037</v>
      </c>
      <c r="C579" s="1" t="n">
        <v>46050</v>
      </c>
      <c r="D579" t="inlineStr">
        <is>
          <t>JÄMTLANDS LÄN</t>
        </is>
      </c>
      <c r="E579" t="inlineStr">
        <is>
          <t>ÖSTERSUND</t>
        </is>
      </c>
      <c r="G579" t="n">
        <v>1</v>
      </c>
      <c r="H579" t="n">
        <v>0</v>
      </c>
      <c r="I579" t="n">
        <v>0</v>
      </c>
      <c r="J579" t="n">
        <v>0</v>
      </c>
      <c r="K579" t="n">
        <v>0</v>
      </c>
      <c r="L579" t="n">
        <v>0</v>
      </c>
      <c r="M579" t="n">
        <v>0</v>
      </c>
      <c r="N579" t="n">
        <v>0</v>
      </c>
      <c r="O579" t="n">
        <v>0</v>
      </c>
      <c r="P579" t="n">
        <v>0</v>
      </c>
      <c r="Q579" t="n">
        <v>0</v>
      </c>
      <c r="R579" s="2" t="inlineStr"/>
    </row>
    <row r="580" ht="15" customHeight="1">
      <c r="A580" t="inlineStr">
        <is>
          <t>A 53060-2024</t>
        </is>
      </c>
      <c r="B580" s="1" t="n">
        <v>45611.46912037037</v>
      </c>
      <c r="C580" s="1" t="n">
        <v>46050</v>
      </c>
      <c r="D580" t="inlineStr">
        <is>
          <t>JÄMTLANDS LÄN</t>
        </is>
      </c>
      <c r="E580" t="inlineStr">
        <is>
          <t>ÖSTERSUND</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23555-2022</t>
        </is>
      </c>
      <c r="B581" s="1" t="n">
        <v>44721</v>
      </c>
      <c r="C581" s="1" t="n">
        <v>46050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54237-2024</t>
        </is>
      </c>
      <c r="B582" s="1" t="n">
        <v>45616.67833333334</v>
      </c>
      <c r="C582" s="1" t="n">
        <v>46050</v>
      </c>
      <c r="D582" t="inlineStr">
        <is>
          <t>JÄMTLANDS LÄN</t>
        </is>
      </c>
      <c r="E582" t="inlineStr">
        <is>
          <t>ÖSTERSUND</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61427-2025</t>
        </is>
      </c>
      <c r="B583" s="1" t="n">
        <v>46000</v>
      </c>
      <c r="C583" s="1" t="n">
        <v>46050</v>
      </c>
      <c r="D583" t="inlineStr">
        <is>
          <t>JÄMTLANDS LÄN</t>
        </is>
      </c>
      <c r="E583" t="inlineStr">
        <is>
          <t>ÖSTERSUND</t>
        </is>
      </c>
      <c r="G583" t="n">
        <v>0.3</v>
      </c>
      <c r="H583" t="n">
        <v>0</v>
      </c>
      <c r="I583" t="n">
        <v>0</v>
      </c>
      <c r="J583" t="n">
        <v>0</v>
      </c>
      <c r="K583" t="n">
        <v>0</v>
      </c>
      <c r="L583" t="n">
        <v>0</v>
      </c>
      <c r="M583" t="n">
        <v>0</v>
      </c>
      <c r="N583" t="n">
        <v>0</v>
      </c>
      <c r="O583" t="n">
        <v>0</v>
      </c>
      <c r="P583" t="n">
        <v>0</v>
      </c>
      <c r="Q583" t="n">
        <v>0</v>
      </c>
      <c r="R583" s="2" t="inlineStr"/>
    </row>
    <row r="584" ht="15" customHeight="1">
      <c r="A584" t="inlineStr">
        <is>
          <t>A 296-2023</t>
        </is>
      </c>
      <c r="B584" s="1" t="n">
        <v>44922</v>
      </c>
      <c r="C584" s="1" t="n">
        <v>46050</v>
      </c>
      <c r="D584" t="inlineStr">
        <is>
          <t>JÄMTLANDS LÄN</t>
        </is>
      </c>
      <c r="E584" t="inlineStr">
        <is>
          <t>ÖSTERSUND</t>
        </is>
      </c>
      <c r="G584" t="n">
        <v>0.8</v>
      </c>
      <c r="H584" t="n">
        <v>0</v>
      </c>
      <c r="I584" t="n">
        <v>0</v>
      </c>
      <c r="J584" t="n">
        <v>0</v>
      </c>
      <c r="K584" t="n">
        <v>0</v>
      </c>
      <c r="L584" t="n">
        <v>0</v>
      </c>
      <c r="M584" t="n">
        <v>0</v>
      </c>
      <c r="N584" t="n">
        <v>0</v>
      </c>
      <c r="O584" t="n">
        <v>0</v>
      </c>
      <c r="P584" t="n">
        <v>0</v>
      </c>
      <c r="Q584" t="n">
        <v>0</v>
      </c>
      <c r="R584" s="2" t="inlineStr"/>
    </row>
    <row r="585" ht="15" customHeight="1">
      <c r="A585" t="inlineStr">
        <is>
          <t>A 17732-2022</t>
        </is>
      </c>
      <c r="B585" s="1" t="n">
        <v>44680.92873842592</v>
      </c>
      <c r="C585" s="1" t="n">
        <v>46050</v>
      </c>
      <c r="D585" t="inlineStr">
        <is>
          <t>JÄMTLANDS LÄN</t>
        </is>
      </c>
      <c r="E585" t="inlineStr">
        <is>
          <t>ÖSTERSUND</t>
        </is>
      </c>
      <c r="G585" t="n">
        <v>5.4</v>
      </c>
      <c r="H585" t="n">
        <v>0</v>
      </c>
      <c r="I585" t="n">
        <v>0</v>
      </c>
      <c r="J585" t="n">
        <v>0</v>
      </c>
      <c r="K585" t="n">
        <v>0</v>
      </c>
      <c r="L585" t="n">
        <v>0</v>
      </c>
      <c r="M585" t="n">
        <v>0</v>
      </c>
      <c r="N585" t="n">
        <v>0</v>
      </c>
      <c r="O585" t="n">
        <v>0</v>
      </c>
      <c r="P585" t="n">
        <v>0</v>
      </c>
      <c r="Q585" t="n">
        <v>0</v>
      </c>
      <c r="R585" s="2" t="inlineStr"/>
    </row>
    <row r="586" ht="15" customHeight="1">
      <c r="A586" t="inlineStr">
        <is>
          <t>A 61330-2025</t>
        </is>
      </c>
      <c r="B586" s="1" t="n">
        <v>46001</v>
      </c>
      <c r="C586" s="1" t="n">
        <v>46050</v>
      </c>
      <c r="D586" t="inlineStr">
        <is>
          <t>JÄMTLANDS LÄN</t>
        </is>
      </c>
      <c r="E586" t="inlineStr">
        <is>
          <t>ÖSTERSUND</t>
        </is>
      </c>
      <c r="G586" t="n">
        <v>4.5</v>
      </c>
      <c r="H586" t="n">
        <v>0</v>
      </c>
      <c r="I586" t="n">
        <v>0</v>
      </c>
      <c r="J586" t="n">
        <v>0</v>
      </c>
      <c r="K586" t="n">
        <v>0</v>
      </c>
      <c r="L586" t="n">
        <v>0</v>
      </c>
      <c r="M586" t="n">
        <v>0</v>
      </c>
      <c r="N586" t="n">
        <v>0</v>
      </c>
      <c r="O586" t="n">
        <v>0</v>
      </c>
      <c r="P586" t="n">
        <v>0</v>
      </c>
      <c r="Q586" t="n">
        <v>0</v>
      </c>
      <c r="R586" s="2" t="inlineStr"/>
    </row>
    <row r="587" ht="15" customHeight="1">
      <c r="A587" t="inlineStr">
        <is>
          <t>A 4406-2026</t>
        </is>
      </c>
      <c r="B587" s="1" t="n">
        <v>46045.59430555555</v>
      </c>
      <c r="C587" s="1" t="n">
        <v>46050</v>
      </c>
      <c r="D587" t="inlineStr">
        <is>
          <t>JÄMTLANDS LÄN</t>
        </is>
      </c>
      <c r="E587" t="inlineStr">
        <is>
          <t>ÖSTERSUND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61836-2025</t>
        </is>
      </c>
      <c r="B588" s="1" t="n">
        <v>46003</v>
      </c>
      <c r="C588" s="1" t="n">
        <v>46050</v>
      </c>
      <c r="D588" t="inlineStr">
        <is>
          <t>JÄMTLANDS LÄN</t>
        </is>
      </c>
      <c r="E588" t="inlineStr">
        <is>
          <t>ÖSTERSUND</t>
        </is>
      </c>
      <c r="G588" t="n">
        <v>4.6</v>
      </c>
      <c r="H588" t="n">
        <v>0</v>
      </c>
      <c r="I588" t="n">
        <v>0</v>
      </c>
      <c r="J588" t="n">
        <v>0</v>
      </c>
      <c r="K588" t="n">
        <v>0</v>
      </c>
      <c r="L588" t="n">
        <v>0</v>
      </c>
      <c r="M588" t="n">
        <v>0</v>
      </c>
      <c r="N588" t="n">
        <v>0</v>
      </c>
      <c r="O588" t="n">
        <v>0</v>
      </c>
      <c r="P588" t="n">
        <v>0</v>
      </c>
      <c r="Q588" t="n">
        <v>0</v>
      </c>
      <c r="R588" s="2" t="inlineStr"/>
    </row>
    <row r="589" ht="15" customHeight="1">
      <c r="A589" t="inlineStr">
        <is>
          <t>A 4294-2026</t>
        </is>
      </c>
      <c r="B589" s="1" t="n">
        <v>46045.41643518519</v>
      </c>
      <c r="C589" s="1" t="n">
        <v>46050</v>
      </c>
      <c r="D589" t="inlineStr">
        <is>
          <t>JÄMTLANDS LÄN</t>
        </is>
      </c>
      <c r="E589" t="inlineStr">
        <is>
          <t>ÖSTERSUND</t>
        </is>
      </c>
      <c r="G589" t="n">
        <v>21.6</v>
      </c>
      <c r="H589" t="n">
        <v>0</v>
      </c>
      <c r="I589" t="n">
        <v>0</v>
      </c>
      <c r="J589" t="n">
        <v>0</v>
      </c>
      <c r="K589" t="n">
        <v>0</v>
      </c>
      <c r="L589" t="n">
        <v>0</v>
      </c>
      <c r="M589" t="n">
        <v>0</v>
      </c>
      <c r="N589" t="n">
        <v>0</v>
      </c>
      <c r="O589" t="n">
        <v>0</v>
      </c>
      <c r="P589" t="n">
        <v>0</v>
      </c>
      <c r="Q589" t="n">
        <v>0</v>
      </c>
      <c r="R589" s="2" t="inlineStr"/>
    </row>
    <row r="590" ht="15" customHeight="1">
      <c r="A590" t="inlineStr">
        <is>
          <t>A 61985-2025</t>
        </is>
      </c>
      <c r="B590" s="1" t="n">
        <v>46003.62509259259</v>
      </c>
      <c r="C590" s="1" t="n">
        <v>46050</v>
      </c>
      <c r="D590" t="inlineStr">
        <is>
          <t>JÄMTLANDS LÄN</t>
        </is>
      </c>
      <c r="E590" t="inlineStr">
        <is>
          <t>ÖSTERSUND</t>
        </is>
      </c>
      <c r="G590" t="n">
        <v>4.2</v>
      </c>
      <c r="H590" t="n">
        <v>0</v>
      </c>
      <c r="I590" t="n">
        <v>0</v>
      </c>
      <c r="J590" t="n">
        <v>0</v>
      </c>
      <c r="K590" t="n">
        <v>0</v>
      </c>
      <c r="L590" t="n">
        <v>0</v>
      </c>
      <c r="M590" t="n">
        <v>0</v>
      </c>
      <c r="N590" t="n">
        <v>0</v>
      </c>
      <c r="O590" t="n">
        <v>0</v>
      </c>
      <c r="P590" t="n">
        <v>0</v>
      </c>
      <c r="Q590" t="n">
        <v>0</v>
      </c>
      <c r="R590" s="2" t="inlineStr"/>
    </row>
    <row r="591" ht="15" customHeight="1">
      <c r="A591" t="inlineStr">
        <is>
          <t>A 57589-2024</t>
        </is>
      </c>
      <c r="B591" s="1" t="n">
        <v>45630.49710648148</v>
      </c>
      <c r="C591" s="1" t="n">
        <v>46050</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4423-2026</t>
        </is>
      </c>
      <c r="B592" s="1" t="n">
        <v>46045.61509259259</v>
      </c>
      <c r="C592" s="1" t="n">
        <v>46050</v>
      </c>
      <c r="D592" t="inlineStr">
        <is>
          <t>JÄMTLANDS LÄN</t>
        </is>
      </c>
      <c r="E592" t="inlineStr">
        <is>
          <t>ÖSTERSUND</t>
        </is>
      </c>
      <c r="G592" t="n">
        <v>1.3</v>
      </c>
      <c r="H592" t="n">
        <v>0</v>
      </c>
      <c r="I592" t="n">
        <v>0</v>
      </c>
      <c r="J592" t="n">
        <v>0</v>
      </c>
      <c r="K592" t="n">
        <v>0</v>
      </c>
      <c r="L592" t="n">
        <v>0</v>
      </c>
      <c r="M592" t="n">
        <v>0</v>
      </c>
      <c r="N592" t="n">
        <v>0</v>
      </c>
      <c r="O592" t="n">
        <v>0</v>
      </c>
      <c r="P592" t="n">
        <v>0</v>
      </c>
      <c r="Q592" t="n">
        <v>0</v>
      </c>
      <c r="R592" s="2" t="inlineStr"/>
    </row>
    <row r="593" ht="15" customHeight="1">
      <c r="A593" t="inlineStr">
        <is>
          <t>A 61944-2025</t>
        </is>
      </c>
      <c r="B593" s="1" t="n">
        <v>46003.56467592593</v>
      </c>
      <c r="C593" s="1" t="n">
        <v>46050</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61964-2025</t>
        </is>
      </c>
      <c r="B594" s="1" t="n">
        <v>46003</v>
      </c>
      <c r="C594" s="1" t="n">
        <v>46050</v>
      </c>
      <c r="D594" t="inlineStr">
        <is>
          <t>JÄMTLANDS LÄN</t>
        </is>
      </c>
      <c r="E594" t="inlineStr">
        <is>
          <t>ÖSTERSUND</t>
        </is>
      </c>
      <c r="G594" t="n">
        <v>16.5</v>
      </c>
      <c r="H594" t="n">
        <v>0</v>
      </c>
      <c r="I594" t="n">
        <v>0</v>
      </c>
      <c r="J594" t="n">
        <v>0</v>
      </c>
      <c r="K594" t="n">
        <v>0</v>
      </c>
      <c r="L594" t="n">
        <v>0</v>
      </c>
      <c r="M594" t="n">
        <v>0</v>
      </c>
      <c r="N594" t="n">
        <v>0</v>
      </c>
      <c r="O594" t="n">
        <v>0</v>
      </c>
      <c r="P594" t="n">
        <v>0</v>
      </c>
      <c r="Q594" t="n">
        <v>0</v>
      </c>
      <c r="R594" s="2" t="inlineStr"/>
    </row>
    <row r="595" ht="15" customHeight="1">
      <c r="A595" t="inlineStr">
        <is>
          <t>A 31040-2021</t>
        </is>
      </c>
      <c r="B595" s="1" t="n">
        <v>44368</v>
      </c>
      <c r="C595" s="1" t="n">
        <v>46050</v>
      </c>
      <c r="D595" t="inlineStr">
        <is>
          <t>JÄMTLANDS LÄN</t>
        </is>
      </c>
      <c r="E595" t="inlineStr">
        <is>
          <t>ÖSTERSUND</t>
        </is>
      </c>
      <c r="G595" t="n">
        <v>4.3</v>
      </c>
      <c r="H595" t="n">
        <v>0</v>
      </c>
      <c r="I595" t="n">
        <v>0</v>
      </c>
      <c r="J595" t="n">
        <v>0</v>
      </c>
      <c r="K595" t="n">
        <v>0</v>
      </c>
      <c r="L595" t="n">
        <v>0</v>
      </c>
      <c r="M595" t="n">
        <v>0</v>
      </c>
      <c r="N595" t="n">
        <v>0</v>
      </c>
      <c r="O595" t="n">
        <v>0</v>
      </c>
      <c r="P595" t="n">
        <v>0</v>
      </c>
      <c r="Q595" t="n">
        <v>0</v>
      </c>
      <c r="R595" s="2" t="inlineStr"/>
    </row>
    <row r="596" ht="15" customHeight="1">
      <c r="A596" t="inlineStr">
        <is>
          <t>A 61611-2025</t>
        </is>
      </c>
      <c r="B596" s="1" t="n">
        <v>46002</v>
      </c>
      <c r="C596" s="1" t="n">
        <v>46050</v>
      </c>
      <c r="D596" t="inlineStr">
        <is>
          <t>JÄMTLANDS LÄN</t>
        </is>
      </c>
      <c r="E596" t="inlineStr">
        <is>
          <t>ÖSTERSUND</t>
        </is>
      </c>
      <c r="G596" t="n">
        <v>5</v>
      </c>
      <c r="H596" t="n">
        <v>0</v>
      </c>
      <c r="I596" t="n">
        <v>0</v>
      </c>
      <c r="J596" t="n">
        <v>0</v>
      </c>
      <c r="K596" t="n">
        <v>0</v>
      </c>
      <c r="L596" t="n">
        <v>0</v>
      </c>
      <c r="M596" t="n">
        <v>0</v>
      </c>
      <c r="N596" t="n">
        <v>0</v>
      </c>
      <c r="O596" t="n">
        <v>0</v>
      </c>
      <c r="P596" t="n">
        <v>0</v>
      </c>
      <c r="Q596" t="n">
        <v>0</v>
      </c>
      <c r="R596" s="2" t="inlineStr"/>
    </row>
    <row r="597" ht="15" customHeight="1">
      <c r="A597" t="inlineStr">
        <is>
          <t>A 55678-2023</t>
        </is>
      </c>
      <c r="B597" s="1" t="n">
        <v>45239.33032407407</v>
      </c>
      <c r="C597" s="1" t="n">
        <v>46050</v>
      </c>
      <c r="D597" t="inlineStr">
        <is>
          <t>JÄMTLANDS LÄN</t>
        </is>
      </c>
      <c r="E597" t="inlineStr">
        <is>
          <t>ÖSTERSUND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61982-2025</t>
        </is>
      </c>
      <c r="B598" s="1" t="n">
        <v>46003.6159375</v>
      </c>
      <c r="C598" s="1" t="n">
        <v>46050</v>
      </c>
      <c r="D598" t="inlineStr">
        <is>
          <t>JÄMTLANDS LÄN</t>
        </is>
      </c>
      <c r="E598" t="inlineStr">
        <is>
          <t>ÖSTERSUND</t>
        </is>
      </c>
      <c r="G598" t="n">
        <v>4.7</v>
      </c>
      <c r="H598" t="n">
        <v>0</v>
      </c>
      <c r="I598" t="n">
        <v>0</v>
      </c>
      <c r="J598" t="n">
        <v>0</v>
      </c>
      <c r="K598" t="n">
        <v>0</v>
      </c>
      <c r="L598" t="n">
        <v>0</v>
      </c>
      <c r="M598" t="n">
        <v>0</v>
      </c>
      <c r="N598" t="n">
        <v>0</v>
      </c>
      <c r="O598" t="n">
        <v>0</v>
      </c>
      <c r="P598" t="n">
        <v>0</v>
      </c>
      <c r="Q598" t="n">
        <v>0</v>
      </c>
      <c r="R598" s="2" t="inlineStr"/>
    </row>
    <row r="599" ht="15" customHeight="1">
      <c r="A599" t="inlineStr">
        <is>
          <t>A 61849-2025</t>
        </is>
      </c>
      <c r="B599" s="1" t="n">
        <v>46003.38026620371</v>
      </c>
      <c r="C599" s="1" t="n">
        <v>46050</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4223-2026</t>
        </is>
      </c>
      <c r="B600" s="1" t="n">
        <v>46044.84650462963</v>
      </c>
      <c r="C600" s="1" t="n">
        <v>46050</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4382-2026</t>
        </is>
      </c>
      <c r="B601" s="1" t="n">
        <v>46045.56253472222</v>
      </c>
      <c r="C601" s="1" t="n">
        <v>46050</v>
      </c>
      <c r="D601" t="inlineStr">
        <is>
          <t>JÄMTLANDS LÄN</t>
        </is>
      </c>
      <c r="E601" t="inlineStr">
        <is>
          <t>ÖSTERSUND</t>
        </is>
      </c>
      <c r="G601" t="n">
        <v>13.5</v>
      </c>
      <c r="H601" t="n">
        <v>0</v>
      </c>
      <c r="I601" t="n">
        <v>0</v>
      </c>
      <c r="J601" t="n">
        <v>0</v>
      </c>
      <c r="K601" t="n">
        <v>0</v>
      </c>
      <c r="L601" t="n">
        <v>0</v>
      </c>
      <c r="M601" t="n">
        <v>0</v>
      </c>
      <c r="N601" t="n">
        <v>0</v>
      </c>
      <c r="O601" t="n">
        <v>0</v>
      </c>
      <c r="P601" t="n">
        <v>0</v>
      </c>
      <c r="Q601" t="n">
        <v>0</v>
      </c>
      <c r="R601" s="2" t="inlineStr"/>
    </row>
    <row r="602" ht="15" customHeight="1">
      <c r="A602" t="inlineStr">
        <is>
          <t>A 4226-2026</t>
        </is>
      </c>
      <c r="B602" s="1" t="n">
        <v>46044.85285879629</v>
      </c>
      <c r="C602" s="1" t="n">
        <v>46050</v>
      </c>
      <c r="D602" t="inlineStr">
        <is>
          <t>JÄMTLANDS LÄN</t>
        </is>
      </c>
      <c r="E602" t="inlineStr">
        <is>
          <t>ÖSTERSUND</t>
        </is>
      </c>
      <c r="G602" t="n">
        <v>2.1</v>
      </c>
      <c r="H602" t="n">
        <v>0</v>
      </c>
      <c r="I602" t="n">
        <v>0</v>
      </c>
      <c r="J602" t="n">
        <v>0</v>
      </c>
      <c r="K602" t="n">
        <v>0</v>
      </c>
      <c r="L602" t="n">
        <v>0</v>
      </c>
      <c r="M602" t="n">
        <v>0</v>
      </c>
      <c r="N602" t="n">
        <v>0</v>
      </c>
      <c r="O602" t="n">
        <v>0</v>
      </c>
      <c r="P602" t="n">
        <v>0</v>
      </c>
      <c r="Q602" t="n">
        <v>0</v>
      </c>
      <c r="R602" s="2" t="inlineStr"/>
    </row>
    <row r="603" ht="15" customHeight="1">
      <c r="A603" t="inlineStr">
        <is>
          <t>A 62176-2025</t>
        </is>
      </c>
      <c r="B603" s="1" t="n">
        <v>46006.51157407407</v>
      </c>
      <c r="C603" s="1" t="n">
        <v>46050</v>
      </c>
      <c r="D603" t="inlineStr">
        <is>
          <t>JÄMTLANDS LÄN</t>
        </is>
      </c>
      <c r="E603" t="inlineStr">
        <is>
          <t>ÖSTERSUND</t>
        </is>
      </c>
      <c r="G603" t="n">
        <v>0.7</v>
      </c>
      <c r="H603" t="n">
        <v>0</v>
      </c>
      <c r="I603" t="n">
        <v>0</v>
      </c>
      <c r="J603" t="n">
        <v>0</v>
      </c>
      <c r="K603" t="n">
        <v>0</v>
      </c>
      <c r="L603" t="n">
        <v>0</v>
      </c>
      <c r="M603" t="n">
        <v>0</v>
      </c>
      <c r="N603" t="n">
        <v>0</v>
      </c>
      <c r="O603" t="n">
        <v>0</v>
      </c>
      <c r="P603" t="n">
        <v>0</v>
      </c>
      <c r="Q603" t="n">
        <v>0</v>
      </c>
      <c r="R603" s="2" t="inlineStr"/>
    </row>
    <row r="604" ht="15" customHeight="1">
      <c r="A604" t="inlineStr">
        <is>
          <t>A 15659-2021</t>
        </is>
      </c>
      <c r="B604" s="1" t="n">
        <v>44298</v>
      </c>
      <c r="C604" s="1" t="n">
        <v>46050</v>
      </c>
      <c r="D604" t="inlineStr">
        <is>
          <t>JÄMTLANDS LÄN</t>
        </is>
      </c>
      <c r="E604" t="inlineStr">
        <is>
          <t>ÖSTERSUND</t>
        </is>
      </c>
      <c r="G604" t="n">
        <v>13.3</v>
      </c>
      <c r="H604" t="n">
        <v>0</v>
      </c>
      <c r="I604" t="n">
        <v>0</v>
      </c>
      <c r="J604" t="n">
        <v>0</v>
      </c>
      <c r="K604" t="n">
        <v>0</v>
      </c>
      <c r="L604" t="n">
        <v>0</v>
      </c>
      <c r="M604" t="n">
        <v>0</v>
      </c>
      <c r="N604" t="n">
        <v>0</v>
      </c>
      <c r="O604" t="n">
        <v>0</v>
      </c>
      <c r="P604" t="n">
        <v>0</v>
      </c>
      <c r="Q604" t="n">
        <v>0</v>
      </c>
      <c r="R604" s="2" t="inlineStr"/>
    </row>
    <row r="605" ht="15" customHeight="1">
      <c r="A605" t="inlineStr">
        <is>
          <t>A 62175-2025</t>
        </is>
      </c>
      <c r="B605" s="1" t="n">
        <v>46006.51155092593</v>
      </c>
      <c r="C605" s="1" t="n">
        <v>46050</v>
      </c>
      <c r="D605" t="inlineStr">
        <is>
          <t>JÄMTLANDS LÄN</t>
        </is>
      </c>
      <c r="E605" t="inlineStr">
        <is>
          <t>ÖSTERSUND</t>
        </is>
      </c>
      <c r="G605" t="n">
        <v>1.3</v>
      </c>
      <c r="H605" t="n">
        <v>0</v>
      </c>
      <c r="I605" t="n">
        <v>0</v>
      </c>
      <c r="J605" t="n">
        <v>0</v>
      </c>
      <c r="K605" t="n">
        <v>0</v>
      </c>
      <c r="L605" t="n">
        <v>0</v>
      </c>
      <c r="M605" t="n">
        <v>0</v>
      </c>
      <c r="N605" t="n">
        <v>0</v>
      </c>
      <c r="O605" t="n">
        <v>0</v>
      </c>
      <c r="P605" t="n">
        <v>0</v>
      </c>
      <c r="Q605" t="n">
        <v>0</v>
      </c>
      <c r="R605" s="2" t="inlineStr"/>
    </row>
    <row r="606" ht="15" customHeight="1">
      <c r="A606" t="inlineStr">
        <is>
          <t>A 56847-2024</t>
        </is>
      </c>
      <c r="B606" s="1" t="n">
        <v>45628.53381944444</v>
      </c>
      <c r="C606" s="1" t="n">
        <v>46050</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19323-2024</t>
        </is>
      </c>
      <c r="B607" s="1" t="n">
        <v>45428.92486111111</v>
      </c>
      <c r="C607" s="1" t="n">
        <v>46050</v>
      </c>
      <c r="D607" t="inlineStr">
        <is>
          <t>JÄMTLANDS LÄN</t>
        </is>
      </c>
      <c r="E607" t="inlineStr">
        <is>
          <t>ÖSTERSUND</t>
        </is>
      </c>
      <c r="F607" t="inlineStr">
        <is>
          <t>Kommuner</t>
        </is>
      </c>
      <c r="G607" t="n">
        <v>0.2</v>
      </c>
      <c r="H607" t="n">
        <v>0</v>
      </c>
      <c r="I607" t="n">
        <v>0</v>
      </c>
      <c r="J607" t="n">
        <v>0</v>
      </c>
      <c r="K607" t="n">
        <v>0</v>
      </c>
      <c r="L607" t="n">
        <v>0</v>
      </c>
      <c r="M607" t="n">
        <v>0</v>
      </c>
      <c r="N607" t="n">
        <v>0</v>
      </c>
      <c r="O607" t="n">
        <v>0</v>
      </c>
      <c r="P607" t="n">
        <v>0</v>
      </c>
      <c r="Q607" t="n">
        <v>0</v>
      </c>
      <c r="R607" s="2" t="inlineStr"/>
    </row>
    <row r="608" ht="15" customHeight="1">
      <c r="A608" t="inlineStr">
        <is>
          <t>A 62437-2025</t>
        </is>
      </c>
      <c r="B608" s="1" t="n">
        <v>46007.46907407408</v>
      </c>
      <c r="C608" s="1" t="n">
        <v>46050</v>
      </c>
      <c r="D608" t="inlineStr">
        <is>
          <t>JÄMTLANDS LÄN</t>
        </is>
      </c>
      <c r="E608" t="inlineStr">
        <is>
          <t>ÖSTERSUND</t>
        </is>
      </c>
      <c r="G608" t="n">
        <v>6.3</v>
      </c>
      <c r="H608" t="n">
        <v>0</v>
      </c>
      <c r="I608" t="n">
        <v>0</v>
      </c>
      <c r="J608" t="n">
        <v>0</v>
      </c>
      <c r="K608" t="n">
        <v>0</v>
      </c>
      <c r="L608" t="n">
        <v>0</v>
      </c>
      <c r="M608" t="n">
        <v>0</v>
      </c>
      <c r="N608" t="n">
        <v>0</v>
      </c>
      <c r="O608" t="n">
        <v>0</v>
      </c>
      <c r="P608" t="n">
        <v>0</v>
      </c>
      <c r="Q608" t="n">
        <v>0</v>
      </c>
      <c r="R608" s="2" t="inlineStr"/>
    </row>
    <row r="609" ht="15" customHeight="1">
      <c r="A609" t="inlineStr">
        <is>
          <t>A 7005-2025</t>
        </is>
      </c>
      <c r="B609" s="1" t="n">
        <v>45701.60046296296</v>
      </c>
      <c r="C609" s="1" t="n">
        <v>46050</v>
      </c>
      <c r="D609" t="inlineStr">
        <is>
          <t>JÄMTLANDS LÄN</t>
        </is>
      </c>
      <c r="E609" t="inlineStr">
        <is>
          <t>ÖSTERSUND</t>
        </is>
      </c>
      <c r="G609" t="n">
        <v>3.3</v>
      </c>
      <c r="H609" t="n">
        <v>0</v>
      </c>
      <c r="I609" t="n">
        <v>0</v>
      </c>
      <c r="J609" t="n">
        <v>0</v>
      </c>
      <c r="K609" t="n">
        <v>0</v>
      </c>
      <c r="L609" t="n">
        <v>0</v>
      </c>
      <c r="M609" t="n">
        <v>0</v>
      </c>
      <c r="N609" t="n">
        <v>0</v>
      </c>
      <c r="O609" t="n">
        <v>0</v>
      </c>
      <c r="P609" t="n">
        <v>0</v>
      </c>
      <c r="Q609" t="n">
        <v>0</v>
      </c>
      <c r="R609" s="2" t="inlineStr"/>
    </row>
    <row r="610" ht="15" customHeight="1">
      <c r="A610" t="inlineStr">
        <is>
          <t>A 4936-2026</t>
        </is>
      </c>
      <c r="B610" s="1" t="n">
        <v>46048.89435185185</v>
      </c>
      <c r="C610" s="1" t="n">
        <v>46050</v>
      </c>
      <c r="D610" t="inlineStr">
        <is>
          <t>JÄMTLANDS LÄN</t>
        </is>
      </c>
      <c r="E610" t="inlineStr">
        <is>
          <t>ÖSTERSUND</t>
        </is>
      </c>
      <c r="G610" t="n">
        <v>0.9</v>
      </c>
      <c r="H610" t="n">
        <v>0</v>
      </c>
      <c r="I610" t="n">
        <v>0</v>
      </c>
      <c r="J610" t="n">
        <v>0</v>
      </c>
      <c r="K610" t="n">
        <v>0</v>
      </c>
      <c r="L610" t="n">
        <v>0</v>
      </c>
      <c r="M610" t="n">
        <v>0</v>
      </c>
      <c r="N610" t="n">
        <v>0</v>
      </c>
      <c r="O610" t="n">
        <v>0</v>
      </c>
      <c r="P610" t="n">
        <v>0</v>
      </c>
      <c r="Q610" t="n">
        <v>0</v>
      </c>
      <c r="R610" s="2" t="inlineStr"/>
    </row>
    <row r="611" ht="15" customHeight="1">
      <c r="A611" t="inlineStr">
        <is>
          <t>A 62452-2025</t>
        </is>
      </c>
      <c r="B611" s="1" t="n">
        <v>46007.49001157407</v>
      </c>
      <c r="C611" s="1" t="n">
        <v>46050</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62509-2025</t>
        </is>
      </c>
      <c r="B612" s="1" t="n">
        <v>46007.5958912037</v>
      </c>
      <c r="C612" s="1" t="n">
        <v>46050</v>
      </c>
      <c r="D612" t="inlineStr">
        <is>
          <t>JÄMTLANDS LÄN</t>
        </is>
      </c>
      <c r="E612" t="inlineStr">
        <is>
          <t>ÖSTERSUND</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27294-2023</t>
        </is>
      </c>
      <c r="B613" s="1" t="n">
        <v>45092</v>
      </c>
      <c r="C613" s="1" t="n">
        <v>46050</v>
      </c>
      <c r="D613" t="inlineStr">
        <is>
          <t>JÄMTLANDS LÄN</t>
        </is>
      </c>
      <c r="E613" t="inlineStr">
        <is>
          <t>ÖSTERSUND</t>
        </is>
      </c>
      <c r="G613" t="n">
        <v>2.8</v>
      </c>
      <c r="H613" t="n">
        <v>0</v>
      </c>
      <c r="I613" t="n">
        <v>0</v>
      </c>
      <c r="J613" t="n">
        <v>0</v>
      </c>
      <c r="K613" t="n">
        <v>0</v>
      </c>
      <c r="L613" t="n">
        <v>0</v>
      </c>
      <c r="M613" t="n">
        <v>0</v>
      </c>
      <c r="N613" t="n">
        <v>0</v>
      </c>
      <c r="O613" t="n">
        <v>0</v>
      </c>
      <c r="P613" t="n">
        <v>0</v>
      </c>
      <c r="Q613" t="n">
        <v>0</v>
      </c>
      <c r="R613" s="2" t="inlineStr"/>
    </row>
    <row r="614" ht="15" customHeight="1">
      <c r="A614" t="inlineStr">
        <is>
          <t>A 8389-2025</t>
        </is>
      </c>
      <c r="B614" s="1" t="n">
        <v>45709.36497685185</v>
      </c>
      <c r="C614" s="1" t="n">
        <v>46050</v>
      </c>
      <c r="D614" t="inlineStr">
        <is>
          <t>JÄMTLANDS LÄN</t>
        </is>
      </c>
      <c r="E614" t="inlineStr">
        <is>
          <t>ÖSTERSUND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4775-2026</t>
        </is>
      </c>
      <c r="B615" s="1" t="n">
        <v>46045</v>
      </c>
      <c r="C615" s="1" t="n">
        <v>46050</v>
      </c>
      <c r="D615" t="inlineStr">
        <is>
          <t>JÄMTLANDS LÄN</t>
        </is>
      </c>
      <c r="E615" t="inlineStr">
        <is>
          <t>ÖSTERSUND</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62369-2025</t>
        </is>
      </c>
      <c r="B616" s="1" t="n">
        <v>46007.33719907407</v>
      </c>
      <c r="C616" s="1" t="n">
        <v>46050</v>
      </c>
      <c r="D616" t="inlineStr">
        <is>
          <t>JÄMTLANDS LÄN</t>
        </is>
      </c>
      <c r="E616" t="inlineStr">
        <is>
          <t>ÖSTERSUND</t>
        </is>
      </c>
      <c r="F616" t="inlineStr">
        <is>
          <t>Sveaskog</t>
        </is>
      </c>
      <c r="G616" t="n">
        <v>20.3</v>
      </c>
      <c r="H616" t="n">
        <v>0</v>
      </c>
      <c r="I616" t="n">
        <v>0</v>
      </c>
      <c r="J616" t="n">
        <v>0</v>
      </c>
      <c r="K616" t="n">
        <v>0</v>
      </c>
      <c r="L616" t="n">
        <v>0</v>
      </c>
      <c r="M616" t="n">
        <v>0</v>
      </c>
      <c r="N616" t="n">
        <v>0</v>
      </c>
      <c r="O616" t="n">
        <v>0</v>
      </c>
      <c r="P616" t="n">
        <v>0</v>
      </c>
      <c r="Q616" t="n">
        <v>0</v>
      </c>
      <c r="R616" s="2" t="inlineStr"/>
    </row>
    <row r="617" ht="15" customHeight="1">
      <c r="A617" t="inlineStr">
        <is>
          <t>A 17570-2025</t>
        </is>
      </c>
      <c r="B617" s="1" t="n">
        <v>45757.64563657407</v>
      </c>
      <c r="C617" s="1" t="n">
        <v>46050</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41280-2024</t>
        </is>
      </c>
      <c r="B618" s="1" t="n">
        <v>45559.59476851852</v>
      </c>
      <c r="C618" s="1" t="n">
        <v>46050</v>
      </c>
      <c r="D618" t="inlineStr">
        <is>
          <t>JÄMTLANDS LÄN</t>
        </is>
      </c>
      <c r="E618" t="inlineStr">
        <is>
          <t>ÖSTERSUND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12429-2025</t>
        </is>
      </c>
      <c r="B619" s="1" t="n">
        <v>45730.45930555555</v>
      </c>
      <c r="C619" s="1" t="n">
        <v>46050</v>
      </c>
      <c r="D619" t="inlineStr">
        <is>
          <t>JÄMTLANDS LÄN</t>
        </is>
      </c>
      <c r="E619" t="inlineStr">
        <is>
          <t>ÖSTERSUND</t>
        </is>
      </c>
      <c r="F619" t="inlineStr">
        <is>
          <t>Övriga Aktiebolag</t>
        </is>
      </c>
      <c r="G619" t="n">
        <v>4.4</v>
      </c>
      <c r="H619" t="n">
        <v>0</v>
      </c>
      <c r="I619" t="n">
        <v>0</v>
      </c>
      <c r="J619" t="n">
        <v>0</v>
      </c>
      <c r="K619" t="n">
        <v>0</v>
      </c>
      <c r="L619" t="n">
        <v>0</v>
      </c>
      <c r="M619" t="n">
        <v>0</v>
      </c>
      <c r="N619" t="n">
        <v>0</v>
      </c>
      <c r="O619" t="n">
        <v>0</v>
      </c>
      <c r="P619" t="n">
        <v>0</v>
      </c>
      <c r="Q619" t="n">
        <v>0</v>
      </c>
      <c r="R619" s="2" t="inlineStr"/>
    </row>
    <row r="620" ht="15" customHeight="1">
      <c r="A620" t="inlineStr">
        <is>
          <t>A 19581-2025</t>
        </is>
      </c>
      <c r="B620" s="1" t="n">
        <v>45770.56363425926</v>
      </c>
      <c r="C620" s="1" t="n">
        <v>46050</v>
      </c>
      <c r="D620" t="inlineStr">
        <is>
          <t>JÄMTLANDS LÄN</t>
        </is>
      </c>
      <c r="E620" t="inlineStr">
        <is>
          <t>ÖSTERSUND</t>
        </is>
      </c>
      <c r="G620" t="n">
        <v>17.2</v>
      </c>
      <c r="H620" t="n">
        <v>0</v>
      </c>
      <c r="I620" t="n">
        <v>0</v>
      </c>
      <c r="J620" t="n">
        <v>0</v>
      </c>
      <c r="K620" t="n">
        <v>0</v>
      </c>
      <c r="L620" t="n">
        <v>0</v>
      </c>
      <c r="M620" t="n">
        <v>0</v>
      </c>
      <c r="N620" t="n">
        <v>0</v>
      </c>
      <c r="O620" t="n">
        <v>0</v>
      </c>
      <c r="P620" t="n">
        <v>0</v>
      </c>
      <c r="Q620" t="n">
        <v>0</v>
      </c>
      <c r="R620" s="2" t="inlineStr"/>
    </row>
    <row r="621" ht="15" customHeight="1">
      <c r="A621" t="inlineStr">
        <is>
          <t>A 24312-2021</t>
        </is>
      </c>
      <c r="B621" s="1" t="n">
        <v>44336</v>
      </c>
      <c r="C621" s="1" t="n">
        <v>46050</v>
      </c>
      <c r="D621" t="inlineStr">
        <is>
          <t>JÄMTLANDS LÄN</t>
        </is>
      </c>
      <c r="E621" t="inlineStr">
        <is>
          <t>ÖSTERSUND</t>
        </is>
      </c>
      <c r="G621" t="n">
        <v>10.6</v>
      </c>
      <c r="H621" t="n">
        <v>0</v>
      </c>
      <c r="I621" t="n">
        <v>0</v>
      </c>
      <c r="J621" t="n">
        <v>0</v>
      </c>
      <c r="K621" t="n">
        <v>0</v>
      </c>
      <c r="L621" t="n">
        <v>0</v>
      </c>
      <c r="M621" t="n">
        <v>0</v>
      </c>
      <c r="N621" t="n">
        <v>0</v>
      </c>
      <c r="O621" t="n">
        <v>0</v>
      </c>
      <c r="P621" t="n">
        <v>0</v>
      </c>
      <c r="Q621" t="n">
        <v>0</v>
      </c>
      <c r="R621" s="2" t="inlineStr"/>
    </row>
    <row r="622" ht="15" customHeight="1">
      <c r="A622" t="inlineStr">
        <is>
          <t>A 38926-2024</t>
        </is>
      </c>
      <c r="B622" s="1" t="n">
        <v>45547.90777777778</v>
      </c>
      <c r="C622" s="1" t="n">
        <v>46050</v>
      </c>
      <c r="D622" t="inlineStr">
        <is>
          <t>JÄMTLANDS LÄN</t>
        </is>
      </c>
      <c r="E622" t="inlineStr">
        <is>
          <t>ÖSTERSUND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55064-2024</t>
        </is>
      </c>
      <c r="B623" s="1" t="n">
        <v>45621.41050925926</v>
      </c>
      <c r="C623" s="1" t="n">
        <v>46050</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41802-2021</t>
        </is>
      </c>
      <c r="B624" s="1" t="n">
        <v>44425</v>
      </c>
      <c r="C624" s="1" t="n">
        <v>46050</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4063-2025</t>
        </is>
      </c>
      <c r="B625" s="1" t="n">
        <v>45684</v>
      </c>
      <c r="C625" s="1" t="n">
        <v>46050</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7224-2024</t>
        </is>
      </c>
      <c r="B626" s="1" t="n">
        <v>45344</v>
      </c>
      <c r="C626" s="1" t="n">
        <v>46050</v>
      </c>
      <c r="D626" t="inlineStr">
        <is>
          <t>JÄMTLANDS LÄN</t>
        </is>
      </c>
      <c r="E626" t="inlineStr">
        <is>
          <t>ÖSTERSUND</t>
        </is>
      </c>
      <c r="G626" t="n">
        <v>2.9</v>
      </c>
      <c r="H626" t="n">
        <v>0</v>
      </c>
      <c r="I626" t="n">
        <v>0</v>
      </c>
      <c r="J626" t="n">
        <v>0</v>
      </c>
      <c r="K626" t="n">
        <v>0</v>
      </c>
      <c r="L626" t="n">
        <v>0</v>
      </c>
      <c r="M626" t="n">
        <v>0</v>
      </c>
      <c r="N626" t="n">
        <v>0</v>
      </c>
      <c r="O626" t="n">
        <v>0</v>
      </c>
      <c r="P626" t="n">
        <v>0</v>
      </c>
      <c r="Q626" t="n">
        <v>0</v>
      </c>
      <c r="R626" s="2" t="inlineStr"/>
    </row>
    <row r="627" ht="15" customHeight="1">
      <c r="A627" t="inlineStr">
        <is>
          <t>A 62222-2022</t>
        </is>
      </c>
      <c r="B627" s="1" t="n">
        <v>44922</v>
      </c>
      <c r="C627" s="1" t="n">
        <v>46050</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47804-2024</t>
        </is>
      </c>
      <c r="B628" s="1" t="n">
        <v>45588.61498842593</v>
      </c>
      <c r="C628" s="1" t="n">
        <v>46050</v>
      </c>
      <c r="D628" t="inlineStr">
        <is>
          <t>JÄMTLANDS LÄN</t>
        </is>
      </c>
      <c r="E628" t="inlineStr">
        <is>
          <t>ÖSTERSUND</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50218-2024</t>
        </is>
      </c>
      <c r="B629" s="1" t="n">
        <v>45600.53160879629</v>
      </c>
      <c r="C629" s="1" t="n">
        <v>46050</v>
      </c>
      <c r="D629" t="inlineStr">
        <is>
          <t>JÄMTLANDS LÄN</t>
        </is>
      </c>
      <c r="E629" t="inlineStr">
        <is>
          <t>ÖSTERSUND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60780-2023</t>
        </is>
      </c>
      <c r="B630" s="1" t="n">
        <v>45260</v>
      </c>
      <c r="C630" s="1" t="n">
        <v>46050</v>
      </c>
      <c r="D630" t="inlineStr">
        <is>
          <t>JÄMTLANDS LÄN</t>
        </is>
      </c>
      <c r="E630" t="inlineStr">
        <is>
          <t>ÖSTERSUND</t>
        </is>
      </c>
      <c r="G630" t="n">
        <v>3.7</v>
      </c>
      <c r="H630" t="n">
        <v>0</v>
      </c>
      <c r="I630" t="n">
        <v>0</v>
      </c>
      <c r="J630" t="n">
        <v>0</v>
      </c>
      <c r="K630" t="n">
        <v>0</v>
      </c>
      <c r="L630" t="n">
        <v>0</v>
      </c>
      <c r="M630" t="n">
        <v>0</v>
      </c>
      <c r="N630" t="n">
        <v>0</v>
      </c>
      <c r="O630" t="n">
        <v>0</v>
      </c>
      <c r="P630" t="n">
        <v>0</v>
      </c>
      <c r="Q630" t="n">
        <v>0</v>
      </c>
      <c r="R630" s="2" t="inlineStr"/>
    </row>
    <row r="631" ht="15" customHeight="1">
      <c r="A631" t="inlineStr">
        <is>
          <t>A 60794-2023</t>
        </is>
      </c>
      <c r="B631" s="1" t="n">
        <v>45260</v>
      </c>
      <c r="C631" s="1" t="n">
        <v>46050</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11877-2024</t>
        </is>
      </c>
      <c r="B632" s="1" t="n">
        <v>45376</v>
      </c>
      <c r="C632" s="1" t="n">
        <v>46050</v>
      </c>
      <c r="D632" t="inlineStr">
        <is>
          <t>JÄMTLANDS LÄN</t>
        </is>
      </c>
      <c r="E632" t="inlineStr">
        <is>
          <t>ÖSTERSUND</t>
        </is>
      </c>
      <c r="G632" t="n">
        <v>2.6</v>
      </c>
      <c r="H632" t="n">
        <v>0</v>
      </c>
      <c r="I632" t="n">
        <v>0</v>
      </c>
      <c r="J632" t="n">
        <v>0</v>
      </c>
      <c r="K632" t="n">
        <v>0</v>
      </c>
      <c r="L632" t="n">
        <v>0</v>
      </c>
      <c r="M632" t="n">
        <v>0</v>
      </c>
      <c r="N632" t="n">
        <v>0</v>
      </c>
      <c r="O632" t="n">
        <v>0</v>
      </c>
      <c r="P632" t="n">
        <v>0</v>
      </c>
      <c r="Q632" t="n">
        <v>0</v>
      </c>
      <c r="R632" s="2" t="inlineStr"/>
    </row>
    <row r="633" ht="15" customHeight="1">
      <c r="A633" t="inlineStr">
        <is>
          <t>A 53714-2022</t>
        </is>
      </c>
      <c r="B633" s="1" t="n">
        <v>44880</v>
      </c>
      <c r="C633" s="1" t="n">
        <v>46050</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52128-2023</t>
        </is>
      </c>
      <c r="B634" s="1" t="n">
        <v>45223</v>
      </c>
      <c r="C634" s="1" t="n">
        <v>46050</v>
      </c>
      <c r="D634" t="inlineStr">
        <is>
          <t>JÄMTLANDS LÄN</t>
        </is>
      </c>
      <c r="E634" t="inlineStr">
        <is>
          <t>ÖSTERSUND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44013-2021</t>
        </is>
      </c>
      <c r="B635" s="1" t="n">
        <v>44434</v>
      </c>
      <c r="C635" s="1" t="n">
        <v>46050</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8003-2025</t>
        </is>
      </c>
      <c r="B636" s="1" t="n">
        <v>45707</v>
      </c>
      <c r="C636" s="1" t="n">
        <v>46050</v>
      </c>
      <c r="D636" t="inlineStr">
        <is>
          <t>JÄMTLANDS LÄN</t>
        </is>
      </c>
      <c r="E636" t="inlineStr">
        <is>
          <t>ÖSTERSUND</t>
        </is>
      </c>
      <c r="F636" t="inlineStr">
        <is>
          <t>Övriga Aktiebolag</t>
        </is>
      </c>
      <c r="G636" t="n">
        <v>35.1</v>
      </c>
      <c r="H636" t="n">
        <v>0</v>
      </c>
      <c r="I636" t="n">
        <v>0</v>
      </c>
      <c r="J636" t="n">
        <v>0</v>
      </c>
      <c r="K636" t="n">
        <v>0</v>
      </c>
      <c r="L636" t="n">
        <v>0</v>
      </c>
      <c r="M636" t="n">
        <v>0</v>
      </c>
      <c r="N636" t="n">
        <v>0</v>
      </c>
      <c r="O636" t="n">
        <v>0</v>
      </c>
      <c r="P636" t="n">
        <v>0</v>
      </c>
      <c r="Q636" t="n">
        <v>0</v>
      </c>
      <c r="R636" s="2" t="inlineStr"/>
    </row>
    <row r="637" ht="15" customHeight="1">
      <c r="A637" t="inlineStr">
        <is>
          <t>A 12285-2022</t>
        </is>
      </c>
      <c r="B637" s="1" t="n">
        <v>44637</v>
      </c>
      <c r="C637" s="1" t="n">
        <v>46050</v>
      </c>
      <c r="D637" t="inlineStr">
        <is>
          <t>JÄMTLANDS LÄN</t>
        </is>
      </c>
      <c r="E637" t="inlineStr">
        <is>
          <t>ÖSTERSUND</t>
        </is>
      </c>
      <c r="G637" t="n">
        <v>1.4</v>
      </c>
      <c r="H637" t="n">
        <v>0</v>
      </c>
      <c r="I637" t="n">
        <v>0</v>
      </c>
      <c r="J637" t="n">
        <v>0</v>
      </c>
      <c r="K637" t="n">
        <v>0</v>
      </c>
      <c r="L637" t="n">
        <v>0</v>
      </c>
      <c r="M637" t="n">
        <v>0</v>
      </c>
      <c r="N637" t="n">
        <v>0</v>
      </c>
      <c r="O637" t="n">
        <v>0</v>
      </c>
      <c r="P637" t="n">
        <v>0</v>
      </c>
      <c r="Q637" t="n">
        <v>0</v>
      </c>
      <c r="R637" s="2" t="inlineStr"/>
    </row>
    <row r="638" ht="15" customHeight="1">
      <c r="A638" t="inlineStr">
        <is>
          <t>A 25385-2024</t>
        </is>
      </c>
      <c r="B638" s="1" t="n">
        <v>45462.96347222223</v>
      </c>
      <c r="C638" s="1" t="n">
        <v>46050</v>
      </c>
      <c r="D638" t="inlineStr">
        <is>
          <t>JÄMTLANDS LÄN</t>
        </is>
      </c>
      <c r="E638" t="inlineStr">
        <is>
          <t>ÖSTERSUND</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8027-2022</t>
        </is>
      </c>
      <c r="B639" s="1" t="n">
        <v>44609</v>
      </c>
      <c r="C639" s="1" t="n">
        <v>46050</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11933-2022</t>
        </is>
      </c>
      <c r="B640" s="1" t="n">
        <v>44635</v>
      </c>
      <c r="C640" s="1" t="n">
        <v>46050</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14947-2025</t>
        </is>
      </c>
      <c r="B641" s="1" t="n">
        <v>45743.57336805556</v>
      </c>
      <c r="C641" s="1" t="n">
        <v>46050</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2753-2025</t>
        </is>
      </c>
      <c r="B642" s="1" t="n">
        <v>45677.47302083333</v>
      </c>
      <c r="C642" s="1" t="n">
        <v>46050</v>
      </c>
      <c r="D642" t="inlineStr">
        <is>
          <t>JÄMTLANDS LÄN</t>
        </is>
      </c>
      <c r="E642" t="inlineStr">
        <is>
          <t>ÖSTERSUND</t>
        </is>
      </c>
      <c r="G642" t="n">
        <v>6.4</v>
      </c>
      <c r="H642" t="n">
        <v>0</v>
      </c>
      <c r="I642" t="n">
        <v>0</v>
      </c>
      <c r="J642" t="n">
        <v>0</v>
      </c>
      <c r="K642" t="n">
        <v>0</v>
      </c>
      <c r="L642" t="n">
        <v>0</v>
      </c>
      <c r="M642" t="n">
        <v>0</v>
      </c>
      <c r="N642" t="n">
        <v>0</v>
      </c>
      <c r="O642" t="n">
        <v>0</v>
      </c>
      <c r="P642" t="n">
        <v>0</v>
      </c>
      <c r="Q642" t="n">
        <v>0</v>
      </c>
      <c r="R642" s="2" t="inlineStr"/>
    </row>
    <row r="643" ht="15" customHeight="1">
      <c r="A643" t="inlineStr">
        <is>
          <t>A 36406-2023</t>
        </is>
      </c>
      <c r="B643" s="1" t="n">
        <v>45149</v>
      </c>
      <c r="C643" s="1" t="n">
        <v>46050</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20400-2024</t>
        </is>
      </c>
      <c r="B644" s="1" t="n">
        <v>45435.55372685185</v>
      </c>
      <c r="C644" s="1" t="n">
        <v>46050</v>
      </c>
      <c r="D644" t="inlineStr">
        <is>
          <t>JÄMTLANDS LÄN</t>
        </is>
      </c>
      <c r="E644" t="inlineStr">
        <is>
          <t>ÖSTERSUND</t>
        </is>
      </c>
      <c r="G644" t="n">
        <v>0.9</v>
      </c>
      <c r="H644" t="n">
        <v>0</v>
      </c>
      <c r="I644" t="n">
        <v>0</v>
      </c>
      <c r="J644" t="n">
        <v>0</v>
      </c>
      <c r="K644" t="n">
        <v>0</v>
      </c>
      <c r="L644" t="n">
        <v>0</v>
      </c>
      <c r="M644" t="n">
        <v>0</v>
      </c>
      <c r="N644" t="n">
        <v>0</v>
      </c>
      <c r="O644" t="n">
        <v>0</v>
      </c>
      <c r="P644" t="n">
        <v>0</v>
      </c>
      <c r="Q644" t="n">
        <v>0</v>
      </c>
      <c r="R644" s="2" t="inlineStr"/>
    </row>
    <row r="645" ht="15" customHeight="1">
      <c r="A645" t="inlineStr">
        <is>
          <t>A 20588-2023</t>
        </is>
      </c>
      <c r="B645" s="1" t="n">
        <v>45057</v>
      </c>
      <c r="C645" s="1" t="n">
        <v>46050</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27689-2024</t>
        </is>
      </c>
      <c r="B646" s="1" t="n">
        <v>45475.3378125</v>
      </c>
      <c r="C646" s="1" t="n">
        <v>46050</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51818-2024</t>
        </is>
      </c>
      <c r="B647" s="1" t="n">
        <v>45607.49265046296</v>
      </c>
      <c r="C647" s="1" t="n">
        <v>46050</v>
      </c>
      <c r="D647" t="inlineStr">
        <is>
          <t>JÄMTLANDS LÄN</t>
        </is>
      </c>
      <c r="E647" t="inlineStr">
        <is>
          <t>ÖSTERSUND</t>
        </is>
      </c>
      <c r="G647" t="n">
        <v>4.6</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45221.92429398148</v>
      </c>
      <c r="C648" s="1" t="n">
        <v>46050</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2978-2024</t>
        </is>
      </c>
      <c r="B649" s="1" t="n">
        <v>45315</v>
      </c>
      <c r="C649" s="1" t="n">
        <v>46050</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28181-2024</t>
        </is>
      </c>
      <c r="B650" s="1" t="n">
        <v>45477.28482638889</v>
      </c>
      <c r="C650" s="1" t="n">
        <v>46050</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61002-2024</t>
        </is>
      </c>
      <c r="B651" s="1" t="n">
        <v>45645.44158564815</v>
      </c>
      <c r="C651" s="1" t="n">
        <v>46050</v>
      </c>
      <c r="D651" t="inlineStr">
        <is>
          <t>JÄMTLANDS LÄN</t>
        </is>
      </c>
      <c r="E651" t="inlineStr">
        <is>
          <t>ÖSTERSUND</t>
        </is>
      </c>
      <c r="G651" t="n">
        <v>4.1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45166.9569675926</v>
      </c>
      <c r="C652" s="1" t="n">
        <v>46050</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54883-2023</t>
        </is>
      </c>
      <c r="B653" s="1" t="n">
        <v>45236.62300925926</v>
      </c>
      <c r="C653" s="1" t="n">
        <v>46050</v>
      </c>
      <c r="D653" t="inlineStr">
        <is>
          <t>JÄMTLANDS LÄN</t>
        </is>
      </c>
      <c r="E653" t="inlineStr">
        <is>
          <t>ÖSTERSUND</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2730-2025</t>
        </is>
      </c>
      <c r="B654" s="1" t="n">
        <v>45677.44393518518</v>
      </c>
      <c r="C654" s="1" t="n">
        <v>46050</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62225-2022</t>
        </is>
      </c>
      <c r="B655" s="1" t="n">
        <v>44922</v>
      </c>
      <c r="C655" s="1" t="n">
        <v>46050</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8216-2025</t>
        </is>
      </c>
      <c r="B656" s="1" t="n">
        <v>45708.44947916667</v>
      </c>
      <c r="C656" s="1" t="n">
        <v>46050</v>
      </c>
      <c r="D656" t="inlineStr">
        <is>
          <t>JÄMTLANDS LÄN</t>
        </is>
      </c>
      <c r="E656" t="inlineStr">
        <is>
          <t>ÖSTERSUND</t>
        </is>
      </c>
      <c r="F656" t="inlineStr">
        <is>
          <t>Övriga Aktiebolag</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20634-2023</t>
        </is>
      </c>
      <c r="B657" s="1" t="n">
        <v>45057.9441087963</v>
      </c>
      <c r="C657" s="1" t="n">
        <v>46050</v>
      </c>
      <c r="D657" t="inlineStr">
        <is>
          <t>JÄMTLANDS LÄN</t>
        </is>
      </c>
      <c r="E657" t="inlineStr">
        <is>
          <t>ÖSTERSUND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10306-2023</t>
        </is>
      </c>
      <c r="B658" s="1" t="n">
        <v>44986.94196759259</v>
      </c>
      <c r="C658" s="1" t="n">
        <v>46050</v>
      </c>
      <c r="D658" t="inlineStr">
        <is>
          <t>JÄMTLANDS LÄN</t>
        </is>
      </c>
      <c r="E658" t="inlineStr">
        <is>
          <t>ÖSTERSUND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16306-2025</t>
        </is>
      </c>
      <c r="B659" s="1" t="n">
        <v>45751.34664351852</v>
      </c>
      <c r="C659" s="1" t="n">
        <v>46050</v>
      </c>
      <c r="D659" t="inlineStr">
        <is>
          <t>JÄMTLANDS LÄN</t>
        </is>
      </c>
      <c r="E659" t="inlineStr">
        <is>
          <t>ÖSTERSUND</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26321-2022</t>
        </is>
      </c>
      <c r="B660" s="1" t="n">
        <v>44735</v>
      </c>
      <c r="C660" s="1" t="n">
        <v>46050</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43252-2023</t>
        </is>
      </c>
      <c r="B661" s="1" t="n">
        <v>45183</v>
      </c>
      <c r="C661" s="1" t="n">
        <v>46050</v>
      </c>
      <c r="D661" t="inlineStr">
        <is>
          <t>JÄMTLANDS LÄN</t>
        </is>
      </c>
      <c r="E661" t="inlineStr">
        <is>
          <t>ÖSTERSUND</t>
        </is>
      </c>
      <c r="G661" t="n">
        <v>2.9</v>
      </c>
      <c r="H661" t="n">
        <v>0</v>
      </c>
      <c r="I661" t="n">
        <v>0</v>
      </c>
      <c r="J661" t="n">
        <v>0</v>
      </c>
      <c r="K661" t="n">
        <v>0</v>
      </c>
      <c r="L661" t="n">
        <v>0</v>
      </c>
      <c r="M661" t="n">
        <v>0</v>
      </c>
      <c r="N661" t="n">
        <v>0</v>
      </c>
      <c r="O661" t="n">
        <v>0</v>
      </c>
      <c r="P661" t="n">
        <v>0</v>
      </c>
      <c r="Q661" t="n">
        <v>0</v>
      </c>
      <c r="R661" s="2" t="inlineStr"/>
    </row>
    <row r="662" ht="15" customHeight="1">
      <c r="A662" t="inlineStr">
        <is>
          <t>A 22126-2021</t>
        </is>
      </c>
      <c r="B662" s="1" t="n">
        <v>44323</v>
      </c>
      <c r="C662" s="1" t="n">
        <v>46050</v>
      </c>
      <c r="D662" t="inlineStr">
        <is>
          <t>JÄMTLANDS LÄN</t>
        </is>
      </c>
      <c r="E662" t="inlineStr">
        <is>
          <t>ÖSTERSUND</t>
        </is>
      </c>
      <c r="G662" t="n">
        <v>1.4</v>
      </c>
      <c r="H662" t="n">
        <v>0</v>
      </c>
      <c r="I662" t="n">
        <v>0</v>
      </c>
      <c r="J662" t="n">
        <v>0</v>
      </c>
      <c r="K662" t="n">
        <v>0</v>
      </c>
      <c r="L662" t="n">
        <v>0</v>
      </c>
      <c r="M662" t="n">
        <v>0</v>
      </c>
      <c r="N662" t="n">
        <v>0</v>
      </c>
      <c r="O662" t="n">
        <v>0</v>
      </c>
      <c r="P662" t="n">
        <v>0</v>
      </c>
      <c r="Q662" t="n">
        <v>0</v>
      </c>
      <c r="R662" s="2" t="inlineStr"/>
    </row>
    <row r="663" ht="15" customHeight="1">
      <c r="A663" t="inlineStr">
        <is>
          <t>A 30217-2022</t>
        </is>
      </c>
      <c r="B663" s="1" t="n">
        <v>44757.92671296297</v>
      </c>
      <c r="C663" s="1" t="n">
        <v>46050</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55140-2023</t>
        </is>
      </c>
      <c r="B664" s="1" t="n">
        <v>45237.50966435186</v>
      </c>
      <c r="C664" s="1" t="n">
        <v>46050</v>
      </c>
      <c r="D664" t="inlineStr">
        <is>
          <t>JÄMTLANDS LÄN</t>
        </is>
      </c>
      <c r="E664" t="inlineStr">
        <is>
          <t>ÖSTERSUND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54663-2022</t>
        </is>
      </c>
      <c r="B665" s="1" t="n">
        <v>44883.44737268519</v>
      </c>
      <c r="C665" s="1" t="n">
        <v>46050</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11052-2024</t>
        </is>
      </c>
      <c r="B666" s="1" t="n">
        <v>45370</v>
      </c>
      <c r="C666" s="1" t="n">
        <v>46050</v>
      </c>
      <c r="D666" t="inlineStr">
        <is>
          <t>JÄMTLANDS LÄN</t>
        </is>
      </c>
      <c r="E666" t="inlineStr">
        <is>
          <t>ÖSTERSUND</t>
        </is>
      </c>
      <c r="G666" t="n">
        <v>2.3</v>
      </c>
      <c r="H666" t="n">
        <v>0</v>
      </c>
      <c r="I666" t="n">
        <v>0</v>
      </c>
      <c r="J666" t="n">
        <v>0</v>
      </c>
      <c r="K666" t="n">
        <v>0</v>
      </c>
      <c r="L666" t="n">
        <v>0</v>
      </c>
      <c r="M666" t="n">
        <v>0</v>
      </c>
      <c r="N666" t="n">
        <v>0</v>
      </c>
      <c r="O666" t="n">
        <v>0</v>
      </c>
      <c r="P666" t="n">
        <v>0</v>
      </c>
      <c r="Q666" t="n">
        <v>0</v>
      </c>
      <c r="R666" s="2" t="inlineStr"/>
    </row>
    <row r="667" ht="15" customHeight="1">
      <c r="A667" t="inlineStr">
        <is>
          <t>A 37597-2023</t>
        </is>
      </c>
      <c r="B667" s="1" t="n">
        <v>45159.42180555555</v>
      </c>
      <c r="C667" s="1" t="n">
        <v>46050</v>
      </c>
      <c r="D667" t="inlineStr">
        <is>
          <t>JÄMTLANDS LÄN</t>
        </is>
      </c>
      <c r="E667" t="inlineStr">
        <is>
          <t>ÖSTERSUND</t>
        </is>
      </c>
      <c r="G667" t="n">
        <v>4.7</v>
      </c>
      <c r="H667" t="n">
        <v>0</v>
      </c>
      <c r="I667" t="n">
        <v>0</v>
      </c>
      <c r="J667" t="n">
        <v>0</v>
      </c>
      <c r="K667" t="n">
        <v>0</v>
      </c>
      <c r="L667" t="n">
        <v>0</v>
      </c>
      <c r="M667" t="n">
        <v>0</v>
      </c>
      <c r="N667" t="n">
        <v>0</v>
      </c>
      <c r="O667" t="n">
        <v>0</v>
      </c>
      <c r="P667" t="n">
        <v>0</v>
      </c>
      <c r="Q667" t="n">
        <v>0</v>
      </c>
      <c r="R667" s="2" t="inlineStr"/>
    </row>
    <row r="668" ht="15" customHeight="1">
      <c r="A668" t="inlineStr">
        <is>
          <t>A 55365-2024</t>
        </is>
      </c>
      <c r="B668" s="1" t="n">
        <v>45621.86827546296</v>
      </c>
      <c r="C668" s="1" t="n">
        <v>46050</v>
      </c>
      <c r="D668" t="inlineStr">
        <is>
          <t>JÄMTLANDS LÄN</t>
        </is>
      </c>
      <c r="E668" t="inlineStr">
        <is>
          <t>ÖSTERSUND</t>
        </is>
      </c>
      <c r="G668" t="n">
        <v>1.6</v>
      </c>
      <c r="H668" t="n">
        <v>0</v>
      </c>
      <c r="I668" t="n">
        <v>0</v>
      </c>
      <c r="J668" t="n">
        <v>0</v>
      </c>
      <c r="K668" t="n">
        <v>0</v>
      </c>
      <c r="L668" t="n">
        <v>0</v>
      </c>
      <c r="M668" t="n">
        <v>0</v>
      </c>
      <c r="N668" t="n">
        <v>0</v>
      </c>
      <c r="O668" t="n">
        <v>0</v>
      </c>
      <c r="P668" t="n">
        <v>0</v>
      </c>
      <c r="Q668" t="n">
        <v>0</v>
      </c>
      <c r="R668" s="2" t="inlineStr"/>
    </row>
    <row r="669" ht="15" customHeight="1">
      <c r="A669" t="inlineStr">
        <is>
          <t>A 44048-2024</t>
        </is>
      </c>
      <c r="B669" s="1" t="n">
        <v>45572.59430555555</v>
      </c>
      <c r="C669" s="1" t="n">
        <v>46050</v>
      </c>
      <c r="D669" t="inlineStr">
        <is>
          <t>JÄMTLANDS LÄN</t>
        </is>
      </c>
      <c r="E669" t="inlineStr">
        <is>
          <t>ÖSTERSUND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18429-2025</t>
        </is>
      </c>
      <c r="B670" s="1" t="n">
        <v>45762.63375</v>
      </c>
      <c r="C670" s="1" t="n">
        <v>46050</v>
      </c>
      <c r="D670" t="inlineStr">
        <is>
          <t>JÄMTLANDS LÄN</t>
        </is>
      </c>
      <c r="E670" t="inlineStr">
        <is>
          <t>ÖSTERSUND</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60349-2024</t>
        </is>
      </c>
      <c r="B671" s="1" t="n">
        <v>45643.42986111111</v>
      </c>
      <c r="C671" s="1" t="n">
        <v>46050</v>
      </c>
      <c r="D671" t="inlineStr">
        <is>
          <t>JÄMTLANDS LÄN</t>
        </is>
      </c>
      <c r="E671" t="inlineStr">
        <is>
          <t>ÖSTERSUND</t>
        </is>
      </c>
      <c r="F671" t="inlineStr">
        <is>
          <t>Sveaskog</t>
        </is>
      </c>
      <c r="G671" t="n">
        <v>16.6</v>
      </c>
      <c r="H671" t="n">
        <v>0</v>
      </c>
      <c r="I671" t="n">
        <v>0</v>
      </c>
      <c r="J671" t="n">
        <v>0</v>
      </c>
      <c r="K671" t="n">
        <v>0</v>
      </c>
      <c r="L671" t="n">
        <v>0</v>
      </c>
      <c r="M671" t="n">
        <v>0</v>
      </c>
      <c r="N671" t="n">
        <v>0</v>
      </c>
      <c r="O671" t="n">
        <v>0</v>
      </c>
      <c r="P671" t="n">
        <v>0</v>
      </c>
      <c r="Q671" t="n">
        <v>0</v>
      </c>
      <c r="R671" s="2" t="inlineStr"/>
    </row>
    <row r="672" ht="15" customHeight="1">
      <c r="A672" t="inlineStr">
        <is>
          <t>A 17574-2022</t>
        </is>
      </c>
      <c r="B672" s="1" t="n">
        <v>44679.92574074074</v>
      </c>
      <c r="C672" s="1" t="n">
        <v>46050</v>
      </c>
      <c r="D672" t="inlineStr">
        <is>
          <t>JÄMTLANDS LÄN</t>
        </is>
      </c>
      <c r="E672" t="inlineStr">
        <is>
          <t>ÖSTERSUND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61332-2024</t>
        </is>
      </c>
      <c r="B673" s="1" t="n">
        <v>45646.35685185185</v>
      </c>
      <c r="C673" s="1" t="n">
        <v>46050</v>
      </c>
      <c r="D673" t="inlineStr">
        <is>
          <t>JÄMTLANDS LÄN</t>
        </is>
      </c>
      <c r="E673" t="inlineStr">
        <is>
          <t>ÖSTERSUND</t>
        </is>
      </c>
      <c r="G673" t="n">
        <v>3.2</v>
      </c>
      <c r="H673" t="n">
        <v>0</v>
      </c>
      <c r="I673" t="n">
        <v>0</v>
      </c>
      <c r="J673" t="n">
        <v>0</v>
      </c>
      <c r="K673" t="n">
        <v>0</v>
      </c>
      <c r="L673" t="n">
        <v>0</v>
      </c>
      <c r="M673" t="n">
        <v>0</v>
      </c>
      <c r="N673" t="n">
        <v>0</v>
      </c>
      <c r="O673" t="n">
        <v>0</v>
      </c>
      <c r="P673" t="n">
        <v>0</v>
      </c>
      <c r="Q673" t="n">
        <v>0</v>
      </c>
      <c r="R673" s="2" t="inlineStr"/>
    </row>
    <row r="674" ht="15" customHeight="1">
      <c r="A674" t="inlineStr">
        <is>
          <t>A 32998-2021</t>
        </is>
      </c>
      <c r="B674" s="1" t="n">
        <v>44375</v>
      </c>
      <c r="C674" s="1" t="n">
        <v>46050</v>
      </c>
      <c r="D674" t="inlineStr">
        <is>
          <t>JÄMTLANDS LÄN</t>
        </is>
      </c>
      <c r="E674" t="inlineStr">
        <is>
          <t>ÖSTERSUND</t>
        </is>
      </c>
      <c r="G674" t="n">
        <v>0.1</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46050</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33831-2021</t>
        </is>
      </c>
      <c r="B676" s="1" t="n">
        <v>44378</v>
      </c>
      <c r="C676" s="1" t="n">
        <v>46050</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45223.5036574074</v>
      </c>
      <c r="C677" s="1" t="n">
        <v>46050</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54973-2023</t>
        </is>
      </c>
      <c r="B678" s="1" t="n">
        <v>45236.92776620371</v>
      </c>
      <c r="C678" s="1" t="n">
        <v>46050</v>
      </c>
      <c r="D678" t="inlineStr">
        <is>
          <t>JÄMTLANDS LÄN</t>
        </is>
      </c>
      <c r="E678" t="inlineStr">
        <is>
          <t>ÖSTERSUND</t>
        </is>
      </c>
      <c r="G678" t="n">
        <v>15.4</v>
      </c>
      <c r="H678" t="n">
        <v>0</v>
      </c>
      <c r="I678" t="n">
        <v>0</v>
      </c>
      <c r="J678" t="n">
        <v>0</v>
      </c>
      <c r="K678" t="n">
        <v>0</v>
      </c>
      <c r="L678" t="n">
        <v>0</v>
      </c>
      <c r="M678" t="n">
        <v>0</v>
      </c>
      <c r="N678" t="n">
        <v>0</v>
      </c>
      <c r="O678" t="n">
        <v>0</v>
      </c>
      <c r="P678" t="n">
        <v>0</v>
      </c>
      <c r="Q678" t="n">
        <v>0</v>
      </c>
      <c r="R678" s="2" t="inlineStr"/>
    </row>
    <row r="679" ht="15" customHeight="1">
      <c r="A679" t="inlineStr">
        <is>
          <t>A 28179-2024</t>
        </is>
      </c>
      <c r="B679" s="1" t="n">
        <v>45477.26746527778</v>
      </c>
      <c r="C679" s="1" t="n">
        <v>46050</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13921-2023</t>
        </is>
      </c>
      <c r="B680" s="1" t="n">
        <v>45008</v>
      </c>
      <c r="C680" s="1" t="n">
        <v>46050</v>
      </c>
      <c r="D680" t="inlineStr">
        <is>
          <t>JÄMTLANDS LÄN</t>
        </is>
      </c>
      <c r="E680" t="inlineStr">
        <is>
          <t>ÖSTERSUND</t>
        </is>
      </c>
      <c r="G680" t="n">
        <v>0.3</v>
      </c>
      <c r="H680" t="n">
        <v>0</v>
      </c>
      <c r="I680" t="n">
        <v>0</v>
      </c>
      <c r="J680" t="n">
        <v>0</v>
      </c>
      <c r="K680" t="n">
        <v>0</v>
      </c>
      <c r="L680" t="n">
        <v>0</v>
      </c>
      <c r="M680" t="n">
        <v>0</v>
      </c>
      <c r="N680" t="n">
        <v>0</v>
      </c>
      <c r="O680" t="n">
        <v>0</v>
      </c>
      <c r="P680" t="n">
        <v>0</v>
      </c>
      <c r="Q680" t="n">
        <v>0</v>
      </c>
      <c r="R680" s="2" t="inlineStr"/>
    </row>
    <row r="681" ht="15" customHeight="1">
      <c r="A681" t="inlineStr">
        <is>
          <t>A 207-2025</t>
        </is>
      </c>
      <c r="B681" s="1" t="n">
        <v>45660.32672453704</v>
      </c>
      <c r="C681" s="1" t="n">
        <v>46050</v>
      </c>
      <c r="D681" t="inlineStr">
        <is>
          <t>JÄMTLANDS LÄN</t>
        </is>
      </c>
      <c r="E681" t="inlineStr">
        <is>
          <t>ÖSTERSUND</t>
        </is>
      </c>
      <c r="G681" t="n">
        <v>4</v>
      </c>
      <c r="H681" t="n">
        <v>0</v>
      </c>
      <c r="I681" t="n">
        <v>0</v>
      </c>
      <c r="J681" t="n">
        <v>0</v>
      </c>
      <c r="K681" t="n">
        <v>0</v>
      </c>
      <c r="L681" t="n">
        <v>0</v>
      </c>
      <c r="M681" t="n">
        <v>0</v>
      </c>
      <c r="N681" t="n">
        <v>0</v>
      </c>
      <c r="O681" t="n">
        <v>0</v>
      </c>
      <c r="P681" t="n">
        <v>0</v>
      </c>
      <c r="Q681" t="n">
        <v>0</v>
      </c>
      <c r="R681" s="2" t="inlineStr"/>
    </row>
    <row r="682" ht="15" customHeight="1">
      <c r="A682" t="inlineStr">
        <is>
          <t>A 13738-2025</t>
        </is>
      </c>
      <c r="B682" s="1" t="n">
        <v>45737.40131944444</v>
      </c>
      <c r="C682" s="1" t="n">
        <v>46050</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46050</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46050</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46050</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46050</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23563-2022</t>
        </is>
      </c>
      <c r="B687" s="1" t="n">
        <v>44721.47241898148</v>
      </c>
      <c r="C687" s="1" t="n">
        <v>46050</v>
      </c>
      <c r="D687" t="inlineStr">
        <is>
          <t>JÄMTLANDS LÄN</t>
        </is>
      </c>
      <c r="E687" t="inlineStr">
        <is>
          <t>ÖSTERSUND</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27118-2023</t>
        </is>
      </c>
      <c r="B688" s="1" t="n">
        <v>45096</v>
      </c>
      <c r="C688" s="1" t="n">
        <v>46050</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8972-2022</t>
        </is>
      </c>
      <c r="B689" s="1" t="n">
        <v>44614.91989583334</v>
      </c>
      <c r="C689" s="1" t="n">
        <v>46050</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10305-2023</t>
        </is>
      </c>
      <c r="B690" s="1" t="n">
        <v>44986</v>
      </c>
      <c r="C690" s="1" t="n">
        <v>46050</v>
      </c>
      <c r="D690" t="inlineStr">
        <is>
          <t>JÄMTLANDS LÄN</t>
        </is>
      </c>
      <c r="E690" t="inlineStr">
        <is>
          <t>ÖSTERSUND</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51865-2024</t>
        </is>
      </c>
      <c r="B691" s="1" t="n">
        <v>45607.55260416667</v>
      </c>
      <c r="C691" s="1" t="n">
        <v>46050</v>
      </c>
      <c r="D691" t="inlineStr">
        <is>
          <t>JÄMTLANDS LÄN</t>
        </is>
      </c>
      <c r="E691" t="inlineStr">
        <is>
          <t>ÖSTERSUND</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55235-2023</t>
        </is>
      </c>
      <c r="B692" s="1" t="n">
        <v>45231</v>
      </c>
      <c r="C692" s="1" t="n">
        <v>46050</v>
      </c>
      <c r="D692" t="inlineStr">
        <is>
          <t>JÄMTLANDS LÄN</t>
        </is>
      </c>
      <c r="E692" t="inlineStr">
        <is>
          <t>ÖSTERSUND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7953-2025</t>
        </is>
      </c>
      <c r="B693" s="1" t="n">
        <v>45707.42392361111</v>
      </c>
      <c r="C693" s="1" t="n">
        <v>46050</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4350-2024</t>
        </is>
      </c>
      <c r="B694" s="1" t="n">
        <v>45324.93804398148</v>
      </c>
      <c r="C694" s="1" t="n">
        <v>46050</v>
      </c>
      <c r="D694" t="inlineStr">
        <is>
          <t>JÄMTLANDS LÄN</t>
        </is>
      </c>
      <c r="E694" t="inlineStr">
        <is>
          <t>ÖSTERSUND</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2756-2024</t>
        </is>
      </c>
      <c r="B695" s="1" t="n">
        <v>45314.58785879629</v>
      </c>
      <c r="C695" s="1" t="n">
        <v>46050</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70256-2021</t>
        </is>
      </c>
      <c r="B696" s="1" t="n">
        <v>44533</v>
      </c>
      <c r="C696" s="1" t="n">
        <v>46050</v>
      </c>
      <c r="D696" t="inlineStr">
        <is>
          <t>JÄMTLANDS LÄN</t>
        </is>
      </c>
      <c r="E696" t="inlineStr">
        <is>
          <t>ÖSTERSUND</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4136-2023</t>
        </is>
      </c>
      <c r="B697" s="1" t="n">
        <v>44952</v>
      </c>
      <c r="C697" s="1" t="n">
        <v>46050</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1893-2023</t>
        </is>
      </c>
      <c r="B698" s="1" t="n">
        <v>44937</v>
      </c>
      <c r="C698" s="1" t="n">
        <v>46050</v>
      </c>
      <c r="D698" t="inlineStr">
        <is>
          <t>JÄMTLANDS LÄN</t>
        </is>
      </c>
      <c r="E698" t="inlineStr">
        <is>
          <t>ÖSTERSUND</t>
        </is>
      </c>
      <c r="G698" t="n">
        <v>11</v>
      </c>
      <c r="H698" t="n">
        <v>0</v>
      </c>
      <c r="I698" t="n">
        <v>0</v>
      </c>
      <c r="J698" t="n">
        <v>0</v>
      </c>
      <c r="K698" t="n">
        <v>0</v>
      </c>
      <c r="L698" t="n">
        <v>0</v>
      </c>
      <c r="M698" t="n">
        <v>0</v>
      </c>
      <c r="N698" t="n">
        <v>0</v>
      </c>
      <c r="O698" t="n">
        <v>0</v>
      </c>
      <c r="P698" t="n">
        <v>0</v>
      </c>
      <c r="Q698" t="n">
        <v>0</v>
      </c>
      <c r="R698" s="2" t="inlineStr"/>
    </row>
    <row r="699" ht="15" customHeight="1">
      <c r="A699" t="inlineStr">
        <is>
          <t>A 57556-2024</t>
        </is>
      </c>
      <c r="B699" s="1" t="n">
        <v>45630</v>
      </c>
      <c r="C699" s="1" t="n">
        <v>46050</v>
      </c>
      <c r="D699" t="inlineStr">
        <is>
          <t>JÄMTLANDS LÄN</t>
        </is>
      </c>
      <c r="E699" t="inlineStr">
        <is>
          <t>ÖSTERSUND</t>
        </is>
      </c>
      <c r="G699" t="n">
        <v>5.5</v>
      </c>
      <c r="H699" t="n">
        <v>0</v>
      </c>
      <c r="I699" t="n">
        <v>0</v>
      </c>
      <c r="J699" t="n">
        <v>0</v>
      </c>
      <c r="K699" t="n">
        <v>0</v>
      </c>
      <c r="L699" t="n">
        <v>0</v>
      </c>
      <c r="M699" t="n">
        <v>0</v>
      </c>
      <c r="N699" t="n">
        <v>0</v>
      </c>
      <c r="O699" t="n">
        <v>0</v>
      </c>
      <c r="P699" t="n">
        <v>0</v>
      </c>
      <c r="Q699" t="n">
        <v>0</v>
      </c>
      <c r="R699" s="2" t="inlineStr"/>
    </row>
    <row r="700" ht="15" customHeight="1">
      <c r="A700" t="inlineStr">
        <is>
          <t>A 19566-2024</t>
        </is>
      </c>
      <c r="B700" s="1" t="n">
        <v>45429.92313657407</v>
      </c>
      <c r="C700" s="1" t="n">
        <v>46050</v>
      </c>
      <c r="D700" t="inlineStr">
        <is>
          <t>JÄMTLANDS LÄN</t>
        </is>
      </c>
      <c r="E700" t="inlineStr">
        <is>
          <t>ÖSTERSUND</t>
        </is>
      </c>
      <c r="G700" t="n">
        <v>0</v>
      </c>
      <c r="H700" t="n">
        <v>0</v>
      </c>
      <c r="I700" t="n">
        <v>0</v>
      </c>
      <c r="J700" t="n">
        <v>0</v>
      </c>
      <c r="K700" t="n">
        <v>0</v>
      </c>
      <c r="L700" t="n">
        <v>0</v>
      </c>
      <c r="M700" t="n">
        <v>0</v>
      </c>
      <c r="N700" t="n">
        <v>0</v>
      </c>
      <c r="O700" t="n">
        <v>0</v>
      </c>
      <c r="P700" t="n">
        <v>0</v>
      </c>
      <c r="Q700" t="n">
        <v>0</v>
      </c>
      <c r="R700" s="2" t="inlineStr"/>
    </row>
    <row r="701" ht="15" customHeight="1">
      <c r="A701" t="inlineStr">
        <is>
          <t>A 9552-2025</t>
        </is>
      </c>
      <c r="B701" s="1" t="n">
        <v>45715.59545138889</v>
      </c>
      <c r="C701" s="1" t="n">
        <v>46050</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13024-2022</t>
        </is>
      </c>
      <c r="B702" s="1" t="n">
        <v>44643</v>
      </c>
      <c r="C702" s="1" t="n">
        <v>46050</v>
      </c>
      <c r="D702" t="inlineStr">
        <is>
          <t>JÄMTLANDS LÄN</t>
        </is>
      </c>
      <c r="E702" t="inlineStr">
        <is>
          <t>ÖSTERSUND</t>
        </is>
      </c>
      <c r="G702" t="n">
        <v>0.9</v>
      </c>
      <c r="H702" t="n">
        <v>0</v>
      </c>
      <c r="I702" t="n">
        <v>0</v>
      </c>
      <c r="J702" t="n">
        <v>0</v>
      </c>
      <c r="K702" t="n">
        <v>0</v>
      </c>
      <c r="L702" t="n">
        <v>0</v>
      </c>
      <c r="M702" t="n">
        <v>0</v>
      </c>
      <c r="N702" t="n">
        <v>0</v>
      </c>
      <c r="O702" t="n">
        <v>0</v>
      </c>
      <c r="P702" t="n">
        <v>0</v>
      </c>
      <c r="Q702" t="n">
        <v>0</v>
      </c>
      <c r="R702" s="2" t="inlineStr"/>
    </row>
    <row r="703" ht="15" customHeight="1">
      <c r="A703" t="inlineStr">
        <is>
          <t>A 7233-2025</t>
        </is>
      </c>
      <c r="B703" s="1" t="n">
        <v>45702.51765046296</v>
      </c>
      <c r="C703" s="1" t="n">
        <v>46050</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4966-2025</t>
        </is>
      </c>
      <c r="B704" s="1" t="n">
        <v>45690.63628472222</v>
      </c>
      <c r="C704" s="1" t="n">
        <v>46050</v>
      </c>
      <c r="D704" t="inlineStr">
        <is>
          <t>JÄMTLANDS LÄN</t>
        </is>
      </c>
      <c r="E704" t="inlineStr">
        <is>
          <t>ÖSTERSUND</t>
        </is>
      </c>
      <c r="G704" t="n">
        <v>3.4</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46050</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33002-2021</t>
        </is>
      </c>
      <c r="B706" s="1" t="n">
        <v>44375</v>
      </c>
      <c r="C706" s="1" t="n">
        <v>46050</v>
      </c>
      <c r="D706" t="inlineStr">
        <is>
          <t>JÄMTLANDS LÄN</t>
        </is>
      </c>
      <c r="E706" t="inlineStr">
        <is>
          <t>ÖSTERSUND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14542-2025</t>
        </is>
      </c>
      <c r="B707" s="1" t="n">
        <v>45741.68631944444</v>
      </c>
      <c r="C707" s="1" t="n">
        <v>46050</v>
      </c>
      <c r="D707" t="inlineStr">
        <is>
          <t>JÄMTLANDS LÄN</t>
        </is>
      </c>
      <c r="E707" t="inlineStr">
        <is>
          <t>ÖSTERSUND</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24786-2024</t>
        </is>
      </c>
      <c r="B708" s="1" t="n">
        <v>45460.81277777778</v>
      </c>
      <c r="C708" s="1" t="n">
        <v>46050</v>
      </c>
      <c r="D708" t="inlineStr">
        <is>
          <t>JÄMTLANDS LÄN</t>
        </is>
      </c>
      <c r="E708" t="inlineStr">
        <is>
          <t>ÖSTERSUND</t>
        </is>
      </c>
      <c r="G708" t="n">
        <v>0.1</v>
      </c>
      <c r="H708" t="n">
        <v>0</v>
      </c>
      <c r="I708" t="n">
        <v>0</v>
      </c>
      <c r="J708" t="n">
        <v>0</v>
      </c>
      <c r="K708" t="n">
        <v>0</v>
      </c>
      <c r="L708" t="n">
        <v>0</v>
      </c>
      <c r="M708" t="n">
        <v>0</v>
      </c>
      <c r="N708" t="n">
        <v>0</v>
      </c>
      <c r="O708" t="n">
        <v>0</v>
      </c>
      <c r="P708" t="n">
        <v>0</v>
      </c>
      <c r="Q708" t="n">
        <v>0</v>
      </c>
      <c r="R708" s="2" t="inlineStr"/>
    </row>
    <row r="709" ht="15" customHeight="1">
      <c r="A709" t="inlineStr">
        <is>
          <t>A 53660-2024</t>
        </is>
      </c>
      <c r="B709" s="1" t="n">
        <v>45615.31297453704</v>
      </c>
      <c r="C709" s="1" t="n">
        <v>46050</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16682-2023</t>
        </is>
      </c>
      <c r="B710" s="1" t="n">
        <v>45028</v>
      </c>
      <c r="C710" s="1" t="n">
        <v>46050</v>
      </c>
      <c r="D710" t="inlineStr">
        <is>
          <t>JÄMTLANDS LÄN</t>
        </is>
      </c>
      <c r="E710" t="inlineStr">
        <is>
          <t>ÖSTERSUND</t>
        </is>
      </c>
      <c r="G710" t="n">
        <v>7.9</v>
      </c>
      <c r="H710" t="n">
        <v>0</v>
      </c>
      <c r="I710" t="n">
        <v>0</v>
      </c>
      <c r="J710" t="n">
        <v>0</v>
      </c>
      <c r="K710" t="n">
        <v>0</v>
      </c>
      <c r="L710" t="n">
        <v>0</v>
      </c>
      <c r="M710" t="n">
        <v>0</v>
      </c>
      <c r="N710" t="n">
        <v>0</v>
      </c>
      <c r="O710" t="n">
        <v>0</v>
      </c>
      <c r="P710" t="n">
        <v>0</v>
      </c>
      <c r="Q710" t="n">
        <v>0</v>
      </c>
      <c r="R710" s="2" t="inlineStr"/>
    </row>
    <row r="711" ht="15" customHeight="1">
      <c r="A711" t="inlineStr">
        <is>
          <t>A 1670-2024</t>
        </is>
      </c>
      <c r="B711" s="1" t="n">
        <v>45306</v>
      </c>
      <c r="C711" s="1" t="n">
        <v>46050</v>
      </c>
      <c r="D711" t="inlineStr">
        <is>
          <t>JÄMTLANDS LÄN</t>
        </is>
      </c>
      <c r="E711" t="inlineStr">
        <is>
          <t>ÖSTERSUND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56111-2022</t>
        </is>
      </c>
      <c r="B712" s="1" t="n">
        <v>44889</v>
      </c>
      <c r="C712" s="1" t="n">
        <v>46050</v>
      </c>
      <c r="D712" t="inlineStr">
        <is>
          <t>JÄMTLANDS LÄN</t>
        </is>
      </c>
      <c r="E712" t="inlineStr">
        <is>
          <t>ÖSTERSUND</t>
        </is>
      </c>
      <c r="G712" t="n">
        <v>2.5</v>
      </c>
      <c r="H712" t="n">
        <v>0</v>
      </c>
      <c r="I712" t="n">
        <v>0</v>
      </c>
      <c r="J712" t="n">
        <v>0</v>
      </c>
      <c r="K712" t="n">
        <v>0</v>
      </c>
      <c r="L712" t="n">
        <v>0</v>
      </c>
      <c r="M712" t="n">
        <v>0</v>
      </c>
      <c r="N712" t="n">
        <v>0</v>
      </c>
      <c r="O712" t="n">
        <v>0</v>
      </c>
      <c r="P712" t="n">
        <v>0</v>
      </c>
      <c r="Q712" t="n">
        <v>0</v>
      </c>
      <c r="R712" s="2" t="inlineStr"/>
    </row>
    <row r="713" ht="15" customHeight="1">
      <c r="A713" t="inlineStr">
        <is>
          <t>A 14867-2025</t>
        </is>
      </c>
      <c r="B713" s="1" t="n">
        <v>45743.44207175926</v>
      </c>
      <c r="C713" s="1" t="n">
        <v>46050</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5544-2025</t>
        </is>
      </c>
      <c r="B714" s="1" t="n">
        <v>45693</v>
      </c>
      <c r="C714" s="1" t="n">
        <v>46050</v>
      </c>
      <c r="D714" t="inlineStr">
        <is>
          <t>JÄMTLANDS LÄN</t>
        </is>
      </c>
      <c r="E714" t="inlineStr">
        <is>
          <t>ÖSTERSUND</t>
        </is>
      </c>
      <c r="G714" t="n">
        <v>5.8</v>
      </c>
      <c r="H714" t="n">
        <v>0</v>
      </c>
      <c r="I714" t="n">
        <v>0</v>
      </c>
      <c r="J714" t="n">
        <v>0</v>
      </c>
      <c r="K714" t="n">
        <v>0</v>
      </c>
      <c r="L714" t="n">
        <v>0</v>
      </c>
      <c r="M714" t="n">
        <v>0</v>
      </c>
      <c r="N714" t="n">
        <v>0</v>
      </c>
      <c r="O714" t="n">
        <v>0</v>
      </c>
      <c r="P714" t="n">
        <v>0</v>
      </c>
      <c r="Q714" t="n">
        <v>0</v>
      </c>
      <c r="R714" s="2" t="inlineStr"/>
    </row>
    <row r="715" ht="15" customHeight="1">
      <c r="A715" t="inlineStr">
        <is>
          <t>A 4707-2024</t>
        </is>
      </c>
      <c r="B715" s="1" t="n">
        <v>45328</v>
      </c>
      <c r="C715" s="1" t="n">
        <v>46050</v>
      </c>
      <c r="D715" t="inlineStr">
        <is>
          <t>JÄMTLANDS LÄN</t>
        </is>
      </c>
      <c r="E715" t="inlineStr">
        <is>
          <t>ÖSTERSUND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231-2022</t>
        </is>
      </c>
      <c r="B716" s="1" t="n">
        <v>44564.93909722222</v>
      </c>
      <c r="C716" s="1" t="n">
        <v>46050</v>
      </c>
      <c r="D716" t="inlineStr">
        <is>
          <t>JÄMTLANDS LÄN</t>
        </is>
      </c>
      <c r="E716" t="inlineStr">
        <is>
          <t>ÖSTERSUND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58952-2024</t>
        </is>
      </c>
      <c r="B717" s="1" t="n">
        <v>45636.5674537037</v>
      </c>
      <c r="C717" s="1" t="n">
        <v>46050</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46748-2023</t>
        </is>
      </c>
      <c r="B718" s="1" t="n">
        <v>45198</v>
      </c>
      <c r="C718" s="1" t="n">
        <v>46050</v>
      </c>
      <c r="D718" t="inlineStr">
        <is>
          <t>JÄMTLANDS LÄN</t>
        </is>
      </c>
      <c r="E718" t="inlineStr">
        <is>
          <t>ÖSTERSUND</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46763-2023</t>
        </is>
      </c>
      <c r="B719" s="1" t="n">
        <v>45198</v>
      </c>
      <c r="C719" s="1" t="n">
        <v>46050</v>
      </c>
      <c r="D719" t="inlineStr">
        <is>
          <t>JÄMTLANDS LÄN</t>
        </is>
      </c>
      <c r="E719" t="inlineStr">
        <is>
          <t>ÖSTERSUND</t>
        </is>
      </c>
      <c r="F719" t="inlineStr">
        <is>
          <t>Sveaskog</t>
        </is>
      </c>
      <c r="G719" t="n">
        <v>13.3</v>
      </c>
      <c r="H719" t="n">
        <v>0</v>
      </c>
      <c r="I719" t="n">
        <v>0</v>
      </c>
      <c r="J719" t="n">
        <v>0</v>
      </c>
      <c r="K719" t="n">
        <v>0</v>
      </c>
      <c r="L719" t="n">
        <v>0</v>
      </c>
      <c r="M719" t="n">
        <v>0</v>
      </c>
      <c r="N719" t="n">
        <v>0</v>
      </c>
      <c r="O719" t="n">
        <v>0</v>
      </c>
      <c r="P719" t="n">
        <v>0</v>
      </c>
      <c r="Q719" t="n">
        <v>0</v>
      </c>
      <c r="R719" s="2" t="inlineStr"/>
    </row>
    <row r="720" ht="15" customHeight="1">
      <c r="A720" t="inlineStr">
        <is>
          <t>A 5341-2025</t>
        </is>
      </c>
      <c r="B720" s="1" t="n">
        <v>45692.55256944444</v>
      </c>
      <c r="C720" s="1" t="n">
        <v>46050</v>
      </c>
      <c r="D720" t="inlineStr">
        <is>
          <t>JÄMTLANDS LÄN</t>
        </is>
      </c>
      <c r="E720" t="inlineStr">
        <is>
          <t>ÖSTERSUND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21060-2025</t>
        </is>
      </c>
      <c r="B721" s="1" t="n">
        <v>45777.58025462963</v>
      </c>
      <c r="C721" s="1" t="n">
        <v>46050</v>
      </c>
      <c r="D721" t="inlineStr">
        <is>
          <t>JÄMTLANDS LÄN</t>
        </is>
      </c>
      <c r="E721" t="inlineStr">
        <is>
          <t>ÖSTERSUND</t>
        </is>
      </c>
      <c r="G721" t="n">
        <v>2.9</v>
      </c>
      <c r="H721" t="n">
        <v>0</v>
      </c>
      <c r="I721" t="n">
        <v>0</v>
      </c>
      <c r="J721" t="n">
        <v>0</v>
      </c>
      <c r="K721" t="n">
        <v>0</v>
      </c>
      <c r="L721" t="n">
        <v>0</v>
      </c>
      <c r="M721" t="n">
        <v>0</v>
      </c>
      <c r="N721" t="n">
        <v>0</v>
      </c>
      <c r="O721" t="n">
        <v>0</v>
      </c>
      <c r="P721" t="n">
        <v>0</v>
      </c>
      <c r="Q721" t="n">
        <v>0</v>
      </c>
      <c r="R721" s="2" t="inlineStr"/>
    </row>
    <row r="722" ht="15" customHeight="1">
      <c r="A722" t="inlineStr">
        <is>
          <t>A 21094-2025</t>
        </is>
      </c>
      <c r="B722" s="1" t="n">
        <v>45777.62665509259</v>
      </c>
      <c r="C722" s="1" t="n">
        <v>46050</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21237-2025</t>
        </is>
      </c>
      <c r="B723" s="1" t="n">
        <v>45779</v>
      </c>
      <c r="C723" s="1" t="n">
        <v>46050</v>
      </c>
      <c r="D723" t="inlineStr">
        <is>
          <t>JÄMTLANDS LÄN</t>
        </is>
      </c>
      <c r="E723" t="inlineStr">
        <is>
          <t>ÖSTERSUND</t>
        </is>
      </c>
      <c r="G723" t="n">
        <v>0.4</v>
      </c>
      <c r="H723" t="n">
        <v>0</v>
      </c>
      <c r="I723" t="n">
        <v>0</v>
      </c>
      <c r="J723" t="n">
        <v>0</v>
      </c>
      <c r="K723" t="n">
        <v>0</v>
      </c>
      <c r="L723" t="n">
        <v>0</v>
      </c>
      <c r="M723" t="n">
        <v>0</v>
      </c>
      <c r="N723" t="n">
        <v>0</v>
      </c>
      <c r="O723" t="n">
        <v>0</v>
      </c>
      <c r="P723" t="n">
        <v>0</v>
      </c>
      <c r="Q723" t="n">
        <v>0</v>
      </c>
      <c r="R723" s="2" t="inlineStr"/>
    </row>
    <row r="724" ht="15" customHeight="1">
      <c r="A724" t="inlineStr">
        <is>
          <t>A 16812-2025</t>
        </is>
      </c>
      <c r="B724" s="1" t="n">
        <v>45754</v>
      </c>
      <c r="C724" s="1" t="n">
        <v>46050</v>
      </c>
      <c r="D724" t="inlineStr">
        <is>
          <t>JÄMTLANDS LÄN</t>
        </is>
      </c>
      <c r="E724" t="inlineStr">
        <is>
          <t>ÖSTERSUND</t>
        </is>
      </c>
      <c r="F724" t="inlineStr">
        <is>
          <t>Övriga statliga verk och myndigheter</t>
        </is>
      </c>
      <c r="G724" t="n">
        <v>3.7</v>
      </c>
      <c r="H724" t="n">
        <v>0</v>
      </c>
      <c r="I724" t="n">
        <v>0</v>
      </c>
      <c r="J724" t="n">
        <v>0</v>
      </c>
      <c r="K724" t="n">
        <v>0</v>
      </c>
      <c r="L724" t="n">
        <v>0</v>
      </c>
      <c r="M724" t="n">
        <v>0</v>
      </c>
      <c r="N724" t="n">
        <v>0</v>
      </c>
      <c r="O724" t="n">
        <v>0</v>
      </c>
      <c r="P724" t="n">
        <v>0</v>
      </c>
      <c r="Q724" t="n">
        <v>0</v>
      </c>
      <c r="R724" s="2" t="inlineStr"/>
    </row>
    <row r="725" ht="15" customHeight="1">
      <c r="A725" t="inlineStr">
        <is>
          <t>A 14848-2025</t>
        </is>
      </c>
      <c r="B725" s="1" t="n">
        <v>45743.39528935185</v>
      </c>
      <c r="C725" s="1" t="n">
        <v>46050</v>
      </c>
      <c r="D725" t="inlineStr">
        <is>
          <t>JÄMTLANDS LÄN</t>
        </is>
      </c>
      <c r="E725" t="inlineStr">
        <is>
          <t>ÖSTERSUND</t>
        </is>
      </c>
      <c r="G725" t="n">
        <v>12.1</v>
      </c>
      <c r="H725" t="n">
        <v>0</v>
      </c>
      <c r="I725" t="n">
        <v>0</v>
      </c>
      <c r="J725" t="n">
        <v>0</v>
      </c>
      <c r="K725" t="n">
        <v>0</v>
      </c>
      <c r="L725" t="n">
        <v>0</v>
      </c>
      <c r="M725" t="n">
        <v>0</v>
      </c>
      <c r="N725" t="n">
        <v>0</v>
      </c>
      <c r="O725" t="n">
        <v>0</v>
      </c>
      <c r="P725" t="n">
        <v>0</v>
      </c>
      <c r="Q725" t="n">
        <v>0</v>
      </c>
      <c r="R725" s="2" t="inlineStr"/>
    </row>
    <row r="726" ht="15" customHeight="1">
      <c r="A726" t="inlineStr">
        <is>
          <t>A 16725-2025</t>
        </is>
      </c>
      <c r="B726" s="1" t="n">
        <v>45754</v>
      </c>
      <c r="C726" s="1" t="n">
        <v>46050</v>
      </c>
      <c r="D726" t="inlineStr">
        <is>
          <t>JÄMTLANDS LÄN</t>
        </is>
      </c>
      <c r="E726" t="inlineStr">
        <is>
          <t>ÖSTERSUND</t>
        </is>
      </c>
      <c r="F726" t="inlineStr">
        <is>
          <t>Övriga statliga verk och myndigheter</t>
        </is>
      </c>
      <c r="G726" t="n">
        <v>3.7</v>
      </c>
      <c r="H726" t="n">
        <v>0</v>
      </c>
      <c r="I726" t="n">
        <v>0</v>
      </c>
      <c r="J726" t="n">
        <v>0</v>
      </c>
      <c r="K726" t="n">
        <v>0</v>
      </c>
      <c r="L726" t="n">
        <v>0</v>
      </c>
      <c r="M726" t="n">
        <v>0</v>
      </c>
      <c r="N726" t="n">
        <v>0</v>
      </c>
      <c r="O726" t="n">
        <v>0</v>
      </c>
      <c r="P726" t="n">
        <v>0</v>
      </c>
      <c r="Q726" t="n">
        <v>0</v>
      </c>
      <c r="R726" s="2" t="inlineStr"/>
    </row>
    <row r="727" ht="15" customHeight="1">
      <c r="A727" t="inlineStr">
        <is>
          <t>A 4480-2025</t>
        </is>
      </c>
      <c r="B727" s="1" t="n">
        <v>45686.64175925926</v>
      </c>
      <c r="C727" s="1" t="n">
        <v>46050</v>
      </c>
      <c r="D727" t="inlineStr">
        <is>
          <t>JÄMTLANDS LÄN</t>
        </is>
      </c>
      <c r="E727" t="inlineStr">
        <is>
          <t>ÖSTERSUND</t>
        </is>
      </c>
      <c r="G727" t="n">
        <v>27.7</v>
      </c>
      <c r="H727" t="n">
        <v>0</v>
      </c>
      <c r="I727" t="n">
        <v>0</v>
      </c>
      <c r="J727" t="n">
        <v>0</v>
      </c>
      <c r="K727" t="n">
        <v>0</v>
      </c>
      <c r="L727" t="n">
        <v>0</v>
      </c>
      <c r="M727" t="n">
        <v>0</v>
      </c>
      <c r="N727" t="n">
        <v>0</v>
      </c>
      <c r="O727" t="n">
        <v>0</v>
      </c>
      <c r="P727" t="n">
        <v>0</v>
      </c>
      <c r="Q727" t="n">
        <v>0</v>
      </c>
      <c r="R727" s="2" t="inlineStr"/>
    </row>
    <row r="728" ht="15" customHeight="1">
      <c r="A728" t="inlineStr">
        <is>
          <t>A 22612-2025</t>
        </is>
      </c>
      <c r="B728" s="1" t="n">
        <v>45789.42538194444</v>
      </c>
      <c r="C728" s="1" t="n">
        <v>46050</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17948-2025</t>
        </is>
      </c>
      <c r="B729" s="1" t="n">
        <v>45760.66995370371</v>
      </c>
      <c r="C729" s="1" t="n">
        <v>46050</v>
      </c>
      <c r="D729" t="inlineStr">
        <is>
          <t>JÄMTLANDS LÄN</t>
        </is>
      </c>
      <c r="E729" t="inlineStr">
        <is>
          <t>ÖSTERSUND</t>
        </is>
      </c>
      <c r="G729" t="n">
        <v>3.9</v>
      </c>
      <c r="H729" t="n">
        <v>0</v>
      </c>
      <c r="I729" t="n">
        <v>0</v>
      </c>
      <c r="J729" t="n">
        <v>0</v>
      </c>
      <c r="K729" t="n">
        <v>0</v>
      </c>
      <c r="L729" t="n">
        <v>0</v>
      </c>
      <c r="M729" t="n">
        <v>0</v>
      </c>
      <c r="N729" t="n">
        <v>0</v>
      </c>
      <c r="O729" t="n">
        <v>0</v>
      </c>
      <c r="P729" t="n">
        <v>0</v>
      </c>
      <c r="Q729" t="n">
        <v>0</v>
      </c>
      <c r="R729" s="2" t="inlineStr"/>
    </row>
    <row r="730" ht="15" customHeight="1">
      <c r="A730" t="inlineStr">
        <is>
          <t>A 4520-2025</t>
        </is>
      </c>
      <c r="B730" s="1" t="n">
        <v>45686.92384259259</v>
      </c>
      <c r="C730" s="1" t="n">
        <v>46050</v>
      </c>
      <c r="D730" t="inlineStr">
        <is>
          <t>JÄMTLANDS LÄN</t>
        </is>
      </c>
      <c r="E730" t="inlineStr">
        <is>
          <t>ÖSTERSUND</t>
        </is>
      </c>
      <c r="G730" t="n">
        <v>15.2</v>
      </c>
      <c r="H730" t="n">
        <v>0</v>
      </c>
      <c r="I730" t="n">
        <v>0</v>
      </c>
      <c r="J730" t="n">
        <v>0</v>
      </c>
      <c r="K730" t="n">
        <v>0</v>
      </c>
      <c r="L730" t="n">
        <v>0</v>
      </c>
      <c r="M730" t="n">
        <v>0</v>
      </c>
      <c r="N730" t="n">
        <v>0</v>
      </c>
      <c r="O730" t="n">
        <v>0</v>
      </c>
      <c r="P730" t="n">
        <v>0</v>
      </c>
      <c r="Q730" t="n">
        <v>0</v>
      </c>
      <c r="R730" s="2" t="inlineStr"/>
    </row>
    <row r="731" ht="15" customHeight="1">
      <c r="A731" t="inlineStr">
        <is>
          <t>A 4523-2025</t>
        </is>
      </c>
      <c r="B731" s="1" t="n">
        <v>45686.92864583333</v>
      </c>
      <c r="C731" s="1" t="n">
        <v>46050</v>
      </c>
      <c r="D731" t="inlineStr">
        <is>
          <t>JÄMTLANDS LÄN</t>
        </is>
      </c>
      <c r="E731" t="inlineStr">
        <is>
          <t>ÖSTERSUND</t>
        </is>
      </c>
      <c r="G731" t="n">
        <v>15.2</v>
      </c>
      <c r="H731" t="n">
        <v>0</v>
      </c>
      <c r="I731" t="n">
        <v>0</v>
      </c>
      <c r="J731" t="n">
        <v>0</v>
      </c>
      <c r="K731" t="n">
        <v>0</v>
      </c>
      <c r="L731" t="n">
        <v>0</v>
      </c>
      <c r="M731" t="n">
        <v>0</v>
      </c>
      <c r="N731" t="n">
        <v>0</v>
      </c>
      <c r="O731" t="n">
        <v>0</v>
      </c>
      <c r="P731" t="n">
        <v>0</v>
      </c>
      <c r="Q731" t="n">
        <v>0</v>
      </c>
      <c r="R731" s="2" t="inlineStr"/>
    </row>
    <row r="732" ht="15" customHeight="1">
      <c r="A732" t="inlineStr">
        <is>
          <t>A 22713-2025</t>
        </is>
      </c>
      <c r="B732" s="1" t="n">
        <v>45789.56414351852</v>
      </c>
      <c r="C732" s="1" t="n">
        <v>46050</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22822-2025</t>
        </is>
      </c>
      <c r="B733" s="1" t="n">
        <v>45789</v>
      </c>
      <c r="C733" s="1" t="n">
        <v>46050</v>
      </c>
      <c r="D733" t="inlineStr">
        <is>
          <t>JÄMTLANDS LÄN</t>
        </is>
      </c>
      <c r="E733" t="inlineStr">
        <is>
          <t>ÖSTERSUND</t>
        </is>
      </c>
      <c r="G733" t="n">
        <v>2.2</v>
      </c>
      <c r="H733" t="n">
        <v>0</v>
      </c>
      <c r="I733" t="n">
        <v>0</v>
      </c>
      <c r="J733" t="n">
        <v>0</v>
      </c>
      <c r="K733" t="n">
        <v>0</v>
      </c>
      <c r="L733" t="n">
        <v>0</v>
      </c>
      <c r="M733" t="n">
        <v>0</v>
      </c>
      <c r="N733" t="n">
        <v>0</v>
      </c>
      <c r="O733" t="n">
        <v>0</v>
      </c>
      <c r="P733" t="n">
        <v>0</v>
      </c>
      <c r="Q733" t="n">
        <v>0</v>
      </c>
      <c r="R733" s="2" t="inlineStr"/>
    </row>
    <row r="734" ht="15" customHeight="1">
      <c r="A734" t="inlineStr">
        <is>
          <t>A 22384-2025</t>
        </is>
      </c>
      <c r="B734" s="1" t="n">
        <v>45786</v>
      </c>
      <c r="C734" s="1" t="n">
        <v>46050</v>
      </c>
      <c r="D734" t="inlineStr">
        <is>
          <t>JÄMTLANDS LÄN</t>
        </is>
      </c>
      <c r="E734" t="inlineStr">
        <is>
          <t>ÖSTERSUND</t>
        </is>
      </c>
      <c r="G734" t="n">
        <v>1.4</v>
      </c>
      <c r="H734" t="n">
        <v>0</v>
      </c>
      <c r="I734" t="n">
        <v>0</v>
      </c>
      <c r="J734" t="n">
        <v>0</v>
      </c>
      <c r="K734" t="n">
        <v>0</v>
      </c>
      <c r="L734" t="n">
        <v>0</v>
      </c>
      <c r="M734" t="n">
        <v>0</v>
      </c>
      <c r="N734" t="n">
        <v>0</v>
      </c>
      <c r="O734" t="n">
        <v>0</v>
      </c>
      <c r="P734" t="n">
        <v>0</v>
      </c>
      <c r="Q734" t="n">
        <v>0</v>
      </c>
      <c r="R734" s="2" t="inlineStr"/>
    </row>
    <row r="735" ht="15" customHeight="1">
      <c r="A735" t="inlineStr">
        <is>
          <t>A 23249-2025</t>
        </is>
      </c>
      <c r="B735" s="1" t="n">
        <v>45791</v>
      </c>
      <c r="C735" s="1" t="n">
        <v>46050</v>
      </c>
      <c r="D735" t="inlineStr">
        <is>
          <t>JÄMTLANDS LÄN</t>
        </is>
      </c>
      <c r="E735" t="inlineStr">
        <is>
          <t>ÖSTERSUND</t>
        </is>
      </c>
      <c r="G735" t="n">
        <v>10</v>
      </c>
      <c r="H735" t="n">
        <v>0</v>
      </c>
      <c r="I735" t="n">
        <v>0</v>
      </c>
      <c r="J735" t="n">
        <v>0</v>
      </c>
      <c r="K735" t="n">
        <v>0</v>
      </c>
      <c r="L735" t="n">
        <v>0</v>
      </c>
      <c r="M735" t="n">
        <v>0</v>
      </c>
      <c r="N735" t="n">
        <v>0</v>
      </c>
      <c r="O735" t="n">
        <v>0</v>
      </c>
      <c r="P735" t="n">
        <v>0</v>
      </c>
      <c r="Q735" t="n">
        <v>0</v>
      </c>
      <c r="R735" s="2" t="inlineStr"/>
    </row>
    <row r="736" ht="15" customHeight="1">
      <c r="A736" t="inlineStr">
        <is>
          <t>A 7938-2025</t>
        </is>
      </c>
      <c r="B736" s="1" t="n">
        <v>45707</v>
      </c>
      <c r="C736" s="1" t="n">
        <v>46050</v>
      </c>
      <c r="D736" t="inlineStr">
        <is>
          <t>JÄMTLANDS LÄN</t>
        </is>
      </c>
      <c r="E736" t="inlineStr">
        <is>
          <t>ÖSTERSUND</t>
        </is>
      </c>
      <c r="G736" t="n">
        <v>3</v>
      </c>
      <c r="H736" t="n">
        <v>0</v>
      </c>
      <c r="I736" t="n">
        <v>0</v>
      </c>
      <c r="J736" t="n">
        <v>0</v>
      </c>
      <c r="K736" t="n">
        <v>0</v>
      </c>
      <c r="L736" t="n">
        <v>0</v>
      </c>
      <c r="M736" t="n">
        <v>0</v>
      </c>
      <c r="N736" t="n">
        <v>0</v>
      </c>
      <c r="O736" t="n">
        <v>0</v>
      </c>
      <c r="P736" t="n">
        <v>0</v>
      </c>
      <c r="Q736" t="n">
        <v>0</v>
      </c>
      <c r="R736" s="2" t="inlineStr"/>
    </row>
    <row r="737" ht="15" customHeight="1">
      <c r="A737" t="inlineStr">
        <is>
          <t>A 23100-2025</t>
        </is>
      </c>
      <c r="B737" s="1" t="n">
        <v>45791.35212962963</v>
      </c>
      <c r="C737" s="1" t="n">
        <v>46050</v>
      </c>
      <c r="D737" t="inlineStr">
        <is>
          <t>JÄMTLANDS LÄN</t>
        </is>
      </c>
      <c r="E737" t="inlineStr">
        <is>
          <t>ÖSTERSUND</t>
        </is>
      </c>
      <c r="G737" t="n">
        <v>4.5</v>
      </c>
      <c r="H737" t="n">
        <v>0</v>
      </c>
      <c r="I737" t="n">
        <v>0</v>
      </c>
      <c r="J737" t="n">
        <v>0</v>
      </c>
      <c r="K737" t="n">
        <v>0</v>
      </c>
      <c r="L737" t="n">
        <v>0</v>
      </c>
      <c r="M737" t="n">
        <v>0</v>
      </c>
      <c r="N737" t="n">
        <v>0</v>
      </c>
      <c r="O737" t="n">
        <v>0</v>
      </c>
      <c r="P737" t="n">
        <v>0</v>
      </c>
      <c r="Q737" t="n">
        <v>0</v>
      </c>
      <c r="R737" s="2" t="inlineStr"/>
    </row>
    <row r="738" ht="15" customHeight="1">
      <c r="A738" t="inlineStr">
        <is>
          <t>A 23110-2025</t>
        </is>
      </c>
      <c r="B738" s="1" t="n">
        <v>45791.36526620371</v>
      </c>
      <c r="C738" s="1" t="n">
        <v>46050</v>
      </c>
      <c r="D738" t="inlineStr">
        <is>
          <t>JÄMTLANDS LÄN</t>
        </is>
      </c>
      <c r="E738" t="inlineStr">
        <is>
          <t>ÖSTERSUND</t>
        </is>
      </c>
      <c r="G738" t="n">
        <v>1</v>
      </c>
      <c r="H738" t="n">
        <v>0</v>
      </c>
      <c r="I738" t="n">
        <v>0</v>
      </c>
      <c r="J738" t="n">
        <v>0</v>
      </c>
      <c r="K738" t="n">
        <v>0</v>
      </c>
      <c r="L738" t="n">
        <v>0</v>
      </c>
      <c r="M738" t="n">
        <v>0</v>
      </c>
      <c r="N738" t="n">
        <v>0</v>
      </c>
      <c r="O738" t="n">
        <v>0</v>
      </c>
      <c r="P738" t="n">
        <v>0</v>
      </c>
      <c r="Q738" t="n">
        <v>0</v>
      </c>
      <c r="R738" s="2" t="inlineStr"/>
    </row>
    <row r="739" ht="15" customHeight="1">
      <c r="A739" t="inlineStr">
        <is>
          <t>A 22920-2025</t>
        </is>
      </c>
      <c r="B739" s="1" t="n">
        <v>45790.43905092592</v>
      </c>
      <c r="C739" s="1" t="n">
        <v>46050</v>
      </c>
      <c r="D739" t="inlineStr">
        <is>
          <t>JÄMTLANDS LÄN</t>
        </is>
      </c>
      <c r="E739" t="inlineStr">
        <is>
          <t>ÖSTERSUND</t>
        </is>
      </c>
      <c r="G739" t="n">
        <v>0.4</v>
      </c>
      <c r="H739" t="n">
        <v>0</v>
      </c>
      <c r="I739" t="n">
        <v>0</v>
      </c>
      <c r="J739" t="n">
        <v>0</v>
      </c>
      <c r="K739" t="n">
        <v>0</v>
      </c>
      <c r="L739" t="n">
        <v>0</v>
      </c>
      <c r="M739" t="n">
        <v>0</v>
      </c>
      <c r="N739" t="n">
        <v>0</v>
      </c>
      <c r="O739" t="n">
        <v>0</v>
      </c>
      <c r="P739" t="n">
        <v>0</v>
      </c>
      <c r="Q739" t="n">
        <v>0</v>
      </c>
      <c r="R739" s="2" t="inlineStr"/>
    </row>
    <row r="740" ht="15" customHeight="1">
      <c r="A740" t="inlineStr">
        <is>
          <t>A 23078-2025</t>
        </is>
      </c>
      <c r="B740" s="1" t="n">
        <v>45791.27984953704</v>
      </c>
      <c r="C740" s="1" t="n">
        <v>46050</v>
      </c>
      <c r="D740" t="inlineStr">
        <is>
          <t>JÄMTLANDS LÄN</t>
        </is>
      </c>
      <c r="E740" t="inlineStr">
        <is>
          <t>ÖSTERSUND</t>
        </is>
      </c>
      <c r="G740" t="n">
        <v>2.8</v>
      </c>
      <c r="H740" t="n">
        <v>0</v>
      </c>
      <c r="I740" t="n">
        <v>0</v>
      </c>
      <c r="J740" t="n">
        <v>0</v>
      </c>
      <c r="K740" t="n">
        <v>0</v>
      </c>
      <c r="L740" t="n">
        <v>0</v>
      </c>
      <c r="M740" t="n">
        <v>0</v>
      </c>
      <c r="N740" t="n">
        <v>0</v>
      </c>
      <c r="O740" t="n">
        <v>0</v>
      </c>
      <c r="P740" t="n">
        <v>0</v>
      </c>
      <c r="Q740" t="n">
        <v>0</v>
      </c>
      <c r="R740" s="2" t="inlineStr"/>
    </row>
    <row r="741">
      <c r="A741" t="inlineStr">
        <is>
          <t>A 23877-2025</t>
        </is>
      </c>
      <c r="B741" s="1" t="n">
        <v>45793.68469907407</v>
      </c>
      <c r="C741" s="1" t="n">
        <v>46050</v>
      </c>
      <c r="D741" t="inlineStr">
        <is>
          <t>JÄMTLANDS LÄN</t>
        </is>
      </c>
      <c r="E741" t="inlineStr">
        <is>
          <t>ÖSTERSUND</t>
        </is>
      </c>
      <c r="G741" t="n">
        <v>0.5</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2026-01-28T11:03:45Z</dcterms:created>
  <dcterms:modified xmlns:dcterms="http://purl.org/dc/terms/" xmlns:xsi="http://www.w3.org/2001/XMLSchema-instance" xsi:type="dcterms:W3CDTF">2026-01-28T11:03:45Z</dcterms:modified>
</cp:coreProperties>
</file>