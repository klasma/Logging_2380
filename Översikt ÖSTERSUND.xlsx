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45995</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45995</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45995</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45995</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45995</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45995</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45995</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45995</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45995</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54517-2025</t>
        </is>
      </c>
      <c r="B20" s="1" t="n">
        <v>45965</v>
      </c>
      <c r="C20" s="1" t="n">
        <v>45995</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45995</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45995</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45995</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48030-2025</t>
        </is>
      </c>
      <c r="B24" s="1" t="n">
        <v>45932.65210648148</v>
      </c>
      <c r="C24" s="1" t="n">
        <v>45995</v>
      </c>
      <c r="D24" t="inlineStr">
        <is>
          <t>JÄMTLANDS LÄN</t>
        </is>
      </c>
      <c r="E24" t="inlineStr">
        <is>
          <t>ÖSTERSUND</t>
        </is>
      </c>
      <c r="G24" t="n">
        <v>6.4</v>
      </c>
      <c r="H24" t="n">
        <v>4</v>
      </c>
      <c r="I24" t="n">
        <v>4</v>
      </c>
      <c r="J24" t="n">
        <v>5</v>
      </c>
      <c r="K24" t="n">
        <v>1</v>
      </c>
      <c r="L24" t="n">
        <v>0</v>
      </c>
      <c r="M24" t="n">
        <v>0</v>
      </c>
      <c r="N24" t="n">
        <v>0</v>
      </c>
      <c r="O24" t="n">
        <v>6</v>
      </c>
      <c r="P24" t="n">
        <v>1</v>
      </c>
      <c r="Q24" t="n">
        <v>11</v>
      </c>
      <c r="R24" s="2" t="inlineStr">
        <is>
          <t>Knärot
Garnlav
Lunglav
Skrovellav
Talltita
Tretåig hackspett
Luddlav
Stuplav
Svavelriska
Trådticka
Fläcknycklar</t>
        </is>
      </c>
      <c r="S24">
        <f>HYPERLINK("https://klasma.github.io/Logging_2380/artfynd/A 48030-2025 artfynd.xlsx", "A 48030-2025")</f>
        <v/>
      </c>
      <c r="T24">
        <f>HYPERLINK("https://klasma.github.io/Logging_2380/kartor/A 48030-2025 karta.png", "A 48030-2025")</f>
        <v/>
      </c>
      <c r="U24">
        <f>HYPERLINK("https://klasma.github.io/Logging_2380/knärot/A 48030-2025 karta knärot.png", "A 48030-2025")</f>
        <v/>
      </c>
      <c r="V24">
        <f>HYPERLINK("https://klasma.github.io/Logging_2380/klagomål/A 48030-2025 FSC-klagomål.docx", "A 48030-2025")</f>
        <v/>
      </c>
      <c r="W24">
        <f>HYPERLINK("https://klasma.github.io/Logging_2380/klagomålsmail/A 48030-2025 FSC-klagomål mail.docx", "A 48030-2025")</f>
        <v/>
      </c>
      <c r="X24">
        <f>HYPERLINK("https://klasma.github.io/Logging_2380/tillsyn/A 48030-2025 tillsynsbegäran.docx", "A 48030-2025")</f>
        <v/>
      </c>
      <c r="Y24">
        <f>HYPERLINK("https://klasma.github.io/Logging_2380/tillsynsmail/A 48030-2025 tillsynsbegäran mail.docx", "A 48030-2025")</f>
        <v/>
      </c>
      <c r="Z24">
        <f>HYPERLINK("https://klasma.github.io/Logging_2380/fåglar/A 48030-2025 prioriterade fågelarter.docx", "A 48030-2025")</f>
        <v/>
      </c>
    </row>
    <row r="25" ht="15" customHeight="1">
      <c r="A25" t="inlineStr">
        <is>
          <t>A 55314-2024</t>
        </is>
      </c>
      <c r="B25" s="1" t="n">
        <v>45621</v>
      </c>
      <c r="C25" s="1" t="n">
        <v>45995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45995</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16845-2025</t>
        </is>
      </c>
      <c r="B27" s="1" t="n">
        <v>45754.67761574074</v>
      </c>
      <c r="C27" s="1" t="n">
        <v>45995</v>
      </c>
      <c r="D27" t="inlineStr">
        <is>
          <t>JÄMTLANDS LÄN</t>
        </is>
      </c>
      <c r="E27" t="inlineStr">
        <is>
          <t>ÖSTERSUND</t>
        </is>
      </c>
      <c r="F27" t="inlineStr">
        <is>
          <t>SCA</t>
        </is>
      </c>
      <c r="G27" t="n">
        <v>18.1</v>
      </c>
      <c r="H27" t="n">
        <v>0</v>
      </c>
      <c r="I27" t="n">
        <v>1</v>
      </c>
      <c r="J27" t="n">
        <v>9</v>
      </c>
      <c r="K27" t="n">
        <v>0</v>
      </c>
      <c r="L27" t="n">
        <v>0</v>
      </c>
      <c r="M27" t="n">
        <v>0</v>
      </c>
      <c r="N27" t="n">
        <v>0</v>
      </c>
      <c r="O27" t="n">
        <v>9</v>
      </c>
      <c r="P27" t="n">
        <v>0</v>
      </c>
      <c r="Q27" t="n">
        <v>10</v>
      </c>
      <c r="R27" s="2" t="inlineStr">
        <is>
          <t>Dvärgbägarlav
Kortskaftad ärgspik
Mörk kolflarnlav
Nordtagging
Orange taggsvamp
Reliktbock
Skrovlig taggsvamp
Svart taggsvamp
Vedflamlav
Dropptaggsvamp</t>
        </is>
      </c>
      <c r="S27">
        <f>HYPERLINK("https://klasma.github.io/Logging_2380/artfynd/A 16845-2025 artfynd.xlsx", "A 16845-2025")</f>
        <v/>
      </c>
      <c r="T27">
        <f>HYPERLINK("https://klasma.github.io/Logging_2380/kartor/A 16845-2025 karta.png", "A 16845-2025")</f>
        <v/>
      </c>
      <c r="V27">
        <f>HYPERLINK("https://klasma.github.io/Logging_2380/klagomål/A 16845-2025 FSC-klagomål.docx", "A 16845-2025")</f>
        <v/>
      </c>
      <c r="W27">
        <f>HYPERLINK("https://klasma.github.io/Logging_2380/klagomålsmail/A 16845-2025 FSC-klagomål mail.docx", "A 16845-2025")</f>
        <v/>
      </c>
      <c r="X27">
        <f>HYPERLINK("https://klasma.github.io/Logging_2380/tillsyn/A 16845-2025 tillsynsbegäran.docx", "A 16845-2025")</f>
        <v/>
      </c>
      <c r="Y27">
        <f>HYPERLINK("https://klasma.github.io/Logging_2380/tillsynsmail/A 16845-2025 tillsynsbegäran mail.docx", "A 16845-2025")</f>
        <v/>
      </c>
    </row>
    <row r="28" ht="15" customHeight="1">
      <c r="A28" t="inlineStr">
        <is>
          <t>A 61766-2024</t>
        </is>
      </c>
      <c r="B28" s="1" t="n">
        <v>45649</v>
      </c>
      <c r="C28" s="1" t="n">
        <v>45995</v>
      </c>
      <c r="D28" t="inlineStr">
        <is>
          <t>JÄMTLANDS LÄN</t>
        </is>
      </c>
      <c r="E28" t="inlineStr">
        <is>
          <t>ÖSTERSUND</t>
        </is>
      </c>
      <c r="G28" t="n">
        <v>14.9</v>
      </c>
      <c r="H28" t="n">
        <v>5</v>
      </c>
      <c r="I28" t="n">
        <v>1</v>
      </c>
      <c r="J28" t="n">
        <v>8</v>
      </c>
      <c r="K28" t="n">
        <v>0</v>
      </c>
      <c r="L28" t="n">
        <v>0</v>
      </c>
      <c r="M28" t="n">
        <v>0</v>
      </c>
      <c r="N28" t="n">
        <v>0</v>
      </c>
      <c r="O28" t="n">
        <v>8</v>
      </c>
      <c r="P28" t="n">
        <v>0</v>
      </c>
      <c r="Q28" t="n">
        <v>10</v>
      </c>
      <c r="R28" s="2" t="inlineStr">
        <is>
          <t>Gammelgransskål
Garnlav
Granticka
Järpe
Lunglav
Spillkråka
Talltita
Tretåig hackspett
Luddlav
Revlummer</t>
        </is>
      </c>
      <c r="S28">
        <f>HYPERLINK("https://klasma.github.io/Logging_2380/artfynd/A 61766-2024 artfynd.xlsx", "A 61766-2024")</f>
        <v/>
      </c>
      <c r="T28">
        <f>HYPERLINK("https://klasma.github.io/Logging_2380/kartor/A 61766-2024 karta.png", "A 61766-2024")</f>
        <v/>
      </c>
      <c r="V28">
        <f>HYPERLINK("https://klasma.github.io/Logging_2380/klagomål/A 61766-2024 FSC-klagomål.docx", "A 61766-2024")</f>
        <v/>
      </c>
      <c r="W28">
        <f>HYPERLINK("https://klasma.github.io/Logging_2380/klagomålsmail/A 61766-2024 FSC-klagomål mail.docx", "A 61766-2024")</f>
        <v/>
      </c>
      <c r="X28">
        <f>HYPERLINK("https://klasma.github.io/Logging_2380/tillsyn/A 61766-2024 tillsynsbegäran.docx", "A 61766-2024")</f>
        <v/>
      </c>
      <c r="Y28">
        <f>HYPERLINK("https://klasma.github.io/Logging_2380/tillsynsmail/A 61766-2024 tillsynsbegäran mail.docx", "A 61766-2024")</f>
        <v/>
      </c>
      <c r="Z28">
        <f>HYPERLINK("https://klasma.github.io/Logging_2380/fåglar/A 61766-2024 prioriterade fågelarter.docx", "A 61766-2024")</f>
        <v/>
      </c>
    </row>
    <row r="29" ht="15" customHeight="1">
      <c r="A29" t="inlineStr">
        <is>
          <t>A 49056-2025</t>
        </is>
      </c>
      <c r="B29" s="1" t="n">
        <v>45937.64063657408</v>
      </c>
      <c r="C29" s="1" t="n">
        <v>45995</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26796-2024</t>
        </is>
      </c>
      <c r="B30" s="1" t="n">
        <v>45470</v>
      </c>
      <c r="C30" s="1" t="n">
        <v>45995</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7457-2023</t>
        </is>
      </c>
      <c r="B31" s="1" t="n">
        <v>44971</v>
      </c>
      <c r="C31" s="1" t="n">
        <v>45995</v>
      </c>
      <c r="D31" t="inlineStr">
        <is>
          <t>JÄMTLANDS LÄN</t>
        </is>
      </c>
      <c r="E31" t="inlineStr">
        <is>
          <t>ÖSTERSUND</t>
        </is>
      </c>
      <c r="F31" t="inlineStr">
        <is>
          <t>Kommuner</t>
        </is>
      </c>
      <c r="G31" t="n">
        <v>2.5</v>
      </c>
      <c r="H31" t="n">
        <v>0</v>
      </c>
      <c r="I31" t="n">
        <v>3</v>
      </c>
      <c r="J31" t="n">
        <v>6</v>
      </c>
      <c r="K31" t="n">
        <v>1</v>
      </c>
      <c r="L31" t="n">
        <v>0</v>
      </c>
      <c r="M31" t="n">
        <v>0</v>
      </c>
      <c r="N31" t="n">
        <v>0</v>
      </c>
      <c r="O31" t="n">
        <v>7</v>
      </c>
      <c r="P31" t="n">
        <v>1</v>
      </c>
      <c r="Q31" t="n">
        <v>10</v>
      </c>
      <c r="R31" s="2" t="inlineStr">
        <is>
          <t>Ruttaggsvamp
Frygisk spindling
Garnlav
Grantaggsvamp
Tallriska
Ullticka
Äggvaxskivling
Diskvaxskivling
Skarp dropptaggsvamp
Svavelriska</t>
        </is>
      </c>
      <c r="S31">
        <f>HYPERLINK("https://klasma.github.io/Logging_2380/artfynd/A 7457-2023 artfynd.xlsx", "A 7457-2023")</f>
        <v/>
      </c>
      <c r="T31">
        <f>HYPERLINK("https://klasma.github.io/Logging_2380/kartor/A 7457-2023 karta.png", "A 7457-2023")</f>
        <v/>
      </c>
      <c r="V31">
        <f>HYPERLINK("https://klasma.github.io/Logging_2380/klagomål/A 7457-2023 FSC-klagomål.docx", "A 7457-2023")</f>
        <v/>
      </c>
      <c r="W31">
        <f>HYPERLINK("https://klasma.github.io/Logging_2380/klagomålsmail/A 7457-2023 FSC-klagomål mail.docx", "A 7457-2023")</f>
        <v/>
      </c>
      <c r="X31">
        <f>HYPERLINK("https://klasma.github.io/Logging_2380/tillsyn/A 7457-2023 tillsynsbegäran.docx", "A 7457-2023")</f>
        <v/>
      </c>
      <c r="Y31">
        <f>HYPERLINK("https://klasma.github.io/Logging_2380/tillsynsmail/A 7457-2023 tillsynsbegäran mail.docx", "A 7457-2023")</f>
        <v/>
      </c>
    </row>
    <row r="32" ht="15" customHeight="1">
      <c r="A32" t="inlineStr">
        <is>
          <t>A 45224-2024</t>
        </is>
      </c>
      <c r="B32" s="1" t="n">
        <v>45575.77440972222</v>
      </c>
      <c r="C32" s="1" t="n">
        <v>45995</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51908-2025</t>
        </is>
      </c>
      <c r="B33" s="1" t="n">
        <v>45952.46650462963</v>
      </c>
      <c r="C33" s="1" t="n">
        <v>45995</v>
      </c>
      <c r="D33" t="inlineStr">
        <is>
          <t>JÄMTLANDS LÄN</t>
        </is>
      </c>
      <c r="E33" t="inlineStr">
        <is>
          <t>ÖSTERSUND</t>
        </is>
      </c>
      <c r="G33" t="n">
        <v>14.4</v>
      </c>
      <c r="H33" t="n">
        <v>5</v>
      </c>
      <c r="I33" t="n">
        <v>1</v>
      </c>
      <c r="J33" t="n">
        <v>4</v>
      </c>
      <c r="K33" t="n">
        <v>1</v>
      </c>
      <c r="L33" t="n">
        <v>0</v>
      </c>
      <c r="M33" t="n">
        <v>0</v>
      </c>
      <c r="N33" t="n">
        <v>0</v>
      </c>
      <c r="O33" t="n">
        <v>5</v>
      </c>
      <c r="P33" t="n">
        <v>1</v>
      </c>
      <c r="Q33" t="n">
        <v>9</v>
      </c>
      <c r="R33" s="2" t="inlineStr">
        <is>
          <t>Knärot
Garnlav
Lunglav
Talltita
Ullticka
Stuplav
Kungsfågel
Blåsippa
Revlummer</t>
        </is>
      </c>
      <c r="S33">
        <f>HYPERLINK("https://klasma.github.io/Logging_2380/artfynd/A 51908-2025 artfynd.xlsx", "A 51908-2025")</f>
        <v/>
      </c>
      <c r="T33">
        <f>HYPERLINK("https://klasma.github.io/Logging_2380/kartor/A 51908-2025 karta.png", "A 51908-2025")</f>
        <v/>
      </c>
      <c r="U33">
        <f>HYPERLINK("https://klasma.github.io/Logging_2380/knärot/A 51908-2025 karta knärot.png", "A 51908-2025")</f>
        <v/>
      </c>
      <c r="V33">
        <f>HYPERLINK("https://klasma.github.io/Logging_2380/klagomål/A 51908-2025 FSC-klagomål.docx", "A 51908-2025")</f>
        <v/>
      </c>
      <c r="W33">
        <f>HYPERLINK("https://klasma.github.io/Logging_2380/klagomålsmail/A 51908-2025 FSC-klagomål mail.docx", "A 51908-2025")</f>
        <v/>
      </c>
      <c r="X33">
        <f>HYPERLINK("https://klasma.github.io/Logging_2380/tillsyn/A 51908-2025 tillsynsbegäran.docx", "A 51908-2025")</f>
        <v/>
      </c>
      <c r="Y33">
        <f>HYPERLINK("https://klasma.github.io/Logging_2380/tillsynsmail/A 51908-2025 tillsynsbegäran mail.docx", "A 51908-2025")</f>
        <v/>
      </c>
      <c r="Z33">
        <f>HYPERLINK("https://klasma.github.io/Logging_2380/fåglar/A 51908-2025 prioriterade fågelarter.docx", "A 51908-2025")</f>
        <v/>
      </c>
    </row>
    <row r="34" ht="15" customHeight="1">
      <c r="A34" t="inlineStr">
        <is>
          <t>A 27907-2024</t>
        </is>
      </c>
      <c r="B34" s="1" t="n">
        <v>45475.94597222222</v>
      </c>
      <c r="C34" s="1" t="n">
        <v>45995</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34816-2024</t>
        </is>
      </c>
      <c r="B35" s="1" t="n">
        <v>45526</v>
      </c>
      <c r="C35" s="1" t="n">
        <v>45995</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17716-2024</t>
        </is>
      </c>
      <c r="B36" s="1" t="n">
        <v>45415</v>
      </c>
      <c r="C36" s="1" t="n">
        <v>45995</v>
      </c>
      <c r="D36" t="inlineStr">
        <is>
          <t>JÄMTLANDS LÄN</t>
        </is>
      </c>
      <c r="E36" t="inlineStr">
        <is>
          <t>ÖSTERSUND</t>
        </is>
      </c>
      <c r="G36" t="n">
        <v>1.4</v>
      </c>
      <c r="H36" t="n">
        <v>8</v>
      </c>
      <c r="I36" t="n">
        <v>2</v>
      </c>
      <c r="J36" t="n">
        <v>1</v>
      </c>
      <c r="K36" t="n">
        <v>1</v>
      </c>
      <c r="L36" t="n">
        <v>1</v>
      </c>
      <c r="M36" t="n">
        <v>0</v>
      </c>
      <c r="N36" t="n">
        <v>0</v>
      </c>
      <c r="O36" t="n">
        <v>3</v>
      </c>
      <c r="P36" t="n">
        <v>2</v>
      </c>
      <c r="Q36" t="n">
        <v>8</v>
      </c>
      <c r="R36" s="2" t="inlineStr">
        <is>
          <t>Storspov
Knärot
Spillkråka
Spindelblomster
Tvåblad
Tjäder
Fläcknycklar
Blåsippa</t>
        </is>
      </c>
      <c r="S36">
        <f>HYPERLINK("https://klasma.github.io/Logging_2380/artfynd/A 17716-2024 artfynd.xlsx", "A 17716-2024")</f>
        <v/>
      </c>
      <c r="T36">
        <f>HYPERLINK("https://klasma.github.io/Logging_2380/kartor/A 17716-2024 karta.png", "A 17716-2024")</f>
        <v/>
      </c>
      <c r="U36">
        <f>HYPERLINK("https://klasma.github.io/Logging_2380/knärot/A 17716-2024 karta knärot.png", "A 17716-2024")</f>
        <v/>
      </c>
      <c r="V36">
        <f>HYPERLINK("https://klasma.github.io/Logging_2380/klagomål/A 17716-2024 FSC-klagomål.docx", "A 17716-2024")</f>
        <v/>
      </c>
      <c r="W36">
        <f>HYPERLINK("https://klasma.github.io/Logging_2380/klagomålsmail/A 17716-2024 FSC-klagomål mail.docx", "A 17716-2024")</f>
        <v/>
      </c>
      <c r="X36">
        <f>HYPERLINK("https://klasma.github.io/Logging_2380/tillsyn/A 17716-2024 tillsynsbegäran.docx", "A 17716-2024")</f>
        <v/>
      </c>
      <c r="Y36">
        <f>HYPERLINK("https://klasma.github.io/Logging_2380/tillsynsmail/A 17716-2024 tillsynsbegäran mail.docx", "A 17716-2024")</f>
        <v/>
      </c>
      <c r="Z36">
        <f>HYPERLINK("https://klasma.github.io/Logging_2380/fåglar/A 17716-2024 prioriterade fågelarter.docx", "A 17716-2024")</f>
        <v/>
      </c>
    </row>
    <row r="37" ht="15" customHeight="1">
      <c r="A37" t="inlineStr">
        <is>
          <t>A 21753-2023</t>
        </is>
      </c>
      <c r="B37" s="1" t="n">
        <v>45063</v>
      </c>
      <c r="C37" s="1" t="n">
        <v>45995</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10744-2024</t>
        </is>
      </c>
      <c r="B38" s="1" t="n">
        <v>45369</v>
      </c>
      <c r="C38" s="1" t="n">
        <v>45995</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7710-2024</t>
        </is>
      </c>
      <c r="B39" s="1" t="n">
        <v>45349</v>
      </c>
      <c r="C39" s="1" t="n">
        <v>45995</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40777-2023</t>
        </is>
      </c>
      <c r="B40" s="1" t="n">
        <v>45170</v>
      </c>
      <c r="C40" s="1" t="n">
        <v>45995</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39735-2021</t>
        </is>
      </c>
      <c r="B41" s="1" t="n">
        <v>44414</v>
      </c>
      <c r="C41" s="1" t="n">
        <v>45995</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52297-2025</t>
        </is>
      </c>
      <c r="B42" s="1" t="n">
        <v>45953.61092592592</v>
      </c>
      <c r="C42" s="1" t="n">
        <v>45995</v>
      </c>
      <c r="D42" t="inlineStr">
        <is>
          <t>JÄMTLANDS LÄN</t>
        </is>
      </c>
      <c r="E42" t="inlineStr">
        <is>
          <t>ÖSTERSUND</t>
        </is>
      </c>
      <c r="G42" t="n">
        <v>2.3</v>
      </c>
      <c r="H42" t="n">
        <v>3</v>
      </c>
      <c r="I42" t="n">
        <v>1</v>
      </c>
      <c r="J42" t="n">
        <v>5</v>
      </c>
      <c r="K42" t="n">
        <v>1</v>
      </c>
      <c r="L42" t="n">
        <v>0</v>
      </c>
      <c r="M42" t="n">
        <v>0</v>
      </c>
      <c r="N42" t="n">
        <v>0</v>
      </c>
      <c r="O42" t="n">
        <v>6</v>
      </c>
      <c r="P42" t="n">
        <v>1</v>
      </c>
      <c r="Q42" t="n">
        <v>7</v>
      </c>
      <c r="R42" s="2" t="inlineStr">
        <is>
          <t>Knärot
Garnlav
Harticka
Rosenticka
Talltita
Tretåig hackspett
Gullgröppa</t>
        </is>
      </c>
      <c r="S42">
        <f>HYPERLINK("https://klasma.github.io/Logging_2380/artfynd/A 52297-2025 artfynd.xlsx", "A 52297-2025")</f>
        <v/>
      </c>
      <c r="T42">
        <f>HYPERLINK("https://klasma.github.io/Logging_2380/kartor/A 52297-2025 karta.png", "A 52297-2025")</f>
        <v/>
      </c>
      <c r="U42">
        <f>HYPERLINK("https://klasma.github.io/Logging_2380/knärot/A 52297-2025 karta knärot.png", "A 52297-2025")</f>
        <v/>
      </c>
      <c r="V42">
        <f>HYPERLINK("https://klasma.github.io/Logging_2380/klagomål/A 52297-2025 FSC-klagomål.docx", "A 52297-2025")</f>
        <v/>
      </c>
      <c r="W42">
        <f>HYPERLINK("https://klasma.github.io/Logging_2380/klagomålsmail/A 52297-2025 FSC-klagomål mail.docx", "A 52297-2025")</f>
        <v/>
      </c>
      <c r="X42">
        <f>HYPERLINK("https://klasma.github.io/Logging_2380/tillsyn/A 52297-2025 tillsynsbegäran.docx", "A 52297-2025")</f>
        <v/>
      </c>
      <c r="Y42">
        <f>HYPERLINK("https://klasma.github.io/Logging_2380/tillsynsmail/A 52297-2025 tillsynsbegäran mail.docx", "A 52297-2025")</f>
        <v/>
      </c>
      <c r="Z42">
        <f>HYPERLINK("https://klasma.github.io/Logging_2380/fåglar/A 52297-2025 prioriterade fågelarter.docx", "A 52297-2025")</f>
        <v/>
      </c>
    </row>
    <row r="43" ht="15" customHeight="1">
      <c r="A43" t="inlineStr">
        <is>
          <t>A 53292-2025</t>
        </is>
      </c>
      <c r="B43" s="1" t="n">
        <v>45958</v>
      </c>
      <c r="C43" s="1" t="n">
        <v>45995</v>
      </c>
      <c r="D43" t="inlineStr">
        <is>
          <t>JÄMTLANDS LÄN</t>
        </is>
      </c>
      <c r="E43" t="inlineStr">
        <is>
          <t>ÖSTERSUND</t>
        </is>
      </c>
      <c r="G43" t="n">
        <v>3</v>
      </c>
      <c r="H43" t="n">
        <v>5</v>
      </c>
      <c r="I43" t="n">
        <v>0</v>
      </c>
      <c r="J43" t="n">
        <v>3</v>
      </c>
      <c r="K43" t="n">
        <v>1</v>
      </c>
      <c r="L43" t="n">
        <v>0</v>
      </c>
      <c r="M43" t="n">
        <v>0</v>
      </c>
      <c r="N43" t="n">
        <v>0</v>
      </c>
      <c r="O43" t="n">
        <v>4</v>
      </c>
      <c r="P43" t="n">
        <v>1</v>
      </c>
      <c r="Q43" t="n">
        <v>7</v>
      </c>
      <c r="R43" s="2" t="inlineStr">
        <is>
          <t>Knärot
Garnlav
Granticka
Talltita
Kungsfågel
Blåsippa
Revlummer</t>
        </is>
      </c>
      <c r="S43">
        <f>HYPERLINK("https://klasma.github.io/Logging_2380/artfynd/A 53292-2025 artfynd.xlsx", "A 53292-2025")</f>
        <v/>
      </c>
      <c r="T43">
        <f>HYPERLINK("https://klasma.github.io/Logging_2380/kartor/A 53292-2025 karta.png", "A 53292-2025")</f>
        <v/>
      </c>
      <c r="U43">
        <f>HYPERLINK("https://klasma.github.io/Logging_2380/knärot/A 53292-2025 karta knärot.png", "A 53292-2025")</f>
        <v/>
      </c>
      <c r="V43">
        <f>HYPERLINK("https://klasma.github.io/Logging_2380/klagomål/A 53292-2025 FSC-klagomål.docx", "A 53292-2025")</f>
        <v/>
      </c>
      <c r="W43">
        <f>HYPERLINK("https://klasma.github.io/Logging_2380/klagomålsmail/A 53292-2025 FSC-klagomål mail.docx", "A 53292-2025")</f>
        <v/>
      </c>
      <c r="X43">
        <f>HYPERLINK("https://klasma.github.io/Logging_2380/tillsyn/A 53292-2025 tillsynsbegäran.docx", "A 53292-2025")</f>
        <v/>
      </c>
      <c r="Y43">
        <f>HYPERLINK("https://klasma.github.io/Logging_2380/tillsynsmail/A 53292-2025 tillsynsbegäran mail.docx", "A 53292-2025")</f>
        <v/>
      </c>
      <c r="Z43">
        <f>HYPERLINK("https://klasma.github.io/Logging_2380/fåglar/A 53292-2025 prioriterade fågelarter.docx", "A 53292-2025")</f>
        <v/>
      </c>
    </row>
    <row r="44" ht="15" customHeight="1">
      <c r="A44" t="inlineStr">
        <is>
          <t>A 16369-2023</t>
        </is>
      </c>
      <c r="B44" s="1" t="n">
        <v>45028</v>
      </c>
      <c r="C44" s="1" t="n">
        <v>45995</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31122-2025</t>
        </is>
      </c>
      <c r="B45" s="1" t="n">
        <v>45831</v>
      </c>
      <c r="C45" s="1" t="n">
        <v>45995</v>
      </c>
      <c r="D45" t="inlineStr">
        <is>
          <t>JÄMTLANDS LÄN</t>
        </is>
      </c>
      <c r="E45" t="inlineStr">
        <is>
          <t>ÖSTERSUND</t>
        </is>
      </c>
      <c r="G45" t="n">
        <v>5.5</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57729-2025</t>
        </is>
      </c>
      <c r="B46" s="1" t="n">
        <v>45981.50630787037</v>
      </c>
      <c r="C46" s="1" t="n">
        <v>45995</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39586-2025</t>
        </is>
      </c>
      <c r="B47" s="1" t="n">
        <v>45890</v>
      </c>
      <c r="C47" s="1" t="n">
        <v>45995</v>
      </c>
      <c r="D47" t="inlineStr">
        <is>
          <t>JÄMTLANDS LÄN</t>
        </is>
      </c>
      <c r="E47" t="inlineStr">
        <is>
          <t>ÖSTERSUND</t>
        </is>
      </c>
      <c r="G47" t="n">
        <v>4.6</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39586-2025 artfynd.xlsx", "A 39586-2025")</f>
        <v/>
      </c>
      <c r="T47">
        <f>HYPERLINK("https://klasma.github.io/Logging_2380/kartor/A 39586-2025 karta.png", "A 39586-2025")</f>
        <v/>
      </c>
      <c r="V47">
        <f>HYPERLINK("https://klasma.github.io/Logging_2380/klagomål/A 39586-2025 FSC-klagomål.docx", "A 39586-2025")</f>
        <v/>
      </c>
      <c r="W47">
        <f>HYPERLINK("https://klasma.github.io/Logging_2380/klagomålsmail/A 39586-2025 FSC-klagomål mail.docx", "A 39586-2025")</f>
        <v/>
      </c>
      <c r="X47">
        <f>HYPERLINK("https://klasma.github.io/Logging_2380/tillsyn/A 39586-2025 tillsynsbegäran.docx", "A 39586-2025")</f>
        <v/>
      </c>
      <c r="Y47">
        <f>HYPERLINK("https://klasma.github.io/Logging_2380/tillsynsmail/A 39586-2025 tillsynsbegäran mail.docx", "A 39586-2025")</f>
        <v/>
      </c>
      <c r="Z47">
        <f>HYPERLINK("https://klasma.github.io/Logging_2380/fåglar/A 39586-2025 prioriterade fågelarter.docx", "A 39586-2025")</f>
        <v/>
      </c>
    </row>
    <row r="48" ht="15" customHeight="1">
      <c r="A48" t="inlineStr">
        <is>
          <t>A 44741-2025</t>
        </is>
      </c>
      <c r="B48" s="1" t="n">
        <v>45917.66619212963</v>
      </c>
      <c r="C48" s="1" t="n">
        <v>45995</v>
      </c>
      <c r="D48" t="inlineStr">
        <is>
          <t>JÄMTLANDS LÄN</t>
        </is>
      </c>
      <c r="E48" t="inlineStr">
        <is>
          <t>ÖSTERSUND</t>
        </is>
      </c>
      <c r="G48" t="n">
        <v>14.4</v>
      </c>
      <c r="H48" t="n">
        <v>3</v>
      </c>
      <c r="I48" t="n">
        <v>2</v>
      </c>
      <c r="J48" t="n">
        <v>3</v>
      </c>
      <c r="K48" t="n">
        <v>1</v>
      </c>
      <c r="L48" t="n">
        <v>0</v>
      </c>
      <c r="M48" t="n">
        <v>0</v>
      </c>
      <c r="N48" t="n">
        <v>0</v>
      </c>
      <c r="O48" t="n">
        <v>4</v>
      </c>
      <c r="P48" t="n">
        <v>1</v>
      </c>
      <c r="Q48" t="n">
        <v>7</v>
      </c>
      <c r="R48" s="2" t="inlineStr">
        <is>
          <t>Knärot
Garnlav
Talltita
Ullticka
Kransrams
Svavelriska
Revlummer</t>
        </is>
      </c>
      <c r="S48">
        <f>HYPERLINK("https://klasma.github.io/Logging_2380/artfynd/A 44741-2025 artfynd.xlsx", "A 44741-2025")</f>
        <v/>
      </c>
      <c r="T48">
        <f>HYPERLINK("https://klasma.github.io/Logging_2380/kartor/A 44741-2025 karta.png", "A 44741-2025")</f>
        <v/>
      </c>
      <c r="U48">
        <f>HYPERLINK("https://klasma.github.io/Logging_2380/knärot/A 44741-2025 karta knärot.png", "A 44741-2025")</f>
        <v/>
      </c>
      <c r="V48">
        <f>HYPERLINK("https://klasma.github.io/Logging_2380/klagomål/A 44741-2025 FSC-klagomål.docx", "A 44741-2025")</f>
        <v/>
      </c>
      <c r="W48">
        <f>HYPERLINK("https://klasma.github.io/Logging_2380/klagomålsmail/A 44741-2025 FSC-klagomål mail.docx", "A 44741-2025")</f>
        <v/>
      </c>
      <c r="X48">
        <f>HYPERLINK("https://klasma.github.io/Logging_2380/tillsyn/A 44741-2025 tillsynsbegäran.docx", "A 44741-2025")</f>
        <v/>
      </c>
      <c r="Y48">
        <f>HYPERLINK("https://klasma.github.io/Logging_2380/tillsynsmail/A 44741-2025 tillsynsbegäran mail.docx", "A 44741-2025")</f>
        <v/>
      </c>
      <c r="Z48">
        <f>HYPERLINK("https://klasma.github.io/Logging_2380/fåglar/A 44741-2025 prioriterade fågelarter.docx", "A 44741-2025")</f>
        <v/>
      </c>
    </row>
    <row r="49" ht="15" customHeight="1">
      <c r="A49" t="inlineStr">
        <is>
          <t>A 26372-2025</t>
        </is>
      </c>
      <c r="B49" s="1" t="n">
        <v>45806</v>
      </c>
      <c r="C49" s="1" t="n">
        <v>45995</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50529-2025</t>
        </is>
      </c>
      <c r="B50" s="1" t="n">
        <v>45945.47331018518</v>
      </c>
      <c r="C50" s="1" t="n">
        <v>45995</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48736-2025</t>
        </is>
      </c>
      <c r="B51" s="1" t="n">
        <v>45936.66547453704</v>
      </c>
      <c r="C51" s="1" t="n">
        <v>45995</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54608-2023</t>
        </is>
      </c>
      <c r="B52" s="1" t="n">
        <v>45233</v>
      </c>
      <c r="C52" s="1" t="n">
        <v>45995</v>
      </c>
      <c r="D52" t="inlineStr">
        <is>
          <t>JÄMTLANDS LÄN</t>
        </is>
      </c>
      <c r="E52" t="inlineStr">
        <is>
          <t>ÖSTERSUND</t>
        </is>
      </c>
      <c r="F52" t="inlineStr">
        <is>
          <t>SCA</t>
        </is>
      </c>
      <c r="G52" t="n">
        <v>4.3</v>
      </c>
      <c r="H52" t="n">
        <v>1</v>
      </c>
      <c r="I52" t="n">
        <v>5</v>
      </c>
      <c r="J52" t="n">
        <v>2</v>
      </c>
      <c r="K52" t="n">
        <v>0</v>
      </c>
      <c r="L52" t="n">
        <v>0</v>
      </c>
      <c r="M52" t="n">
        <v>0</v>
      </c>
      <c r="N52" t="n">
        <v>0</v>
      </c>
      <c r="O52" t="n">
        <v>2</v>
      </c>
      <c r="P52" t="n">
        <v>0</v>
      </c>
      <c r="Q52" t="n">
        <v>7</v>
      </c>
      <c r="R52" s="2" t="inlineStr">
        <is>
          <t>Granticka
Ullticka
Guckusko
Svavelriska
Trådfräken
Trådticka
Underviol</t>
        </is>
      </c>
      <c r="S52">
        <f>HYPERLINK("https://klasma.github.io/Logging_2380/artfynd/A 54608-2023 artfynd.xlsx", "A 54608-2023")</f>
        <v/>
      </c>
      <c r="T52">
        <f>HYPERLINK("https://klasma.github.io/Logging_2380/kartor/A 54608-2023 karta.png", "A 54608-2023")</f>
        <v/>
      </c>
      <c r="V52">
        <f>HYPERLINK("https://klasma.github.io/Logging_2380/klagomål/A 54608-2023 FSC-klagomål.docx", "A 54608-2023")</f>
        <v/>
      </c>
      <c r="W52">
        <f>HYPERLINK("https://klasma.github.io/Logging_2380/klagomålsmail/A 54608-2023 FSC-klagomål mail.docx", "A 54608-2023")</f>
        <v/>
      </c>
      <c r="X52">
        <f>HYPERLINK("https://klasma.github.io/Logging_2380/tillsyn/A 54608-2023 tillsynsbegäran.docx", "A 54608-2023")</f>
        <v/>
      </c>
      <c r="Y52">
        <f>HYPERLINK("https://klasma.github.io/Logging_2380/tillsynsmail/A 54608-2023 tillsynsbegäran mail.docx", "A 54608-2023")</f>
        <v/>
      </c>
    </row>
    <row r="53" ht="15" customHeight="1">
      <c r="A53" t="inlineStr">
        <is>
          <t>A 28512-2021</t>
        </is>
      </c>
      <c r="B53" s="1" t="n">
        <v>44356</v>
      </c>
      <c r="C53" s="1" t="n">
        <v>45995</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61153-2024</t>
        </is>
      </c>
      <c r="B54" s="1" t="n">
        <v>45645</v>
      </c>
      <c r="C54" s="1" t="n">
        <v>45995</v>
      </c>
      <c r="D54" t="inlineStr">
        <is>
          <t>JÄMTLANDS LÄN</t>
        </is>
      </c>
      <c r="E54" t="inlineStr">
        <is>
          <t>ÖSTERSUND</t>
        </is>
      </c>
      <c r="G54" t="n">
        <v>8.699999999999999</v>
      </c>
      <c r="H54" t="n">
        <v>5</v>
      </c>
      <c r="I54" t="n">
        <v>0</v>
      </c>
      <c r="J54" t="n">
        <v>4</v>
      </c>
      <c r="K54" t="n">
        <v>1</v>
      </c>
      <c r="L54" t="n">
        <v>0</v>
      </c>
      <c r="M54" t="n">
        <v>0</v>
      </c>
      <c r="N54" t="n">
        <v>0</v>
      </c>
      <c r="O54" t="n">
        <v>5</v>
      </c>
      <c r="P54" t="n">
        <v>1</v>
      </c>
      <c r="Q54" t="n">
        <v>6</v>
      </c>
      <c r="R54" s="2" t="inlineStr">
        <is>
          <t>Knärot
Garnlav
Mindre hackspett
Spillkråka
Talltita
Tjäder</t>
        </is>
      </c>
      <c r="S54">
        <f>HYPERLINK("https://klasma.github.io/Logging_2380/artfynd/A 61153-2024 artfynd.xlsx", "A 61153-2024")</f>
        <v/>
      </c>
      <c r="T54">
        <f>HYPERLINK("https://klasma.github.io/Logging_2380/kartor/A 61153-2024 karta.png", "A 61153-2024")</f>
        <v/>
      </c>
      <c r="U54">
        <f>HYPERLINK("https://klasma.github.io/Logging_2380/knärot/A 61153-2024 karta knärot.png", "A 61153-2024")</f>
        <v/>
      </c>
      <c r="V54">
        <f>HYPERLINK("https://klasma.github.io/Logging_2380/klagomål/A 61153-2024 FSC-klagomål.docx", "A 61153-2024")</f>
        <v/>
      </c>
      <c r="W54">
        <f>HYPERLINK("https://klasma.github.io/Logging_2380/klagomålsmail/A 61153-2024 FSC-klagomål mail.docx", "A 61153-2024")</f>
        <v/>
      </c>
      <c r="X54">
        <f>HYPERLINK("https://klasma.github.io/Logging_2380/tillsyn/A 61153-2024 tillsynsbegäran.docx", "A 61153-2024")</f>
        <v/>
      </c>
      <c r="Y54">
        <f>HYPERLINK("https://klasma.github.io/Logging_2380/tillsynsmail/A 61153-2024 tillsynsbegäran mail.docx", "A 61153-2024")</f>
        <v/>
      </c>
      <c r="Z54">
        <f>HYPERLINK("https://klasma.github.io/Logging_2380/fåglar/A 61153-2024 prioriterade fågelarter.docx", "A 61153-2024")</f>
        <v/>
      </c>
    </row>
    <row r="55" ht="15" customHeight="1">
      <c r="A55" t="inlineStr">
        <is>
          <t>A 24523-2021</t>
        </is>
      </c>
      <c r="B55" s="1" t="n">
        <v>44337</v>
      </c>
      <c r="C55" s="1" t="n">
        <v>45995</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47392-2022</t>
        </is>
      </c>
      <c r="B56" s="1" t="n">
        <v>44851</v>
      </c>
      <c r="C56" s="1" t="n">
        <v>45995</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18338-2025</t>
        </is>
      </c>
      <c r="B57" s="1" t="n">
        <v>45762.51075231482</v>
      </c>
      <c r="C57" s="1" t="n">
        <v>45995</v>
      </c>
      <c r="D57" t="inlineStr">
        <is>
          <t>JÄMTLANDS LÄN</t>
        </is>
      </c>
      <c r="E57" t="inlineStr">
        <is>
          <t>ÖSTERSUND</t>
        </is>
      </c>
      <c r="F57" t="inlineStr">
        <is>
          <t>SCA</t>
        </is>
      </c>
      <c r="G57" t="n">
        <v>5.3</v>
      </c>
      <c r="H57" t="n">
        <v>1</v>
      </c>
      <c r="I57" t="n">
        <v>2</v>
      </c>
      <c r="J57" t="n">
        <v>3</v>
      </c>
      <c r="K57" t="n">
        <v>0</v>
      </c>
      <c r="L57" t="n">
        <v>0</v>
      </c>
      <c r="M57" t="n">
        <v>0</v>
      </c>
      <c r="N57" t="n">
        <v>0</v>
      </c>
      <c r="O57" t="n">
        <v>3</v>
      </c>
      <c r="P57" t="n">
        <v>0</v>
      </c>
      <c r="Q57" t="n">
        <v>6</v>
      </c>
      <c r="R57" s="2" t="inlineStr">
        <is>
          <t>Kolflarnlav
Oljetagging
Vedflamlav
Barkticka
Stor aspticka
Fläcknycklar</t>
        </is>
      </c>
      <c r="S57">
        <f>HYPERLINK("https://klasma.github.io/Logging_2380/artfynd/A 18338-2025 artfynd.xlsx", "A 18338-2025")</f>
        <v/>
      </c>
      <c r="T57">
        <f>HYPERLINK("https://klasma.github.io/Logging_2380/kartor/A 18338-2025 karta.png", "A 18338-2025")</f>
        <v/>
      </c>
      <c r="V57">
        <f>HYPERLINK("https://klasma.github.io/Logging_2380/klagomål/A 18338-2025 FSC-klagomål.docx", "A 18338-2025")</f>
        <v/>
      </c>
      <c r="W57">
        <f>HYPERLINK("https://klasma.github.io/Logging_2380/klagomålsmail/A 18338-2025 FSC-klagomål mail.docx", "A 18338-2025")</f>
        <v/>
      </c>
      <c r="X57">
        <f>HYPERLINK("https://klasma.github.io/Logging_2380/tillsyn/A 18338-2025 tillsynsbegäran.docx", "A 18338-2025")</f>
        <v/>
      </c>
      <c r="Y57">
        <f>HYPERLINK("https://klasma.github.io/Logging_2380/tillsynsmail/A 18338-2025 tillsynsbegäran mail.docx", "A 18338-2025")</f>
        <v/>
      </c>
    </row>
    <row r="58" ht="15" customHeight="1">
      <c r="A58" t="inlineStr">
        <is>
          <t>A 40815-2025</t>
        </is>
      </c>
      <c r="B58" s="1" t="n">
        <v>45897</v>
      </c>
      <c r="C58" s="1" t="n">
        <v>45995</v>
      </c>
      <c r="D58" t="inlineStr">
        <is>
          <t>JÄMTLANDS LÄN</t>
        </is>
      </c>
      <c r="E58" t="inlineStr">
        <is>
          <t>ÖSTERSUND</t>
        </is>
      </c>
      <c r="F58" t="inlineStr">
        <is>
          <t>Kommuner</t>
        </is>
      </c>
      <c r="G58" t="n">
        <v>0.8</v>
      </c>
      <c r="H58" t="n">
        <v>2</v>
      </c>
      <c r="I58" t="n">
        <v>2</v>
      </c>
      <c r="J58" t="n">
        <v>2</v>
      </c>
      <c r="K58" t="n">
        <v>0</v>
      </c>
      <c r="L58" t="n">
        <v>0</v>
      </c>
      <c r="M58" t="n">
        <v>0</v>
      </c>
      <c r="N58" t="n">
        <v>0</v>
      </c>
      <c r="O58" t="n">
        <v>2</v>
      </c>
      <c r="P58" t="n">
        <v>0</v>
      </c>
      <c r="Q58" t="n">
        <v>6</v>
      </c>
      <c r="R58" s="2" t="inlineStr">
        <is>
          <t>Granticka
Lunglav
Svart trolldruva
Tibast
Blåsippa
Revlummer</t>
        </is>
      </c>
      <c r="S58">
        <f>HYPERLINK("https://klasma.github.io/Logging_2380/artfynd/A 40815-2025 artfynd.xlsx", "A 40815-2025")</f>
        <v/>
      </c>
      <c r="T58">
        <f>HYPERLINK("https://klasma.github.io/Logging_2380/kartor/A 40815-2025 karta.png", "A 40815-2025")</f>
        <v/>
      </c>
      <c r="V58">
        <f>HYPERLINK("https://klasma.github.io/Logging_2380/klagomål/A 40815-2025 FSC-klagomål.docx", "A 40815-2025")</f>
        <v/>
      </c>
      <c r="W58">
        <f>HYPERLINK("https://klasma.github.io/Logging_2380/klagomålsmail/A 40815-2025 FSC-klagomål mail.docx", "A 40815-2025")</f>
        <v/>
      </c>
      <c r="X58">
        <f>HYPERLINK("https://klasma.github.io/Logging_2380/tillsyn/A 40815-2025 tillsynsbegäran.docx", "A 40815-2025")</f>
        <v/>
      </c>
      <c r="Y58">
        <f>HYPERLINK("https://klasma.github.io/Logging_2380/tillsynsmail/A 40815-2025 tillsynsbegäran mail.docx", "A 40815-2025")</f>
        <v/>
      </c>
    </row>
    <row r="59" ht="15" customHeight="1">
      <c r="A59" t="inlineStr">
        <is>
          <t>A 376-2023</t>
        </is>
      </c>
      <c r="B59" s="1" t="n">
        <v>44929</v>
      </c>
      <c r="C59" s="1" t="n">
        <v>45995</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3995-2025</t>
        </is>
      </c>
      <c r="B60" s="1" t="n">
        <v>45684</v>
      </c>
      <c r="C60" s="1" t="n">
        <v>45995</v>
      </c>
      <c r="D60" t="inlineStr">
        <is>
          <t>JÄMTLANDS LÄN</t>
        </is>
      </c>
      <c r="E60" t="inlineStr">
        <is>
          <t>ÖSTERSUND</t>
        </is>
      </c>
      <c r="G60" t="n">
        <v>6.5</v>
      </c>
      <c r="H60" t="n">
        <v>1</v>
      </c>
      <c r="I60" t="n">
        <v>0</v>
      </c>
      <c r="J60" t="n">
        <v>5</v>
      </c>
      <c r="K60" t="n">
        <v>1</v>
      </c>
      <c r="L60" t="n">
        <v>0</v>
      </c>
      <c r="M60" t="n">
        <v>0</v>
      </c>
      <c r="N60" t="n">
        <v>0</v>
      </c>
      <c r="O60" t="n">
        <v>6</v>
      </c>
      <c r="P60" t="n">
        <v>1</v>
      </c>
      <c r="Q60" t="n">
        <v>6</v>
      </c>
      <c r="R60" s="2" t="inlineStr">
        <is>
          <t>Rynkskinn
Gränsticka
Rosenticka
Tretåig hackspett
Ullticka
Vedtrappmossa</t>
        </is>
      </c>
      <c r="S60">
        <f>HYPERLINK("https://klasma.github.io/Logging_2380/artfynd/A 3995-2025 artfynd.xlsx", "A 3995-2025")</f>
        <v/>
      </c>
      <c r="T60">
        <f>HYPERLINK("https://klasma.github.io/Logging_2380/kartor/A 3995-2025 karta.png", "A 3995-2025")</f>
        <v/>
      </c>
      <c r="V60">
        <f>HYPERLINK("https://klasma.github.io/Logging_2380/klagomål/A 3995-2025 FSC-klagomål.docx", "A 3995-2025")</f>
        <v/>
      </c>
      <c r="W60">
        <f>HYPERLINK("https://klasma.github.io/Logging_2380/klagomålsmail/A 3995-2025 FSC-klagomål mail.docx", "A 3995-2025")</f>
        <v/>
      </c>
      <c r="X60">
        <f>HYPERLINK("https://klasma.github.io/Logging_2380/tillsyn/A 3995-2025 tillsynsbegäran.docx", "A 3995-2025")</f>
        <v/>
      </c>
      <c r="Y60">
        <f>HYPERLINK("https://klasma.github.io/Logging_2380/tillsynsmail/A 3995-2025 tillsynsbegäran mail.docx", "A 3995-2025")</f>
        <v/>
      </c>
      <c r="Z60">
        <f>HYPERLINK("https://klasma.github.io/Logging_2380/fåglar/A 3995-2025 prioriterade fågelarter.docx", "A 3995-2025")</f>
        <v/>
      </c>
    </row>
    <row r="61" ht="15" customHeight="1">
      <c r="A61" t="inlineStr">
        <is>
          <t>A 12712-2021</t>
        </is>
      </c>
      <c r="B61" s="1" t="n">
        <v>44270.58950231481</v>
      </c>
      <c r="C61" s="1" t="n">
        <v>45995</v>
      </c>
      <c r="D61" t="inlineStr">
        <is>
          <t>JÄMTLANDS LÄN</t>
        </is>
      </c>
      <c r="E61" t="inlineStr">
        <is>
          <t>ÖSTERSUND</t>
        </is>
      </c>
      <c r="G61" t="n">
        <v>8</v>
      </c>
      <c r="H61" t="n">
        <v>2</v>
      </c>
      <c r="I61" t="n">
        <v>3</v>
      </c>
      <c r="J61" t="n">
        <v>1</v>
      </c>
      <c r="K61" t="n">
        <v>0</v>
      </c>
      <c r="L61" t="n">
        <v>1</v>
      </c>
      <c r="M61" t="n">
        <v>0</v>
      </c>
      <c r="N61" t="n">
        <v>0</v>
      </c>
      <c r="O61" t="n">
        <v>2</v>
      </c>
      <c r="P61" t="n">
        <v>1</v>
      </c>
      <c r="Q61" t="n">
        <v>6</v>
      </c>
      <c r="R61" s="2" t="inlineStr">
        <is>
          <t>Trolldruvemätare
Talltita
Kransrams
Tibast
Underviol
Blåsippa</t>
        </is>
      </c>
      <c r="S61">
        <f>HYPERLINK("https://klasma.github.io/Logging_2380/artfynd/A 12712-2021 artfynd.xlsx", "A 12712-2021")</f>
        <v/>
      </c>
      <c r="T61">
        <f>HYPERLINK("https://klasma.github.io/Logging_2380/kartor/A 12712-2021 karta.png", "A 12712-2021")</f>
        <v/>
      </c>
      <c r="V61">
        <f>HYPERLINK("https://klasma.github.io/Logging_2380/klagomål/A 12712-2021 FSC-klagomål.docx", "A 12712-2021")</f>
        <v/>
      </c>
      <c r="W61">
        <f>HYPERLINK("https://klasma.github.io/Logging_2380/klagomålsmail/A 12712-2021 FSC-klagomål mail.docx", "A 12712-2021")</f>
        <v/>
      </c>
      <c r="X61">
        <f>HYPERLINK("https://klasma.github.io/Logging_2380/tillsyn/A 12712-2021 tillsynsbegäran.docx", "A 12712-2021")</f>
        <v/>
      </c>
      <c r="Y61">
        <f>HYPERLINK("https://klasma.github.io/Logging_2380/tillsynsmail/A 12712-2021 tillsynsbegäran mail.docx", "A 12712-2021")</f>
        <v/>
      </c>
      <c r="Z61">
        <f>HYPERLINK("https://klasma.github.io/Logging_2380/fåglar/A 12712-2021 prioriterade fågelarter.docx", "A 12712-2021")</f>
        <v/>
      </c>
    </row>
    <row r="62" ht="15" customHeight="1">
      <c r="A62" t="inlineStr">
        <is>
          <t>A 40555-2024</t>
        </is>
      </c>
      <c r="B62" s="1" t="n">
        <v>45555</v>
      </c>
      <c r="C62" s="1" t="n">
        <v>45995</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27577-2022</t>
        </is>
      </c>
      <c r="B63" s="1" t="n">
        <v>44742</v>
      </c>
      <c r="C63" s="1" t="n">
        <v>45995</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39941-2024</t>
        </is>
      </c>
      <c r="B64" s="1" t="n">
        <v>45553</v>
      </c>
      <c r="C64" s="1" t="n">
        <v>45995</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59537-2023</t>
        </is>
      </c>
      <c r="B65" s="1" t="n">
        <v>45254</v>
      </c>
      <c r="C65" s="1" t="n">
        <v>45995</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45979-2023</t>
        </is>
      </c>
      <c r="B66" s="1" t="n">
        <v>45189</v>
      </c>
      <c r="C66" s="1" t="n">
        <v>45995</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10747-2024</t>
        </is>
      </c>
      <c r="B67" s="1" t="n">
        <v>45369</v>
      </c>
      <c r="C67" s="1" t="n">
        <v>45995</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54731-2024</t>
        </is>
      </c>
      <c r="B68" s="1" t="n">
        <v>45618.43853009259</v>
      </c>
      <c r="C68" s="1" t="n">
        <v>45995</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38334-2023</t>
        </is>
      </c>
      <c r="B69" s="1" t="n">
        <v>45161</v>
      </c>
      <c r="C69" s="1" t="n">
        <v>45995</v>
      </c>
      <c r="D69" t="inlineStr">
        <is>
          <t>JÄMTLANDS LÄN</t>
        </is>
      </c>
      <c r="E69" t="inlineStr">
        <is>
          <t>ÖSTERSUND</t>
        </is>
      </c>
      <c r="G69" t="n">
        <v>10.5</v>
      </c>
      <c r="H69" t="n">
        <v>1</v>
      </c>
      <c r="I69" t="n">
        <v>0</v>
      </c>
      <c r="J69" t="n">
        <v>3</v>
      </c>
      <c r="K69" t="n">
        <v>2</v>
      </c>
      <c r="L69" t="n">
        <v>0</v>
      </c>
      <c r="M69" t="n">
        <v>0</v>
      </c>
      <c r="N69" t="n">
        <v>0</v>
      </c>
      <c r="O69" t="n">
        <v>5</v>
      </c>
      <c r="P69" t="n">
        <v>2</v>
      </c>
      <c r="Q69" t="n">
        <v>5</v>
      </c>
      <c r="R69" s="2" t="inlineStr">
        <is>
          <t>Rynkskinn
Violett fingersvamp
Granticka
Harticka
Tretåig hackspett</t>
        </is>
      </c>
      <c r="S69">
        <f>HYPERLINK("https://klasma.github.io/Logging_2380/artfynd/A 38334-2023 artfynd.xlsx", "A 38334-2023")</f>
        <v/>
      </c>
      <c r="T69">
        <f>HYPERLINK("https://klasma.github.io/Logging_2380/kartor/A 38334-2023 karta.png", "A 38334-2023")</f>
        <v/>
      </c>
      <c r="V69">
        <f>HYPERLINK("https://klasma.github.io/Logging_2380/klagomål/A 38334-2023 FSC-klagomål.docx", "A 38334-2023")</f>
        <v/>
      </c>
      <c r="W69">
        <f>HYPERLINK("https://klasma.github.io/Logging_2380/klagomålsmail/A 38334-2023 FSC-klagomål mail.docx", "A 38334-2023")</f>
        <v/>
      </c>
      <c r="X69">
        <f>HYPERLINK("https://klasma.github.io/Logging_2380/tillsyn/A 38334-2023 tillsynsbegäran.docx", "A 38334-2023")</f>
        <v/>
      </c>
      <c r="Y69">
        <f>HYPERLINK("https://klasma.github.io/Logging_2380/tillsynsmail/A 38334-2023 tillsynsbegäran mail.docx", "A 38334-2023")</f>
        <v/>
      </c>
      <c r="Z69">
        <f>HYPERLINK("https://klasma.github.io/Logging_2380/fåglar/A 38334-2023 prioriterade fågelarter.docx", "A 38334-2023")</f>
        <v/>
      </c>
    </row>
    <row r="70" ht="15" customHeight="1">
      <c r="A70" t="inlineStr">
        <is>
          <t>A 56934-2025</t>
        </is>
      </c>
      <c r="B70" s="1" t="n">
        <v>45978.61351851852</v>
      </c>
      <c r="C70" s="1" t="n">
        <v>45995</v>
      </c>
      <c r="D70" t="inlineStr">
        <is>
          <t>JÄMTLANDS LÄN</t>
        </is>
      </c>
      <c r="E70" t="inlineStr">
        <is>
          <t>ÖSTERSUND</t>
        </is>
      </c>
      <c r="G70" t="n">
        <v>4.3</v>
      </c>
      <c r="H70" t="n">
        <v>2</v>
      </c>
      <c r="I70" t="n">
        <v>0</v>
      </c>
      <c r="J70" t="n">
        <v>4</v>
      </c>
      <c r="K70" t="n">
        <v>0</v>
      </c>
      <c r="L70" t="n">
        <v>0</v>
      </c>
      <c r="M70" t="n">
        <v>0</v>
      </c>
      <c r="N70" t="n">
        <v>0</v>
      </c>
      <c r="O70" t="n">
        <v>4</v>
      </c>
      <c r="P70" t="n">
        <v>0</v>
      </c>
      <c r="Q70" t="n">
        <v>5</v>
      </c>
      <c r="R70" s="2" t="inlineStr">
        <is>
          <t>Garnlav
Granticka
Harticka
Talltita
Revlummer</t>
        </is>
      </c>
      <c r="S70">
        <f>HYPERLINK("https://klasma.github.io/Logging_2380/artfynd/A 56934-2025 artfynd.xlsx", "A 56934-2025")</f>
        <v/>
      </c>
      <c r="T70">
        <f>HYPERLINK("https://klasma.github.io/Logging_2380/kartor/A 56934-2025 karta.png", "A 56934-2025")</f>
        <v/>
      </c>
      <c r="V70">
        <f>HYPERLINK("https://klasma.github.io/Logging_2380/klagomål/A 56934-2025 FSC-klagomål.docx", "A 56934-2025")</f>
        <v/>
      </c>
      <c r="W70">
        <f>HYPERLINK("https://klasma.github.io/Logging_2380/klagomålsmail/A 56934-2025 FSC-klagomål mail.docx", "A 56934-2025")</f>
        <v/>
      </c>
      <c r="X70">
        <f>HYPERLINK("https://klasma.github.io/Logging_2380/tillsyn/A 56934-2025 tillsynsbegäran.docx", "A 56934-2025")</f>
        <v/>
      </c>
      <c r="Y70">
        <f>HYPERLINK("https://klasma.github.io/Logging_2380/tillsynsmail/A 56934-2025 tillsynsbegäran mail.docx", "A 56934-2025")</f>
        <v/>
      </c>
      <c r="Z70">
        <f>HYPERLINK("https://klasma.github.io/Logging_2380/fåglar/A 56934-2025 prioriterade fågelarter.docx", "A 56934-2025")</f>
        <v/>
      </c>
    </row>
    <row r="71" ht="15" customHeight="1">
      <c r="A71" t="inlineStr">
        <is>
          <t>A 7717-2024</t>
        </is>
      </c>
      <c r="B71" s="1" t="n">
        <v>45349</v>
      </c>
      <c r="C71" s="1" t="n">
        <v>45995</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29117-2025</t>
        </is>
      </c>
      <c r="B72" s="1" t="n">
        <v>45821.59243055555</v>
      </c>
      <c r="C72" s="1" t="n">
        <v>45995</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60580-2024</t>
        </is>
      </c>
      <c r="B73" s="1" t="n">
        <v>45644</v>
      </c>
      <c r="C73" s="1" t="n">
        <v>45995</v>
      </c>
      <c r="D73" t="inlineStr">
        <is>
          <t>JÄMTLANDS LÄN</t>
        </is>
      </c>
      <c r="E73" t="inlineStr">
        <is>
          <t>ÖSTERSUND</t>
        </is>
      </c>
      <c r="G73" t="n">
        <v>13.5</v>
      </c>
      <c r="H73" t="n">
        <v>2</v>
      </c>
      <c r="I73" t="n">
        <v>0</v>
      </c>
      <c r="J73" t="n">
        <v>4</v>
      </c>
      <c r="K73" t="n">
        <v>0</v>
      </c>
      <c r="L73" t="n">
        <v>0</v>
      </c>
      <c r="M73" t="n">
        <v>0</v>
      </c>
      <c r="N73" t="n">
        <v>0</v>
      </c>
      <c r="O73" t="n">
        <v>4</v>
      </c>
      <c r="P73" t="n">
        <v>0</v>
      </c>
      <c r="Q73" t="n">
        <v>4</v>
      </c>
      <c r="R73" s="2" t="inlineStr">
        <is>
          <t>Granticka
Lunglav
Spillkråka
Tretåig hackspett</t>
        </is>
      </c>
      <c r="S73">
        <f>HYPERLINK("https://klasma.github.io/Logging_2380/artfynd/A 60580-2024 artfynd.xlsx", "A 60580-2024")</f>
        <v/>
      </c>
      <c r="T73">
        <f>HYPERLINK("https://klasma.github.io/Logging_2380/kartor/A 60580-2024 karta.png", "A 60580-2024")</f>
        <v/>
      </c>
      <c r="V73">
        <f>HYPERLINK("https://klasma.github.io/Logging_2380/klagomål/A 60580-2024 FSC-klagomål.docx", "A 60580-2024")</f>
        <v/>
      </c>
      <c r="W73">
        <f>HYPERLINK("https://klasma.github.io/Logging_2380/klagomålsmail/A 60580-2024 FSC-klagomål mail.docx", "A 60580-2024")</f>
        <v/>
      </c>
      <c r="X73">
        <f>HYPERLINK("https://klasma.github.io/Logging_2380/tillsyn/A 60580-2024 tillsynsbegäran.docx", "A 60580-2024")</f>
        <v/>
      </c>
      <c r="Y73">
        <f>HYPERLINK("https://klasma.github.io/Logging_2380/tillsynsmail/A 60580-2024 tillsynsbegäran mail.docx", "A 60580-2024")</f>
        <v/>
      </c>
      <c r="Z73">
        <f>HYPERLINK("https://klasma.github.io/Logging_2380/fåglar/A 60580-2024 prioriterade fågelarter.docx", "A 60580-2024")</f>
        <v/>
      </c>
    </row>
    <row r="74" ht="15" customHeight="1">
      <c r="A74" t="inlineStr">
        <is>
          <t>A 7698-2024</t>
        </is>
      </c>
      <c r="B74" s="1" t="n">
        <v>45349</v>
      </c>
      <c r="C74" s="1" t="n">
        <v>45995</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55344-2023</t>
        </is>
      </c>
      <c r="B75" s="1" t="n">
        <v>45237</v>
      </c>
      <c r="C75" s="1" t="n">
        <v>45995</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2962-2023</t>
        </is>
      </c>
      <c r="B76" s="1" t="n">
        <v>44945</v>
      </c>
      <c r="C76" s="1" t="n">
        <v>45995</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55258-2025</t>
        </is>
      </c>
      <c r="B77" s="1" t="n">
        <v>45968.6444212963</v>
      </c>
      <c r="C77" s="1" t="n">
        <v>45995</v>
      </c>
      <c r="D77" t="inlineStr">
        <is>
          <t>JÄMTLANDS LÄN</t>
        </is>
      </c>
      <c r="E77" t="inlineStr">
        <is>
          <t>ÖSTERSUND</t>
        </is>
      </c>
      <c r="G77" t="n">
        <v>4.2</v>
      </c>
      <c r="H77" t="n">
        <v>2</v>
      </c>
      <c r="I77" t="n">
        <v>1</v>
      </c>
      <c r="J77" t="n">
        <v>2</v>
      </c>
      <c r="K77" t="n">
        <v>0</v>
      </c>
      <c r="L77" t="n">
        <v>0</v>
      </c>
      <c r="M77" t="n">
        <v>0</v>
      </c>
      <c r="N77" t="n">
        <v>0</v>
      </c>
      <c r="O77" t="n">
        <v>2</v>
      </c>
      <c r="P77" t="n">
        <v>0</v>
      </c>
      <c r="Q77" t="n">
        <v>4</v>
      </c>
      <c r="R77" s="2" t="inlineStr">
        <is>
          <t>Granticka
Talltita
Kransrams
Revlummer</t>
        </is>
      </c>
      <c r="S77">
        <f>HYPERLINK("https://klasma.github.io/Logging_2380/artfynd/A 55258-2025 artfynd.xlsx", "A 55258-2025")</f>
        <v/>
      </c>
      <c r="T77">
        <f>HYPERLINK("https://klasma.github.io/Logging_2380/kartor/A 55258-2025 karta.png", "A 55258-2025")</f>
        <v/>
      </c>
      <c r="V77">
        <f>HYPERLINK("https://klasma.github.io/Logging_2380/klagomål/A 55258-2025 FSC-klagomål.docx", "A 55258-2025")</f>
        <v/>
      </c>
      <c r="W77">
        <f>HYPERLINK("https://klasma.github.io/Logging_2380/klagomålsmail/A 55258-2025 FSC-klagomål mail.docx", "A 55258-2025")</f>
        <v/>
      </c>
      <c r="X77">
        <f>HYPERLINK("https://klasma.github.io/Logging_2380/tillsyn/A 55258-2025 tillsynsbegäran.docx", "A 55258-2025")</f>
        <v/>
      </c>
      <c r="Y77">
        <f>HYPERLINK("https://klasma.github.io/Logging_2380/tillsynsmail/A 55258-2025 tillsynsbegäran mail.docx", "A 55258-2025")</f>
        <v/>
      </c>
      <c r="Z77">
        <f>HYPERLINK("https://klasma.github.io/Logging_2380/fåglar/A 55258-2025 prioriterade fågelarter.docx", "A 55258-2025")</f>
        <v/>
      </c>
    </row>
    <row r="78" ht="15" customHeight="1">
      <c r="A78" t="inlineStr">
        <is>
          <t>A 41493-2025</t>
        </is>
      </c>
      <c r="B78" s="1" t="n">
        <v>45901.49171296296</v>
      </c>
      <c r="C78" s="1" t="n">
        <v>45995</v>
      </c>
      <c r="D78" t="inlineStr">
        <is>
          <t>JÄMTLANDS LÄN</t>
        </is>
      </c>
      <c r="E78" t="inlineStr">
        <is>
          <t>ÖSTERSUND</t>
        </is>
      </c>
      <c r="F78" t="inlineStr">
        <is>
          <t>Övriga Aktiebolag</t>
        </is>
      </c>
      <c r="G78" t="n">
        <v>0.8</v>
      </c>
      <c r="H78" t="n">
        <v>1</v>
      </c>
      <c r="I78" t="n">
        <v>1</v>
      </c>
      <c r="J78" t="n">
        <v>2</v>
      </c>
      <c r="K78" t="n">
        <v>0</v>
      </c>
      <c r="L78" t="n">
        <v>0</v>
      </c>
      <c r="M78" t="n">
        <v>0</v>
      </c>
      <c r="N78" t="n">
        <v>0</v>
      </c>
      <c r="O78" t="n">
        <v>2</v>
      </c>
      <c r="P78" t="n">
        <v>0</v>
      </c>
      <c r="Q78" t="n">
        <v>4</v>
      </c>
      <c r="R78" s="2" t="inlineStr">
        <is>
          <t>Granticka
Harticka
Trådticka
Revlummer</t>
        </is>
      </c>
      <c r="S78">
        <f>HYPERLINK("https://klasma.github.io/Logging_2380/artfynd/A 41493-2025 artfynd.xlsx", "A 41493-2025")</f>
        <v/>
      </c>
      <c r="T78">
        <f>HYPERLINK("https://klasma.github.io/Logging_2380/kartor/A 41493-2025 karta.png", "A 41493-2025")</f>
        <v/>
      </c>
      <c r="V78">
        <f>HYPERLINK("https://klasma.github.io/Logging_2380/klagomål/A 41493-2025 FSC-klagomål.docx", "A 41493-2025")</f>
        <v/>
      </c>
      <c r="W78">
        <f>HYPERLINK("https://klasma.github.io/Logging_2380/klagomålsmail/A 41493-2025 FSC-klagomål mail.docx", "A 41493-2025")</f>
        <v/>
      </c>
      <c r="X78">
        <f>HYPERLINK("https://klasma.github.io/Logging_2380/tillsyn/A 41493-2025 tillsynsbegäran.docx", "A 41493-2025")</f>
        <v/>
      </c>
      <c r="Y78">
        <f>HYPERLINK("https://klasma.github.io/Logging_2380/tillsynsmail/A 41493-2025 tillsynsbegäran mail.docx", "A 41493-2025")</f>
        <v/>
      </c>
    </row>
    <row r="79" ht="15" customHeight="1">
      <c r="A79" t="inlineStr">
        <is>
          <t>A 38335-2023</t>
        </is>
      </c>
      <c r="B79" s="1" t="n">
        <v>45161</v>
      </c>
      <c r="C79" s="1" t="n">
        <v>45995</v>
      </c>
      <c r="D79" t="inlineStr">
        <is>
          <t>JÄMTLANDS LÄN</t>
        </is>
      </c>
      <c r="E79" t="inlineStr">
        <is>
          <t>ÖSTERSUND</t>
        </is>
      </c>
      <c r="G79" t="n">
        <v>15.1</v>
      </c>
      <c r="H79" t="n">
        <v>3</v>
      </c>
      <c r="I79" t="n">
        <v>0</v>
      </c>
      <c r="J79" t="n">
        <v>2</v>
      </c>
      <c r="K79" t="n">
        <v>1</v>
      </c>
      <c r="L79" t="n">
        <v>0</v>
      </c>
      <c r="M79" t="n">
        <v>0</v>
      </c>
      <c r="N79" t="n">
        <v>0</v>
      </c>
      <c r="O79" t="n">
        <v>3</v>
      </c>
      <c r="P79" t="n">
        <v>1</v>
      </c>
      <c r="Q79" t="n">
        <v>4</v>
      </c>
      <c r="R79" s="2" t="inlineStr">
        <is>
          <t>Tallbit
Rosenticka
Tretåig hackspett
Lavskrika</t>
        </is>
      </c>
      <c r="S79">
        <f>HYPERLINK("https://klasma.github.io/Logging_2380/artfynd/A 38335-2023 artfynd.xlsx", "A 38335-2023")</f>
        <v/>
      </c>
      <c r="T79">
        <f>HYPERLINK("https://klasma.github.io/Logging_2380/kartor/A 38335-2023 karta.png", "A 38335-2023")</f>
        <v/>
      </c>
      <c r="V79">
        <f>HYPERLINK("https://klasma.github.io/Logging_2380/klagomål/A 38335-2023 FSC-klagomål.docx", "A 38335-2023")</f>
        <v/>
      </c>
      <c r="W79">
        <f>HYPERLINK("https://klasma.github.io/Logging_2380/klagomålsmail/A 38335-2023 FSC-klagomål mail.docx", "A 38335-2023")</f>
        <v/>
      </c>
      <c r="X79">
        <f>HYPERLINK("https://klasma.github.io/Logging_2380/tillsyn/A 38335-2023 tillsynsbegäran.docx", "A 38335-2023")</f>
        <v/>
      </c>
      <c r="Y79">
        <f>HYPERLINK("https://klasma.github.io/Logging_2380/tillsynsmail/A 38335-2023 tillsynsbegäran mail.docx", "A 38335-2023")</f>
        <v/>
      </c>
      <c r="Z79">
        <f>HYPERLINK("https://klasma.github.io/Logging_2380/fåglar/A 38335-2023 prioriterade fågelarter.docx", "A 38335-2023")</f>
        <v/>
      </c>
    </row>
    <row r="80" ht="15" customHeight="1">
      <c r="A80" t="inlineStr">
        <is>
          <t>A 31127-2025</t>
        </is>
      </c>
      <c r="B80" s="1" t="n">
        <v>45831</v>
      </c>
      <c r="C80" s="1" t="n">
        <v>45995</v>
      </c>
      <c r="D80" t="inlineStr">
        <is>
          <t>JÄMTLANDS LÄN</t>
        </is>
      </c>
      <c r="E80" t="inlineStr">
        <is>
          <t>ÖSTERSUND</t>
        </is>
      </c>
      <c r="G80" t="n">
        <v>4.3</v>
      </c>
      <c r="H80" t="n">
        <v>2</v>
      </c>
      <c r="I80" t="n">
        <v>1</v>
      </c>
      <c r="J80" t="n">
        <v>2</v>
      </c>
      <c r="K80" t="n">
        <v>0</v>
      </c>
      <c r="L80" t="n">
        <v>0</v>
      </c>
      <c r="M80" t="n">
        <v>0</v>
      </c>
      <c r="N80" t="n">
        <v>0</v>
      </c>
      <c r="O80" t="n">
        <v>2</v>
      </c>
      <c r="P80" t="n">
        <v>0</v>
      </c>
      <c r="Q80" t="n">
        <v>4</v>
      </c>
      <c r="R80" s="2" t="inlineStr">
        <is>
          <t>Granticka
Talltita
Kransrams
Revlummer</t>
        </is>
      </c>
      <c r="S80">
        <f>HYPERLINK("https://klasma.github.io/Logging_2380/artfynd/A 31127-2025 artfynd.xlsx", "A 31127-2025")</f>
        <v/>
      </c>
      <c r="T80">
        <f>HYPERLINK("https://klasma.github.io/Logging_2380/kartor/A 31127-2025 karta.png", "A 31127-2025")</f>
        <v/>
      </c>
      <c r="V80">
        <f>HYPERLINK("https://klasma.github.io/Logging_2380/klagomål/A 31127-2025 FSC-klagomål.docx", "A 31127-2025")</f>
        <v/>
      </c>
      <c r="W80">
        <f>HYPERLINK("https://klasma.github.io/Logging_2380/klagomålsmail/A 31127-2025 FSC-klagomål mail.docx", "A 31127-2025")</f>
        <v/>
      </c>
      <c r="X80">
        <f>HYPERLINK("https://klasma.github.io/Logging_2380/tillsyn/A 31127-2025 tillsynsbegäran.docx", "A 31127-2025")</f>
        <v/>
      </c>
      <c r="Y80">
        <f>HYPERLINK("https://klasma.github.io/Logging_2380/tillsynsmail/A 31127-2025 tillsynsbegäran mail.docx", "A 31127-2025")</f>
        <v/>
      </c>
      <c r="Z80">
        <f>HYPERLINK("https://klasma.github.io/Logging_2380/fåglar/A 31127-2025 prioriterade fågelarter.docx", "A 31127-2025")</f>
        <v/>
      </c>
    </row>
    <row r="81" ht="15" customHeight="1">
      <c r="A81" t="inlineStr">
        <is>
          <t>A 49192-2025</t>
        </is>
      </c>
      <c r="B81" s="1" t="n">
        <v>45938.40790509259</v>
      </c>
      <c r="C81" s="1" t="n">
        <v>45995</v>
      </c>
      <c r="D81" t="inlineStr">
        <is>
          <t>JÄMTLANDS LÄN</t>
        </is>
      </c>
      <c r="E81" t="inlineStr">
        <is>
          <t>ÖSTERSUND</t>
        </is>
      </c>
      <c r="F81" t="inlineStr">
        <is>
          <t>SCA</t>
        </is>
      </c>
      <c r="G81" t="n">
        <v>2.6</v>
      </c>
      <c r="H81" t="n">
        <v>2</v>
      </c>
      <c r="I81" t="n">
        <v>2</v>
      </c>
      <c r="J81" t="n">
        <v>1</v>
      </c>
      <c r="K81" t="n">
        <v>0</v>
      </c>
      <c r="L81" t="n">
        <v>0</v>
      </c>
      <c r="M81" t="n">
        <v>0</v>
      </c>
      <c r="N81" t="n">
        <v>0</v>
      </c>
      <c r="O81" t="n">
        <v>1</v>
      </c>
      <c r="P81" t="n">
        <v>0</v>
      </c>
      <c r="Q81" t="n">
        <v>4</v>
      </c>
      <c r="R81" s="2" t="inlineStr">
        <is>
          <t>Kolflarnlav
Guckusko
Tibast
Blåsippa</t>
        </is>
      </c>
      <c r="S81">
        <f>HYPERLINK("https://klasma.github.io/Logging_2380/artfynd/A 49192-2025 artfynd.xlsx", "A 49192-2025")</f>
        <v/>
      </c>
      <c r="T81">
        <f>HYPERLINK("https://klasma.github.io/Logging_2380/kartor/A 49192-2025 karta.png", "A 49192-2025")</f>
        <v/>
      </c>
      <c r="V81">
        <f>HYPERLINK("https://klasma.github.io/Logging_2380/klagomål/A 49192-2025 FSC-klagomål.docx", "A 49192-2025")</f>
        <v/>
      </c>
      <c r="W81">
        <f>HYPERLINK("https://klasma.github.io/Logging_2380/klagomålsmail/A 49192-2025 FSC-klagomål mail.docx", "A 49192-2025")</f>
        <v/>
      </c>
      <c r="X81">
        <f>HYPERLINK("https://klasma.github.io/Logging_2380/tillsyn/A 49192-2025 tillsynsbegäran.docx", "A 49192-2025")</f>
        <v/>
      </c>
      <c r="Y81">
        <f>HYPERLINK("https://klasma.github.io/Logging_2380/tillsynsmail/A 49192-2025 tillsynsbegäran mail.docx", "A 49192-2025")</f>
        <v/>
      </c>
    </row>
    <row r="82" ht="15" customHeight="1">
      <c r="A82" t="inlineStr">
        <is>
          <t>A 57711-2025</t>
        </is>
      </c>
      <c r="B82" s="1" t="n">
        <v>45981.47217592593</v>
      </c>
      <c r="C82" s="1" t="n">
        <v>45995</v>
      </c>
      <c r="D82" t="inlineStr">
        <is>
          <t>JÄMTLANDS LÄN</t>
        </is>
      </c>
      <c r="E82" t="inlineStr">
        <is>
          <t>ÖSTERSUND</t>
        </is>
      </c>
      <c r="F82" t="inlineStr">
        <is>
          <t>Övriga Aktiebolag</t>
        </is>
      </c>
      <c r="G82" t="n">
        <v>2.6</v>
      </c>
      <c r="H82" t="n">
        <v>0</v>
      </c>
      <c r="I82" t="n">
        <v>4</v>
      </c>
      <c r="J82" t="n">
        <v>0</v>
      </c>
      <c r="K82" t="n">
        <v>0</v>
      </c>
      <c r="L82" t="n">
        <v>0</v>
      </c>
      <c r="M82" t="n">
        <v>0</v>
      </c>
      <c r="N82" t="n">
        <v>0</v>
      </c>
      <c r="O82" t="n">
        <v>0</v>
      </c>
      <c r="P82" t="n">
        <v>0</v>
      </c>
      <c r="Q82" t="n">
        <v>4</v>
      </c>
      <c r="R82" s="2" t="inlineStr">
        <is>
          <t>Diskvaxskivling
Fjällig taggsvamp s.str.
Kransrams
Kryddspindling</t>
        </is>
      </c>
      <c r="S82">
        <f>HYPERLINK("https://klasma.github.io/Logging_2380/artfynd/A 57711-2025 artfynd.xlsx", "A 57711-2025")</f>
        <v/>
      </c>
      <c r="T82">
        <f>HYPERLINK("https://klasma.github.io/Logging_2380/kartor/A 57711-2025 karta.png", "A 57711-2025")</f>
        <v/>
      </c>
      <c r="V82">
        <f>HYPERLINK("https://klasma.github.io/Logging_2380/klagomål/A 57711-2025 FSC-klagomål.docx", "A 57711-2025")</f>
        <v/>
      </c>
      <c r="W82">
        <f>HYPERLINK("https://klasma.github.io/Logging_2380/klagomålsmail/A 57711-2025 FSC-klagomål mail.docx", "A 57711-2025")</f>
        <v/>
      </c>
      <c r="X82">
        <f>HYPERLINK("https://klasma.github.io/Logging_2380/tillsyn/A 57711-2025 tillsynsbegäran.docx", "A 57711-2025")</f>
        <v/>
      </c>
      <c r="Y82">
        <f>HYPERLINK("https://klasma.github.io/Logging_2380/tillsynsmail/A 57711-2025 tillsynsbegäran mail.docx", "A 57711-2025")</f>
        <v/>
      </c>
    </row>
    <row r="83" ht="15" customHeight="1">
      <c r="A83" t="inlineStr">
        <is>
          <t>A 29135-2022</t>
        </is>
      </c>
      <c r="B83" s="1" t="n">
        <v>44750</v>
      </c>
      <c r="C83" s="1" t="n">
        <v>45995</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59291-2022</t>
        </is>
      </c>
      <c r="B84" s="1" t="n">
        <v>44904</v>
      </c>
      <c r="C84" s="1" t="n">
        <v>45995</v>
      </c>
      <c r="D84" t="inlineStr">
        <is>
          <t>JÄMTLANDS LÄN</t>
        </is>
      </c>
      <c r="E84" t="inlineStr">
        <is>
          <t>ÖSTERSUND</t>
        </is>
      </c>
      <c r="G84" t="n">
        <v>9.199999999999999</v>
      </c>
      <c r="H84" t="n">
        <v>1</v>
      </c>
      <c r="I84" t="n">
        <v>0</v>
      </c>
      <c r="J84" t="n">
        <v>3</v>
      </c>
      <c r="K84" t="n">
        <v>0</v>
      </c>
      <c r="L84" t="n">
        <v>0</v>
      </c>
      <c r="M84" t="n">
        <v>0</v>
      </c>
      <c r="N84" t="n">
        <v>0</v>
      </c>
      <c r="O84" t="n">
        <v>3</v>
      </c>
      <c r="P84" t="n">
        <v>0</v>
      </c>
      <c r="Q84" t="n">
        <v>4</v>
      </c>
      <c r="R84" s="2" t="inlineStr">
        <is>
          <t>Garnlav
Lunglav
Skrovellav
Revlummer</t>
        </is>
      </c>
      <c r="S84">
        <f>HYPERLINK("https://klasma.github.io/Logging_2380/artfynd/A 59291-2022 artfynd.xlsx", "A 59291-2022")</f>
        <v/>
      </c>
      <c r="T84">
        <f>HYPERLINK("https://klasma.github.io/Logging_2380/kartor/A 59291-2022 karta.png", "A 59291-2022")</f>
        <v/>
      </c>
      <c r="V84">
        <f>HYPERLINK("https://klasma.github.io/Logging_2380/klagomål/A 59291-2022 FSC-klagomål.docx", "A 59291-2022")</f>
        <v/>
      </c>
      <c r="W84">
        <f>HYPERLINK("https://klasma.github.io/Logging_2380/klagomålsmail/A 59291-2022 FSC-klagomål mail.docx", "A 59291-2022")</f>
        <v/>
      </c>
      <c r="X84">
        <f>HYPERLINK("https://klasma.github.io/Logging_2380/tillsyn/A 59291-2022 tillsynsbegäran.docx", "A 59291-2022")</f>
        <v/>
      </c>
      <c r="Y84">
        <f>HYPERLINK("https://klasma.github.io/Logging_2380/tillsynsmail/A 59291-2022 tillsynsbegäran mail.docx", "A 59291-2022")</f>
        <v/>
      </c>
    </row>
    <row r="85" ht="15" customHeight="1">
      <c r="A85" t="inlineStr">
        <is>
          <t>A 25369-2024</t>
        </is>
      </c>
      <c r="B85" s="1" t="n">
        <v>45462.95982638889</v>
      </c>
      <c r="C85" s="1" t="n">
        <v>45995</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54421-2021</t>
        </is>
      </c>
      <c r="B86" s="1" t="n">
        <v>44473.43114583333</v>
      </c>
      <c r="C86" s="1" t="n">
        <v>45995</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53652-2024</t>
        </is>
      </c>
      <c r="B87" s="1" t="n">
        <v>45615.29761574074</v>
      </c>
      <c r="C87" s="1" t="n">
        <v>45995</v>
      </c>
      <c r="D87" t="inlineStr">
        <is>
          <t>JÄMTLANDS LÄN</t>
        </is>
      </c>
      <c r="E87" t="inlineStr">
        <is>
          <t>ÖSTERSUND</t>
        </is>
      </c>
      <c r="G87" t="n">
        <v>4.2</v>
      </c>
      <c r="H87" t="n">
        <v>1</v>
      </c>
      <c r="I87" t="n">
        <v>1</v>
      </c>
      <c r="J87" t="n">
        <v>1</v>
      </c>
      <c r="K87" t="n">
        <v>0</v>
      </c>
      <c r="L87" t="n">
        <v>0</v>
      </c>
      <c r="M87" t="n">
        <v>0</v>
      </c>
      <c r="N87" t="n">
        <v>0</v>
      </c>
      <c r="O87" t="n">
        <v>1</v>
      </c>
      <c r="P87" t="n">
        <v>0</v>
      </c>
      <c r="Q87" t="n">
        <v>3</v>
      </c>
      <c r="R87" s="2" t="inlineStr">
        <is>
          <t>Flattoppad klubbsvamp
Kransrams
Revlummer</t>
        </is>
      </c>
      <c r="S87">
        <f>HYPERLINK("https://klasma.github.io/Logging_2380/artfynd/A 53652-2024 artfynd.xlsx", "A 53652-2024")</f>
        <v/>
      </c>
      <c r="T87">
        <f>HYPERLINK("https://klasma.github.io/Logging_2380/kartor/A 53652-2024 karta.png", "A 53652-2024")</f>
        <v/>
      </c>
      <c r="V87">
        <f>HYPERLINK("https://klasma.github.io/Logging_2380/klagomål/A 53652-2024 FSC-klagomål.docx", "A 53652-2024")</f>
        <v/>
      </c>
      <c r="W87">
        <f>HYPERLINK("https://klasma.github.io/Logging_2380/klagomålsmail/A 53652-2024 FSC-klagomål mail.docx", "A 53652-2024")</f>
        <v/>
      </c>
      <c r="X87">
        <f>HYPERLINK("https://klasma.github.io/Logging_2380/tillsyn/A 53652-2024 tillsynsbegäran.docx", "A 53652-2024")</f>
        <v/>
      </c>
      <c r="Y87">
        <f>HYPERLINK("https://klasma.github.io/Logging_2380/tillsynsmail/A 53652-2024 tillsynsbegäran mail.docx", "A 53652-2024")</f>
        <v/>
      </c>
    </row>
    <row r="88" ht="15" customHeight="1">
      <c r="A88" t="inlineStr">
        <is>
          <t>A 60565-2022</t>
        </is>
      </c>
      <c r="B88" s="1" t="n">
        <v>44904</v>
      </c>
      <c r="C88" s="1" t="n">
        <v>45995</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60565-2022</t>
        </is>
      </c>
      <c r="B89" s="1" t="n">
        <v>44904</v>
      </c>
      <c r="C89" s="1" t="n">
        <v>45995</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50895-2024</t>
        </is>
      </c>
      <c r="B90" s="1" t="n">
        <v>45602</v>
      </c>
      <c r="C90" s="1" t="n">
        <v>45995</v>
      </c>
      <c r="D90" t="inlineStr">
        <is>
          <t>JÄMTLANDS LÄN</t>
        </is>
      </c>
      <c r="E90" t="inlineStr">
        <is>
          <t>ÖSTERSUND</t>
        </is>
      </c>
      <c r="F90" t="inlineStr">
        <is>
          <t>Kommuner</t>
        </is>
      </c>
      <c r="G90" t="n">
        <v>6</v>
      </c>
      <c r="H90" t="n">
        <v>2</v>
      </c>
      <c r="I90" t="n">
        <v>0</v>
      </c>
      <c r="J90" t="n">
        <v>2</v>
      </c>
      <c r="K90" t="n">
        <v>1</v>
      </c>
      <c r="L90" t="n">
        <v>0</v>
      </c>
      <c r="M90" t="n">
        <v>0</v>
      </c>
      <c r="N90" t="n">
        <v>0</v>
      </c>
      <c r="O90" t="n">
        <v>3</v>
      </c>
      <c r="P90" t="n">
        <v>1</v>
      </c>
      <c r="Q90" t="n">
        <v>3</v>
      </c>
      <c r="R90" s="2" t="inlineStr">
        <is>
          <t>Knärot
Garnlav
Tretåig hackspett</t>
        </is>
      </c>
      <c r="S90">
        <f>HYPERLINK("https://klasma.github.io/Logging_2380/artfynd/A 50895-2024 artfynd.xlsx", "A 50895-2024")</f>
        <v/>
      </c>
      <c r="T90">
        <f>HYPERLINK("https://klasma.github.io/Logging_2380/kartor/A 50895-2024 karta.png", "A 50895-2024")</f>
        <v/>
      </c>
      <c r="U90">
        <f>HYPERLINK("https://klasma.github.io/Logging_2380/knärot/A 50895-2024 karta knärot.png", "A 50895-2024")</f>
        <v/>
      </c>
      <c r="V90">
        <f>HYPERLINK("https://klasma.github.io/Logging_2380/klagomål/A 50895-2024 FSC-klagomål.docx", "A 50895-2024")</f>
        <v/>
      </c>
      <c r="W90">
        <f>HYPERLINK("https://klasma.github.io/Logging_2380/klagomålsmail/A 50895-2024 FSC-klagomål mail.docx", "A 50895-2024")</f>
        <v/>
      </c>
      <c r="X90">
        <f>HYPERLINK("https://klasma.github.io/Logging_2380/tillsyn/A 50895-2024 tillsynsbegäran.docx", "A 50895-2024")</f>
        <v/>
      </c>
      <c r="Y90">
        <f>HYPERLINK("https://klasma.github.io/Logging_2380/tillsynsmail/A 50895-2024 tillsynsbegäran mail.docx", "A 50895-2024")</f>
        <v/>
      </c>
      <c r="Z90">
        <f>HYPERLINK("https://klasma.github.io/Logging_2380/fåglar/A 50895-2024 prioriterade fågelarter.docx", "A 50895-2024")</f>
        <v/>
      </c>
    </row>
    <row r="91" ht="15" customHeight="1">
      <c r="A91" t="inlineStr">
        <is>
          <t>A 46705-2023</t>
        </is>
      </c>
      <c r="B91" s="1" t="n">
        <v>45198</v>
      </c>
      <c r="C91" s="1" t="n">
        <v>45995</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40695-2024</t>
        </is>
      </c>
      <c r="B92" s="1" t="n">
        <v>45558</v>
      </c>
      <c r="C92" s="1" t="n">
        <v>45995</v>
      </c>
      <c r="D92" t="inlineStr">
        <is>
          <t>JÄMTLANDS LÄN</t>
        </is>
      </c>
      <c r="E92" t="inlineStr">
        <is>
          <t>ÖSTERSUND</t>
        </is>
      </c>
      <c r="F92" t="inlineStr">
        <is>
          <t>SCA</t>
        </is>
      </c>
      <c r="G92" t="n">
        <v>2.9</v>
      </c>
      <c r="H92" t="n">
        <v>0</v>
      </c>
      <c r="I92" t="n">
        <v>2</v>
      </c>
      <c r="J92" t="n">
        <v>1</v>
      </c>
      <c r="K92" t="n">
        <v>0</v>
      </c>
      <c r="L92" t="n">
        <v>0</v>
      </c>
      <c r="M92" t="n">
        <v>0</v>
      </c>
      <c r="N92" t="n">
        <v>0</v>
      </c>
      <c r="O92" t="n">
        <v>1</v>
      </c>
      <c r="P92" t="n">
        <v>0</v>
      </c>
      <c r="Q92" t="n">
        <v>3</v>
      </c>
      <c r="R92" s="2" t="inlineStr">
        <is>
          <t>Lunglav
Dropptaggsvamp
Skinnlav</t>
        </is>
      </c>
      <c r="S92">
        <f>HYPERLINK("https://klasma.github.io/Logging_2380/artfynd/A 40695-2024 artfynd.xlsx", "A 40695-2024")</f>
        <v/>
      </c>
      <c r="T92">
        <f>HYPERLINK("https://klasma.github.io/Logging_2380/kartor/A 40695-2024 karta.png", "A 40695-2024")</f>
        <v/>
      </c>
      <c r="V92">
        <f>HYPERLINK("https://klasma.github.io/Logging_2380/klagomål/A 40695-2024 FSC-klagomål.docx", "A 40695-2024")</f>
        <v/>
      </c>
      <c r="W92">
        <f>HYPERLINK("https://klasma.github.io/Logging_2380/klagomålsmail/A 40695-2024 FSC-klagomål mail.docx", "A 40695-2024")</f>
        <v/>
      </c>
      <c r="X92">
        <f>HYPERLINK("https://klasma.github.io/Logging_2380/tillsyn/A 40695-2024 tillsynsbegäran.docx", "A 40695-2024")</f>
        <v/>
      </c>
      <c r="Y92">
        <f>HYPERLINK("https://klasma.github.io/Logging_2380/tillsynsmail/A 40695-2024 tillsynsbegäran mail.docx", "A 40695-2024")</f>
        <v/>
      </c>
    </row>
    <row r="93" ht="15" customHeight="1">
      <c r="A93" t="inlineStr">
        <is>
          <t>A 43981-2023</t>
        </is>
      </c>
      <c r="B93" s="1" t="n">
        <v>45187</v>
      </c>
      <c r="C93" s="1" t="n">
        <v>45995</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7965-2025</t>
        </is>
      </c>
      <c r="B94" s="1" t="n">
        <v>45707.45219907408</v>
      </c>
      <c r="C94" s="1" t="n">
        <v>45995</v>
      </c>
      <c r="D94" t="inlineStr">
        <is>
          <t>JÄMTLANDS LÄN</t>
        </is>
      </c>
      <c r="E94" t="inlineStr">
        <is>
          <t>ÖSTERSUND</t>
        </is>
      </c>
      <c r="G94" t="n">
        <v>3.7</v>
      </c>
      <c r="H94" t="n">
        <v>2</v>
      </c>
      <c r="I94" t="n">
        <v>1</v>
      </c>
      <c r="J94" t="n">
        <v>0</v>
      </c>
      <c r="K94" t="n">
        <v>0</v>
      </c>
      <c r="L94" t="n">
        <v>0</v>
      </c>
      <c r="M94" t="n">
        <v>0</v>
      </c>
      <c r="N94" t="n">
        <v>0</v>
      </c>
      <c r="O94" t="n">
        <v>0</v>
      </c>
      <c r="P94" t="n">
        <v>0</v>
      </c>
      <c r="Q94" t="n">
        <v>3</v>
      </c>
      <c r="R94" s="2" t="inlineStr">
        <is>
          <t>Finbräken
Fläcknycklar
Blåsippa</t>
        </is>
      </c>
      <c r="S94">
        <f>HYPERLINK("https://klasma.github.io/Logging_2380/artfynd/A 7965-2025 artfynd.xlsx", "A 7965-2025")</f>
        <v/>
      </c>
      <c r="T94">
        <f>HYPERLINK("https://klasma.github.io/Logging_2380/kartor/A 7965-2025 karta.png", "A 7965-2025")</f>
        <v/>
      </c>
      <c r="V94">
        <f>HYPERLINK("https://klasma.github.io/Logging_2380/klagomål/A 7965-2025 FSC-klagomål.docx", "A 7965-2025")</f>
        <v/>
      </c>
      <c r="W94">
        <f>HYPERLINK("https://klasma.github.io/Logging_2380/klagomålsmail/A 7965-2025 FSC-klagomål mail.docx", "A 7965-2025")</f>
        <v/>
      </c>
      <c r="X94">
        <f>HYPERLINK("https://klasma.github.io/Logging_2380/tillsyn/A 7965-2025 tillsynsbegäran.docx", "A 7965-2025")</f>
        <v/>
      </c>
      <c r="Y94">
        <f>HYPERLINK("https://klasma.github.io/Logging_2380/tillsynsmail/A 7965-2025 tillsynsbegäran mail.docx", "A 7965-2025")</f>
        <v/>
      </c>
    </row>
    <row r="95" ht="15" customHeight="1">
      <c r="A95" t="inlineStr">
        <is>
          <t>A 5100-2023</t>
        </is>
      </c>
      <c r="B95" s="1" t="n">
        <v>44956</v>
      </c>
      <c r="C95" s="1" t="n">
        <v>45995</v>
      </c>
      <c r="D95" t="inlineStr">
        <is>
          <t>JÄMTLANDS LÄN</t>
        </is>
      </c>
      <c r="E95" t="inlineStr">
        <is>
          <t>ÖSTERSUND</t>
        </is>
      </c>
      <c r="G95" t="n">
        <v>2.6</v>
      </c>
      <c r="H95" t="n">
        <v>0</v>
      </c>
      <c r="I95" t="n">
        <v>2</v>
      </c>
      <c r="J95" t="n">
        <v>0</v>
      </c>
      <c r="K95" t="n">
        <v>0</v>
      </c>
      <c r="L95" t="n">
        <v>1</v>
      </c>
      <c r="M95" t="n">
        <v>0</v>
      </c>
      <c r="N95" t="n">
        <v>0</v>
      </c>
      <c r="O95" t="n">
        <v>1</v>
      </c>
      <c r="P95" t="n">
        <v>1</v>
      </c>
      <c r="Q95" t="n">
        <v>3</v>
      </c>
      <c r="R95" s="2" t="inlineStr">
        <is>
          <t>Trolldruvemätare
Svart trolldruva
Tibast</t>
        </is>
      </c>
      <c r="S95">
        <f>HYPERLINK("https://klasma.github.io/Logging_2380/artfynd/A 5100-2023 artfynd.xlsx", "A 5100-2023")</f>
        <v/>
      </c>
      <c r="T95">
        <f>HYPERLINK("https://klasma.github.io/Logging_2380/kartor/A 5100-2023 karta.png", "A 5100-2023")</f>
        <v/>
      </c>
      <c r="V95">
        <f>HYPERLINK("https://klasma.github.io/Logging_2380/klagomål/A 5100-2023 FSC-klagomål.docx", "A 5100-2023")</f>
        <v/>
      </c>
      <c r="W95">
        <f>HYPERLINK("https://klasma.github.io/Logging_2380/klagomålsmail/A 5100-2023 FSC-klagomål mail.docx", "A 5100-2023")</f>
        <v/>
      </c>
      <c r="X95">
        <f>HYPERLINK("https://klasma.github.io/Logging_2380/tillsyn/A 5100-2023 tillsynsbegäran.docx", "A 5100-2023")</f>
        <v/>
      </c>
      <c r="Y95">
        <f>HYPERLINK("https://klasma.github.io/Logging_2380/tillsynsmail/A 5100-2023 tillsynsbegäran mail.docx", "A 5100-2023")</f>
        <v/>
      </c>
    </row>
    <row r="96" ht="15" customHeight="1">
      <c r="A96" t="inlineStr">
        <is>
          <t>A 19520-2023</t>
        </is>
      </c>
      <c r="B96" s="1" t="n">
        <v>45049</v>
      </c>
      <c r="C96" s="1" t="n">
        <v>45995</v>
      </c>
      <c r="D96" t="inlineStr">
        <is>
          <t>JÄMTLANDS LÄN</t>
        </is>
      </c>
      <c r="E96" t="inlineStr">
        <is>
          <t>ÖSTERSUND</t>
        </is>
      </c>
      <c r="G96" t="n">
        <v>2</v>
      </c>
      <c r="H96" t="n">
        <v>0</v>
      </c>
      <c r="I96" t="n">
        <v>2</v>
      </c>
      <c r="J96" t="n">
        <v>0</v>
      </c>
      <c r="K96" t="n">
        <v>0</v>
      </c>
      <c r="L96" t="n">
        <v>1</v>
      </c>
      <c r="M96" t="n">
        <v>0</v>
      </c>
      <c r="N96" t="n">
        <v>0</v>
      </c>
      <c r="O96" t="n">
        <v>1</v>
      </c>
      <c r="P96" t="n">
        <v>1</v>
      </c>
      <c r="Q96" t="n">
        <v>3</v>
      </c>
      <c r="R96" s="2" t="inlineStr">
        <is>
          <t>Trolldruvemätare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3846-2024</t>
        </is>
      </c>
      <c r="B97" s="1" t="n">
        <v>45321</v>
      </c>
      <c r="C97" s="1" t="n">
        <v>45995</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36742-2024</t>
        </is>
      </c>
      <c r="B98" s="1" t="n">
        <v>45538.33584490741</v>
      </c>
      <c r="C98" s="1" t="n">
        <v>45995</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36806-2025</t>
        </is>
      </c>
      <c r="B99" s="1" t="n">
        <v>45873.69988425926</v>
      </c>
      <c r="C99" s="1" t="n">
        <v>45995</v>
      </c>
      <c r="D99" t="inlineStr">
        <is>
          <t>JÄMTLANDS LÄN</t>
        </is>
      </c>
      <c r="E99" t="inlineStr">
        <is>
          <t>ÖSTERSUND</t>
        </is>
      </c>
      <c r="G99" t="n">
        <v>9.800000000000001</v>
      </c>
      <c r="H99" t="n">
        <v>2</v>
      </c>
      <c r="I99" t="n">
        <v>2</v>
      </c>
      <c r="J99" t="n">
        <v>0</v>
      </c>
      <c r="K99" t="n">
        <v>0</v>
      </c>
      <c r="L99" t="n">
        <v>0</v>
      </c>
      <c r="M99" t="n">
        <v>0</v>
      </c>
      <c r="N99" t="n">
        <v>0</v>
      </c>
      <c r="O99" t="n">
        <v>0</v>
      </c>
      <c r="P99" t="n">
        <v>0</v>
      </c>
      <c r="Q99" t="n">
        <v>3</v>
      </c>
      <c r="R99" s="2" t="inlineStr">
        <is>
          <t>Grönkulla
Vårärt
Blåsippa</t>
        </is>
      </c>
      <c r="S99">
        <f>HYPERLINK("https://klasma.github.io/Logging_2380/artfynd/A 36806-2025 artfynd.xlsx", "A 36806-2025")</f>
        <v/>
      </c>
      <c r="T99">
        <f>HYPERLINK("https://klasma.github.io/Logging_2380/kartor/A 36806-2025 karta.png", "A 36806-2025")</f>
        <v/>
      </c>
      <c r="V99">
        <f>HYPERLINK("https://klasma.github.io/Logging_2380/klagomål/A 36806-2025 FSC-klagomål.docx", "A 36806-2025")</f>
        <v/>
      </c>
      <c r="W99">
        <f>HYPERLINK("https://klasma.github.io/Logging_2380/klagomålsmail/A 36806-2025 FSC-klagomål mail.docx", "A 36806-2025")</f>
        <v/>
      </c>
      <c r="X99">
        <f>HYPERLINK("https://klasma.github.io/Logging_2380/tillsyn/A 36806-2025 tillsynsbegäran.docx", "A 36806-2025")</f>
        <v/>
      </c>
      <c r="Y99">
        <f>HYPERLINK("https://klasma.github.io/Logging_2380/tillsynsmail/A 36806-2025 tillsynsbegäran mail.docx", "A 36806-2025")</f>
        <v/>
      </c>
    </row>
    <row r="100" ht="15" customHeight="1">
      <c r="A100" t="inlineStr">
        <is>
          <t>A 52129-2023</t>
        </is>
      </c>
      <c r="B100" s="1" t="n">
        <v>45223</v>
      </c>
      <c r="C100" s="1" t="n">
        <v>45995</v>
      </c>
      <c r="D100" t="inlineStr">
        <is>
          <t>JÄMTLANDS LÄN</t>
        </is>
      </c>
      <c r="E100" t="inlineStr">
        <is>
          <t>ÖSTERSUND</t>
        </is>
      </c>
      <c r="F100" t="inlineStr">
        <is>
          <t>SCA</t>
        </is>
      </c>
      <c r="G100" t="n">
        <v>2</v>
      </c>
      <c r="H100" t="n">
        <v>0</v>
      </c>
      <c r="I100" t="n">
        <v>0</v>
      </c>
      <c r="J100" t="n">
        <v>2</v>
      </c>
      <c r="K100" t="n">
        <v>0</v>
      </c>
      <c r="L100" t="n">
        <v>0</v>
      </c>
      <c r="M100" t="n">
        <v>0</v>
      </c>
      <c r="N100" t="n">
        <v>0</v>
      </c>
      <c r="O100" t="n">
        <v>2</v>
      </c>
      <c r="P100" t="n">
        <v>0</v>
      </c>
      <c r="Q100" t="n">
        <v>2</v>
      </c>
      <c r="R100" s="2" t="inlineStr">
        <is>
          <t>Dvärgbägarlav
Kolflarnlav</t>
        </is>
      </c>
      <c r="S100">
        <f>HYPERLINK("https://klasma.github.io/Logging_2380/artfynd/A 52129-2023 artfynd.xlsx", "A 52129-2023")</f>
        <v/>
      </c>
      <c r="T100">
        <f>HYPERLINK("https://klasma.github.io/Logging_2380/kartor/A 52129-2023 karta.png", "A 52129-2023")</f>
        <v/>
      </c>
      <c r="V100">
        <f>HYPERLINK("https://klasma.github.io/Logging_2380/klagomål/A 52129-2023 FSC-klagomål.docx", "A 52129-2023")</f>
        <v/>
      </c>
      <c r="W100">
        <f>HYPERLINK("https://klasma.github.io/Logging_2380/klagomålsmail/A 52129-2023 FSC-klagomål mail.docx", "A 52129-2023")</f>
        <v/>
      </c>
      <c r="X100">
        <f>HYPERLINK("https://klasma.github.io/Logging_2380/tillsyn/A 52129-2023 tillsynsbegäran.docx", "A 52129-2023")</f>
        <v/>
      </c>
      <c r="Y100">
        <f>HYPERLINK("https://klasma.github.io/Logging_2380/tillsynsmail/A 52129-2023 tillsynsbegäran mail.docx", "A 52129-2023")</f>
        <v/>
      </c>
    </row>
    <row r="101" ht="15" customHeight="1">
      <c r="A101" t="inlineStr">
        <is>
          <t>A 47385-2022</t>
        </is>
      </c>
      <c r="B101" s="1" t="n">
        <v>44853</v>
      </c>
      <c r="C101" s="1" t="n">
        <v>45995</v>
      </c>
      <c r="D101" t="inlineStr">
        <is>
          <t>JÄMTLANDS LÄN</t>
        </is>
      </c>
      <c r="E101" t="inlineStr">
        <is>
          <t>ÖSTERSUND</t>
        </is>
      </c>
      <c r="G101" t="n">
        <v>0.9</v>
      </c>
      <c r="H101" t="n">
        <v>0</v>
      </c>
      <c r="I101" t="n">
        <v>0</v>
      </c>
      <c r="J101" t="n">
        <v>2</v>
      </c>
      <c r="K101" t="n">
        <v>0</v>
      </c>
      <c r="L101" t="n">
        <v>0</v>
      </c>
      <c r="M101" t="n">
        <v>0</v>
      </c>
      <c r="N101" t="n">
        <v>0</v>
      </c>
      <c r="O101" t="n">
        <v>2</v>
      </c>
      <c r="P101" t="n">
        <v>0</v>
      </c>
      <c r="Q101" t="n">
        <v>2</v>
      </c>
      <c r="R101" s="2" t="inlineStr">
        <is>
          <t>Garnlav
Ullticka</t>
        </is>
      </c>
      <c r="S101">
        <f>HYPERLINK("https://klasma.github.io/Logging_2380/artfynd/A 47385-2022 artfynd.xlsx", "A 47385-2022")</f>
        <v/>
      </c>
      <c r="T101">
        <f>HYPERLINK("https://klasma.github.io/Logging_2380/kartor/A 47385-2022 karta.png", "A 47385-2022")</f>
        <v/>
      </c>
      <c r="U101">
        <f>HYPERLINK("https://klasma.github.io/Logging_2380/knärot/A 47385-2022 karta knärot.png", "A 47385-2022")</f>
        <v/>
      </c>
      <c r="V101">
        <f>HYPERLINK("https://klasma.github.io/Logging_2380/klagomål/A 47385-2022 FSC-klagomål.docx", "A 47385-2022")</f>
        <v/>
      </c>
      <c r="W101">
        <f>HYPERLINK("https://klasma.github.io/Logging_2380/klagomålsmail/A 47385-2022 FSC-klagomål mail.docx", "A 47385-2022")</f>
        <v/>
      </c>
      <c r="X101">
        <f>HYPERLINK("https://klasma.github.io/Logging_2380/tillsyn/A 47385-2022 tillsynsbegäran.docx", "A 47385-2022")</f>
        <v/>
      </c>
      <c r="Y101">
        <f>HYPERLINK("https://klasma.github.io/Logging_2380/tillsynsmail/A 47385-2022 tillsynsbegäran mail.docx", "A 47385-2022")</f>
        <v/>
      </c>
    </row>
    <row r="102" ht="15" customHeight="1">
      <c r="A102" t="inlineStr">
        <is>
          <t>A 63930-2023</t>
        </is>
      </c>
      <c r="B102" s="1" t="n">
        <v>45278</v>
      </c>
      <c r="C102" s="1" t="n">
        <v>45995</v>
      </c>
      <c r="D102" t="inlineStr">
        <is>
          <t>JÄMTLANDS LÄN</t>
        </is>
      </c>
      <c r="E102" t="inlineStr">
        <is>
          <t>ÖSTERSUND</t>
        </is>
      </c>
      <c r="G102" t="n">
        <v>2.1</v>
      </c>
      <c r="H102" t="n">
        <v>0</v>
      </c>
      <c r="I102" t="n">
        <v>2</v>
      </c>
      <c r="J102" t="n">
        <v>0</v>
      </c>
      <c r="K102" t="n">
        <v>0</v>
      </c>
      <c r="L102" t="n">
        <v>0</v>
      </c>
      <c r="M102" t="n">
        <v>0</v>
      </c>
      <c r="N102" t="n">
        <v>0</v>
      </c>
      <c r="O102" t="n">
        <v>0</v>
      </c>
      <c r="P102" t="n">
        <v>0</v>
      </c>
      <c r="Q102" t="n">
        <v>2</v>
      </c>
      <c r="R102" s="2" t="inlineStr">
        <is>
          <t>Strimspindling
Svavelriska</t>
        </is>
      </c>
      <c r="S102">
        <f>HYPERLINK("https://klasma.github.io/Logging_2380/artfynd/A 63930-2023 artfynd.xlsx", "A 63930-2023")</f>
        <v/>
      </c>
      <c r="T102">
        <f>HYPERLINK("https://klasma.github.io/Logging_2380/kartor/A 63930-2023 karta.png", "A 63930-2023")</f>
        <v/>
      </c>
      <c r="V102">
        <f>HYPERLINK("https://klasma.github.io/Logging_2380/klagomål/A 63930-2023 FSC-klagomål.docx", "A 63930-2023")</f>
        <v/>
      </c>
      <c r="W102">
        <f>HYPERLINK("https://klasma.github.io/Logging_2380/klagomålsmail/A 63930-2023 FSC-klagomål mail.docx", "A 63930-2023")</f>
        <v/>
      </c>
      <c r="X102">
        <f>HYPERLINK("https://klasma.github.io/Logging_2380/tillsyn/A 63930-2023 tillsynsbegäran.docx", "A 63930-2023")</f>
        <v/>
      </c>
      <c r="Y102">
        <f>HYPERLINK("https://klasma.github.io/Logging_2380/tillsynsmail/A 63930-2023 tillsynsbegäran mail.docx", "A 63930-2023")</f>
        <v/>
      </c>
    </row>
    <row r="103" ht="15" customHeight="1">
      <c r="A103" t="inlineStr">
        <is>
          <t>A 60446-2024</t>
        </is>
      </c>
      <c r="B103" s="1" t="n">
        <v>45643.59420138889</v>
      </c>
      <c r="C103" s="1" t="n">
        <v>45995</v>
      </c>
      <c r="D103" t="inlineStr">
        <is>
          <t>JÄMTLANDS LÄN</t>
        </is>
      </c>
      <c r="E103" t="inlineStr">
        <is>
          <t>ÖSTERSUND</t>
        </is>
      </c>
      <c r="F103" t="inlineStr">
        <is>
          <t>SCA</t>
        </is>
      </c>
      <c r="G103" t="n">
        <v>3.6</v>
      </c>
      <c r="H103" t="n">
        <v>0</v>
      </c>
      <c r="I103" t="n">
        <v>1</v>
      </c>
      <c r="J103" t="n">
        <v>1</v>
      </c>
      <c r="K103" t="n">
        <v>0</v>
      </c>
      <c r="L103" t="n">
        <v>0</v>
      </c>
      <c r="M103" t="n">
        <v>0</v>
      </c>
      <c r="N103" t="n">
        <v>0</v>
      </c>
      <c r="O103" t="n">
        <v>1</v>
      </c>
      <c r="P103" t="n">
        <v>0</v>
      </c>
      <c r="Q103" t="n">
        <v>2</v>
      </c>
      <c r="R103" s="2" t="inlineStr">
        <is>
          <t>Ullticka
Vedticka</t>
        </is>
      </c>
      <c r="S103">
        <f>HYPERLINK("https://klasma.github.io/Logging_2380/artfynd/A 60446-2024 artfynd.xlsx", "A 60446-2024")</f>
        <v/>
      </c>
      <c r="T103">
        <f>HYPERLINK("https://klasma.github.io/Logging_2380/kartor/A 60446-2024 karta.png", "A 60446-2024")</f>
        <v/>
      </c>
      <c r="V103">
        <f>HYPERLINK("https://klasma.github.io/Logging_2380/klagomål/A 60446-2024 FSC-klagomål.docx", "A 60446-2024")</f>
        <v/>
      </c>
      <c r="W103">
        <f>HYPERLINK("https://klasma.github.io/Logging_2380/klagomålsmail/A 60446-2024 FSC-klagomål mail.docx", "A 60446-2024")</f>
        <v/>
      </c>
      <c r="X103">
        <f>HYPERLINK("https://klasma.github.io/Logging_2380/tillsyn/A 60446-2024 tillsynsbegäran.docx", "A 60446-2024")</f>
        <v/>
      </c>
      <c r="Y103">
        <f>HYPERLINK("https://klasma.github.io/Logging_2380/tillsynsmail/A 60446-2024 tillsynsbegäran mail.docx", "A 60446-2024")</f>
        <v/>
      </c>
    </row>
    <row r="104" ht="15" customHeight="1">
      <c r="A104" t="inlineStr">
        <is>
          <t>A 21615-2024</t>
        </is>
      </c>
      <c r="B104" s="1" t="n">
        <v>45441.95357638889</v>
      </c>
      <c r="C104" s="1" t="n">
        <v>45995</v>
      </c>
      <c r="D104" t="inlineStr">
        <is>
          <t>JÄMTLANDS LÄN</t>
        </is>
      </c>
      <c r="E104" t="inlineStr">
        <is>
          <t>ÖSTERSUND</t>
        </is>
      </c>
      <c r="F104" t="inlineStr">
        <is>
          <t>SCA</t>
        </is>
      </c>
      <c r="G104" t="n">
        <v>4.9</v>
      </c>
      <c r="H104" t="n">
        <v>2</v>
      </c>
      <c r="I104" t="n">
        <v>0</v>
      </c>
      <c r="J104" t="n">
        <v>0</v>
      </c>
      <c r="K104" t="n">
        <v>1</v>
      </c>
      <c r="L104" t="n">
        <v>0</v>
      </c>
      <c r="M104" t="n">
        <v>0</v>
      </c>
      <c r="N104" t="n">
        <v>0</v>
      </c>
      <c r="O104" t="n">
        <v>1</v>
      </c>
      <c r="P104" t="n">
        <v>1</v>
      </c>
      <c r="Q104" t="n">
        <v>2</v>
      </c>
      <c r="R104" s="2" t="inlineStr">
        <is>
          <t>Lappuggla
Blåsippa</t>
        </is>
      </c>
      <c r="S104">
        <f>HYPERLINK("https://klasma.github.io/Logging_2380/artfynd/A 21615-2024 artfynd.xlsx", "A 21615-2024")</f>
        <v/>
      </c>
      <c r="T104">
        <f>HYPERLINK("https://klasma.github.io/Logging_2380/kartor/A 21615-2024 karta.png", "A 21615-2024")</f>
        <v/>
      </c>
      <c r="V104">
        <f>HYPERLINK("https://klasma.github.io/Logging_2380/klagomål/A 21615-2024 FSC-klagomål.docx", "A 21615-2024")</f>
        <v/>
      </c>
      <c r="W104">
        <f>HYPERLINK("https://klasma.github.io/Logging_2380/klagomålsmail/A 21615-2024 FSC-klagomål mail.docx", "A 21615-2024")</f>
        <v/>
      </c>
      <c r="X104">
        <f>HYPERLINK("https://klasma.github.io/Logging_2380/tillsyn/A 21615-2024 tillsynsbegäran.docx", "A 21615-2024")</f>
        <v/>
      </c>
      <c r="Y104">
        <f>HYPERLINK("https://klasma.github.io/Logging_2380/tillsynsmail/A 21615-2024 tillsynsbegäran mail.docx", "A 21615-2024")</f>
        <v/>
      </c>
      <c r="Z104">
        <f>HYPERLINK("https://klasma.github.io/Logging_2380/fåglar/A 21615-2024 prioriterade fågelarter.docx", "A 21615-2024")</f>
        <v/>
      </c>
    </row>
    <row r="105" ht="15" customHeight="1">
      <c r="A105" t="inlineStr">
        <is>
          <t>A 40207-2025</t>
        </is>
      </c>
      <c r="B105" s="1" t="n">
        <v>45894.67988425926</v>
      </c>
      <c r="C105" s="1" t="n">
        <v>45995</v>
      </c>
      <c r="D105" t="inlineStr">
        <is>
          <t>JÄMTLANDS LÄN</t>
        </is>
      </c>
      <c r="E105" t="inlineStr">
        <is>
          <t>ÖSTERSUND</t>
        </is>
      </c>
      <c r="G105" t="n">
        <v>5.4</v>
      </c>
      <c r="H105" t="n">
        <v>0</v>
      </c>
      <c r="I105" t="n">
        <v>1</v>
      </c>
      <c r="J105" t="n">
        <v>0</v>
      </c>
      <c r="K105" t="n">
        <v>0</v>
      </c>
      <c r="L105" t="n">
        <v>1</v>
      </c>
      <c r="M105" t="n">
        <v>0</v>
      </c>
      <c r="N105" t="n">
        <v>0</v>
      </c>
      <c r="O105" t="n">
        <v>1</v>
      </c>
      <c r="P105" t="n">
        <v>1</v>
      </c>
      <c r="Q105" t="n">
        <v>2</v>
      </c>
      <c r="R105" s="2" t="inlineStr">
        <is>
          <t>Trolldruvemätare
Tibast</t>
        </is>
      </c>
      <c r="S105">
        <f>HYPERLINK("https://klasma.github.io/Logging_2380/artfynd/A 40207-2025 artfynd.xlsx", "A 40207-2025")</f>
        <v/>
      </c>
      <c r="T105">
        <f>HYPERLINK("https://klasma.github.io/Logging_2380/kartor/A 40207-2025 karta.png", "A 40207-2025")</f>
        <v/>
      </c>
      <c r="V105">
        <f>HYPERLINK("https://klasma.github.io/Logging_2380/klagomål/A 40207-2025 FSC-klagomål.docx", "A 40207-2025")</f>
        <v/>
      </c>
      <c r="W105">
        <f>HYPERLINK("https://klasma.github.io/Logging_2380/klagomålsmail/A 40207-2025 FSC-klagomål mail.docx", "A 40207-2025")</f>
        <v/>
      </c>
      <c r="X105">
        <f>HYPERLINK("https://klasma.github.io/Logging_2380/tillsyn/A 40207-2025 tillsynsbegäran.docx", "A 40207-2025")</f>
        <v/>
      </c>
      <c r="Y105">
        <f>HYPERLINK("https://klasma.github.io/Logging_2380/tillsynsmail/A 40207-2025 tillsynsbegäran mail.docx", "A 40207-2025")</f>
        <v/>
      </c>
    </row>
    <row r="106" ht="15" customHeight="1">
      <c r="A106" t="inlineStr">
        <is>
          <t>A 59793-2022</t>
        </is>
      </c>
      <c r="B106" s="1" t="n">
        <v>44908</v>
      </c>
      <c r="C106" s="1" t="n">
        <v>45995</v>
      </c>
      <c r="D106" t="inlineStr">
        <is>
          <t>JÄMTLANDS LÄN</t>
        </is>
      </c>
      <c r="E106" t="inlineStr">
        <is>
          <t>ÖSTERSUND</t>
        </is>
      </c>
      <c r="G106" t="n">
        <v>23.3</v>
      </c>
      <c r="H106" t="n">
        <v>1</v>
      </c>
      <c r="I106" t="n">
        <v>1</v>
      </c>
      <c r="J106" t="n">
        <v>1</v>
      </c>
      <c r="K106" t="n">
        <v>0</v>
      </c>
      <c r="L106" t="n">
        <v>0</v>
      </c>
      <c r="M106" t="n">
        <v>0</v>
      </c>
      <c r="N106" t="n">
        <v>0</v>
      </c>
      <c r="O106" t="n">
        <v>1</v>
      </c>
      <c r="P106" t="n">
        <v>0</v>
      </c>
      <c r="Q106" t="n">
        <v>2</v>
      </c>
      <c r="R106" s="2" t="inlineStr">
        <is>
          <t>Majviva
Spindelblomster</t>
        </is>
      </c>
      <c r="S106">
        <f>HYPERLINK("https://klasma.github.io/Logging_2380/artfynd/A 59793-2022 artfynd.xlsx", "A 59793-2022")</f>
        <v/>
      </c>
      <c r="T106">
        <f>HYPERLINK("https://klasma.github.io/Logging_2380/kartor/A 59793-2022 karta.png", "A 59793-2022")</f>
        <v/>
      </c>
      <c r="V106">
        <f>HYPERLINK("https://klasma.github.io/Logging_2380/klagomål/A 59793-2022 FSC-klagomål.docx", "A 59793-2022")</f>
        <v/>
      </c>
      <c r="W106">
        <f>HYPERLINK("https://klasma.github.io/Logging_2380/klagomålsmail/A 59793-2022 FSC-klagomål mail.docx", "A 59793-2022")</f>
        <v/>
      </c>
      <c r="X106">
        <f>HYPERLINK("https://klasma.github.io/Logging_2380/tillsyn/A 59793-2022 tillsynsbegäran.docx", "A 59793-2022")</f>
        <v/>
      </c>
      <c r="Y106">
        <f>HYPERLINK("https://klasma.github.io/Logging_2380/tillsynsmail/A 59793-2022 tillsynsbegäran mail.docx", "A 59793-2022")</f>
        <v/>
      </c>
    </row>
    <row r="107" ht="15" customHeight="1">
      <c r="A107" t="inlineStr">
        <is>
          <t>A 39968-2024</t>
        </is>
      </c>
      <c r="B107" s="1" t="n">
        <v>45553.59296296296</v>
      </c>
      <c r="C107" s="1" t="n">
        <v>45995</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45237-2025</t>
        </is>
      </c>
      <c r="B108" s="1" t="n">
        <v>45919.59467592592</v>
      </c>
      <c r="C108" s="1" t="n">
        <v>45995</v>
      </c>
      <c r="D108" t="inlineStr">
        <is>
          <t>JÄMTLANDS LÄN</t>
        </is>
      </c>
      <c r="E108" t="inlineStr">
        <is>
          <t>ÖSTERSUND</t>
        </is>
      </c>
      <c r="F108" t="inlineStr">
        <is>
          <t>SCA</t>
        </is>
      </c>
      <c r="G108" t="n">
        <v>1.5</v>
      </c>
      <c r="H108" t="n">
        <v>0</v>
      </c>
      <c r="I108" t="n">
        <v>0</v>
      </c>
      <c r="J108" t="n">
        <v>2</v>
      </c>
      <c r="K108" t="n">
        <v>0</v>
      </c>
      <c r="L108" t="n">
        <v>0</v>
      </c>
      <c r="M108" t="n">
        <v>0</v>
      </c>
      <c r="N108" t="n">
        <v>0</v>
      </c>
      <c r="O108" t="n">
        <v>2</v>
      </c>
      <c r="P108" t="n">
        <v>0</v>
      </c>
      <c r="Q108" t="n">
        <v>2</v>
      </c>
      <c r="R108" s="2" t="inlineStr">
        <is>
          <t>Dvärgbägarlav
Mörk kolflarnlav</t>
        </is>
      </c>
      <c r="S108">
        <f>HYPERLINK("https://klasma.github.io/Logging_2380/artfynd/A 45237-2025 artfynd.xlsx", "A 45237-2025")</f>
        <v/>
      </c>
      <c r="T108">
        <f>HYPERLINK("https://klasma.github.io/Logging_2380/kartor/A 45237-2025 karta.png", "A 45237-2025")</f>
        <v/>
      </c>
      <c r="V108">
        <f>HYPERLINK("https://klasma.github.io/Logging_2380/klagomål/A 45237-2025 FSC-klagomål.docx", "A 45237-2025")</f>
        <v/>
      </c>
      <c r="W108">
        <f>HYPERLINK("https://klasma.github.io/Logging_2380/klagomålsmail/A 45237-2025 FSC-klagomål mail.docx", "A 45237-2025")</f>
        <v/>
      </c>
      <c r="X108">
        <f>HYPERLINK("https://klasma.github.io/Logging_2380/tillsyn/A 45237-2025 tillsynsbegäran.docx", "A 45237-2025")</f>
        <v/>
      </c>
      <c r="Y108">
        <f>HYPERLINK("https://klasma.github.io/Logging_2380/tillsynsmail/A 45237-2025 tillsynsbegäran mail.docx", "A 45237-2025")</f>
        <v/>
      </c>
    </row>
    <row r="109" ht="15" customHeight="1">
      <c r="A109" t="inlineStr">
        <is>
          <t>A 15700-2025</t>
        </is>
      </c>
      <c r="B109" s="1" t="n">
        <v>45748.47314814815</v>
      </c>
      <c r="C109" s="1" t="n">
        <v>45995</v>
      </c>
      <c r="D109" t="inlineStr">
        <is>
          <t>JÄMTLANDS LÄN</t>
        </is>
      </c>
      <c r="E109" t="inlineStr">
        <is>
          <t>ÖSTERSUND</t>
        </is>
      </c>
      <c r="G109" t="n">
        <v>0.9</v>
      </c>
      <c r="H109" t="n">
        <v>0</v>
      </c>
      <c r="I109" t="n">
        <v>2</v>
      </c>
      <c r="J109" t="n">
        <v>0</v>
      </c>
      <c r="K109" t="n">
        <v>0</v>
      </c>
      <c r="L109" t="n">
        <v>0</v>
      </c>
      <c r="M109" t="n">
        <v>0</v>
      </c>
      <c r="N109" t="n">
        <v>0</v>
      </c>
      <c r="O109" t="n">
        <v>0</v>
      </c>
      <c r="P109" t="n">
        <v>0</v>
      </c>
      <c r="Q109" t="n">
        <v>2</v>
      </c>
      <c r="R109" s="2" t="inlineStr">
        <is>
          <t>Brun klibbskivling
Droppklibbskivling</t>
        </is>
      </c>
      <c r="S109">
        <f>HYPERLINK("https://klasma.github.io/Logging_2380/artfynd/A 15700-2025 artfynd.xlsx", "A 15700-2025")</f>
        <v/>
      </c>
      <c r="T109">
        <f>HYPERLINK("https://klasma.github.io/Logging_2380/kartor/A 15700-2025 karta.png", "A 15700-2025")</f>
        <v/>
      </c>
      <c r="V109">
        <f>HYPERLINK("https://klasma.github.io/Logging_2380/klagomål/A 15700-2025 FSC-klagomål.docx", "A 15700-2025")</f>
        <v/>
      </c>
      <c r="W109">
        <f>HYPERLINK("https://klasma.github.io/Logging_2380/klagomålsmail/A 15700-2025 FSC-klagomål mail.docx", "A 15700-2025")</f>
        <v/>
      </c>
      <c r="X109">
        <f>HYPERLINK("https://klasma.github.io/Logging_2380/tillsyn/A 15700-2025 tillsynsbegäran.docx", "A 15700-2025")</f>
        <v/>
      </c>
      <c r="Y109">
        <f>HYPERLINK("https://klasma.github.io/Logging_2380/tillsynsmail/A 15700-2025 tillsynsbegäran mail.docx", "A 15700-2025")</f>
        <v/>
      </c>
    </row>
    <row r="110" ht="15" customHeight="1">
      <c r="A110" t="inlineStr">
        <is>
          <t>A 60614-2022</t>
        </is>
      </c>
      <c r="B110" s="1" t="n">
        <v>44911</v>
      </c>
      <c r="C110" s="1" t="n">
        <v>45995</v>
      </c>
      <c r="D110" t="inlineStr">
        <is>
          <t>JÄMTLANDS LÄN</t>
        </is>
      </c>
      <c r="E110" t="inlineStr">
        <is>
          <t>ÖSTERSUND</t>
        </is>
      </c>
      <c r="G110" t="n">
        <v>17.6</v>
      </c>
      <c r="H110" t="n">
        <v>1</v>
      </c>
      <c r="I110" t="n">
        <v>1</v>
      </c>
      <c r="J110" t="n">
        <v>0</v>
      </c>
      <c r="K110" t="n">
        <v>0</v>
      </c>
      <c r="L110" t="n">
        <v>0</v>
      </c>
      <c r="M110" t="n">
        <v>0</v>
      </c>
      <c r="N110" t="n">
        <v>0</v>
      </c>
      <c r="O110" t="n">
        <v>0</v>
      </c>
      <c r="P110" t="n">
        <v>0</v>
      </c>
      <c r="Q110" t="n">
        <v>2</v>
      </c>
      <c r="R110" s="2" t="inlineStr">
        <is>
          <t>Dropptaggsvamp
Blåsippa</t>
        </is>
      </c>
      <c r="S110">
        <f>HYPERLINK("https://klasma.github.io/Logging_2380/artfynd/A 60614-2022 artfynd.xlsx", "A 60614-2022")</f>
        <v/>
      </c>
      <c r="T110">
        <f>HYPERLINK("https://klasma.github.io/Logging_2380/kartor/A 60614-2022 karta.png", "A 60614-2022")</f>
        <v/>
      </c>
      <c r="V110">
        <f>HYPERLINK("https://klasma.github.io/Logging_2380/klagomål/A 60614-2022 FSC-klagomål.docx", "A 60614-2022")</f>
        <v/>
      </c>
      <c r="W110">
        <f>HYPERLINK("https://klasma.github.io/Logging_2380/klagomålsmail/A 60614-2022 FSC-klagomål mail.docx", "A 60614-2022")</f>
        <v/>
      </c>
      <c r="X110">
        <f>HYPERLINK("https://klasma.github.io/Logging_2380/tillsyn/A 60614-2022 tillsynsbegäran.docx", "A 60614-2022")</f>
        <v/>
      </c>
      <c r="Y110">
        <f>HYPERLINK("https://klasma.github.io/Logging_2380/tillsynsmail/A 60614-2022 tillsynsbegäran mail.docx", "A 60614-2022")</f>
        <v/>
      </c>
    </row>
    <row r="111" ht="15" customHeight="1">
      <c r="A111" t="inlineStr">
        <is>
          <t>A 54872-2025</t>
        </is>
      </c>
      <c r="B111" s="1" t="n">
        <v>45966.94104166667</v>
      </c>
      <c r="C111" s="1" t="n">
        <v>45995</v>
      </c>
      <c r="D111" t="inlineStr">
        <is>
          <t>JÄMTLANDS LÄN</t>
        </is>
      </c>
      <c r="E111" t="inlineStr">
        <is>
          <t>ÖSTERSUND</t>
        </is>
      </c>
      <c r="G111" t="n">
        <v>2.4</v>
      </c>
      <c r="H111" t="n">
        <v>1</v>
      </c>
      <c r="I111" t="n">
        <v>1</v>
      </c>
      <c r="J111" t="n">
        <v>1</v>
      </c>
      <c r="K111" t="n">
        <v>0</v>
      </c>
      <c r="L111" t="n">
        <v>0</v>
      </c>
      <c r="M111" t="n">
        <v>0</v>
      </c>
      <c r="N111" t="n">
        <v>0</v>
      </c>
      <c r="O111" t="n">
        <v>1</v>
      </c>
      <c r="P111" t="n">
        <v>0</v>
      </c>
      <c r="Q111" t="n">
        <v>2</v>
      </c>
      <c r="R111" s="2" t="inlineStr">
        <is>
          <t>Slåtterfibbla
Korallrot</t>
        </is>
      </c>
      <c r="S111">
        <f>HYPERLINK("https://klasma.github.io/Logging_2380/artfynd/A 54872-2025 artfynd.xlsx", "A 54872-2025")</f>
        <v/>
      </c>
      <c r="T111">
        <f>HYPERLINK("https://klasma.github.io/Logging_2380/kartor/A 54872-2025 karta.png", "A 54872-2025")</f>
        <v/>
      </c>
      <c r="V111">
        <f>HYPERLINK("https://klasma.github.io/Logging_2380/klagomål/A 54872-2025 FSC-klagomål.docx", "A 54872-2025")</f>
        <v/>
      </c>
      <c r="W111">
        <f>HYPERLINK("https://klasma.github.io/Logging_2380/klagomålsmail/A 54872-2025 FSC-klagomål mail.docx", "A 54872-2025")</f>
        <v/>
      </c>
      <c r="X111">
        <f>HYPERLINK("https://klasma.github.io/Logging_2380/tillsyn/A 54872-2025 tillsynsbegäran.docx", "A 54872-2025")</f>
        <v/>
      </c>
      <c r="Y111">
        <f>HYPERLINK("https://klasma.github.io/Logging_2380/tillsynsmail/A 54872-2025 tillsynsbegäran mail.docx", "A 54872-2025")</f>
        <v/>
      </c>
    </row>
    <row r="112" ht="15" customHeight="1">
      <c r="A112" t="inlineStr">
        <is>
          <t>A 35977-2024</t>
        </is>
      </c>
      <c r="B112" s="1" t="n">
        <v>45533.49601851852</v>
      </c>
      <c r="C112" s="1" t="n">
        <v>45995</v>
      </c>
      <c r="D112" t="inlineStr">
        <is>
          <t>JÄMTLANDS LÄN</t>
        </is>
      </c>
      <c r="E112" t="inlineStr">
        <is>
          <t>ÖSTERSUND</t>
        </is>
      </c>
      <c r="G112" t="n">
        <v>0.7</v>
      </c>
      <c r="H112" t="n">
        <v>0</v>
      </c>
      <c r="I112" t="n">
        <v>2</v>
      </c>
      <c r="J112" t="n">
        <v>0</v>
      </c>
      <c r="K112" t="n">
        <v>0</v>
      </c>
      <c r="L112" t="n">
        <v>0</v>
      </c>
      <c r="M112" t="n">
        <v>0</v>
      </c>
      <c r="N112" t="n">
        <v>0</v>
      </c>
      <c r="O112" t="n">
        <v>0</v>
      </c>
      <c r="P112" t="n">
        <v>0</v>
      </c>
      <c r="Q112" t="n">
        <v>2</v>
      </c>
      <c r="R112" s="2" t="inlineStr">
        <is>
          <t>Tibast
Trådticka</t>
        </is>
      </c>
      <c r="S112">
        <f>HYPERLINK("https://klasma.github.io/Logging_2380/artfynd/A 35977-2024 artfynd.xlsx", "A 35977-2024")</f>
        <v/>
      </c>
      <c r="T112">
        <f>HYPERLINK("https://klasma.github.io/Logging_2380/kartor/A 35977-2024 karta.png", "A 35977-2024")</f>
        <v/>
      </c>
      <c r="V112">
        <f>HYPERLINK("https://klasma.github.io/Logging_2380/klagomål/A 35977-2024 FSC-klagomål.docx", "A 35977-2024")</f>
        <v/>
      </c>
      <c r="W112">
        <f>HYPERLINK("https://klasma.github.io/Logging_2380/klagomålsmail/A 35977-2024 FSC-klagomål mail.docx", "A 35977-2024")</f>
        <v/>
      </c>
      <c r="X112">
        <f>HYPERLINK("https://klasma.github.io/Logging_2380/tillsyn/A 35977-2024 tillsynsbegäran.docx", "A 35977-2024")</f>
        <v/>
      </c>
      <c r="Y112">
        <f>HYPERLINK("https://klasma.github.io/Logging_2380/tillsynsmail/A 35977-2024 tillsynsbegäran mail.docx", "A 35977-2024")</f>
        <v/>
      </c>
    </row>
    <row r="113" ht="15" customHeight="1">
      <c r="A113" t="inlineStr">
        <is>
          <t>A 50125-2024</t>
        </is>
      </c>
      <c r="B113" s="1" t="n">
        <v>45600.42737268518</v>
      </c>
      <c r="C113" s="1" t="n">
        <v>45995</v>
      </c>
      <c r="D113" t="inlineStr">
        <is>
          <t>JÄMTLANDS LÄN</t>
        </is>
      </c>
      <c r="E113" t="inlineStr">
        <is>
          <t>ÖSTERSUND</t>
        </is>
      </c>
      <c r="F113" t="inlineStr">
        <is>
          <t>SCA</t>
        </is>
      </c>
      <c r="G113" t="n">
        <v>2.4</v>
      </c>
      <c r="H113" t="n">
        <v>0</v>
      </c>
      <c r="I113" t="n">
        <v>1</v>
      </c>
      <c r="J113" t="n">
        <v>1</v>
      </c>
      <c r="K113" t="n">
        <v>0</v>
      </c>
      <c r="L113" t="n">
        <v>0</v>
      </c>
      <c r="M113" t="n">
        <v>0</v>
      </c>
      <c r="N113" t="n">
        <v>0</v>
      </c>
      <c r="O113" t="n">
        <v>1</v>
      </c>
      <c r="P113" t="n">
        <v>0</v>
      </c>
      <c r="Q113" t="n">
        <v>2</v>
      </c>
      <c r="R113" s="2" t="inlineStr">
        <is>
          <t>Dvärgbägarlav
Skinnlav</t>
        </is>
      </c>
      <c r="S113">
        <f>HYPERLINK("https://klasma.github.io/Logging_2380/artfynd/A 50125-2024 artfynd.xlsx", "A 50125-2024")</f>
        <v/>
      </c>
      <c r="T113">
        <f>HYPERLINK("https://klasma.github.io/Logging_2380/kartor/A 50125-2024 karta.png", "A 50125-2024")</f>
        <v/>
      </c>
      <c r="V113">
        <f>HYPERLINK("https://klasma.github.io/Logging_2380/klagomål/A 50125-2024 FSC-klagomål.docx", "A 50125-2024")</f>
        <v/>
      </c>
      <c r="W113">
        <f>HYPERLINK("https://klasma.github.io/Logging_2380/klagomålsmail/A 50125-2024 FSC-klagomål mail.docx", "A 50125-2024")</f>
        <v/>
      </c>
      <c r="X113">
        <f>HYPERLINK("https://klasma.github.io/Logging_2380/tillsyn/A 50125-2024 tillsynsbegäran.docx", "A 50125-2024")</f>
        <v/>
      </c>
      <c r="Y113">
        <f>HYPERLINK("https://klasma.github.io/Logging_2380/tillsynsmail/A 50125-2024 tillsynsbegäran mail.docx", "A 50125-2024")</f>
        <v/>
      </c>
    </row>
    <row r="114" ht="15" customHeight="1">
      <c r="A114" t="inlineStr">
        <is>
          <t>A 60534-2022</t>
        </is>
      </c>
      <c r="B114" s="1" t="n">
        <v>44904</v>
      </c>
      <c r="C114" s="1" t="n">
        <v>45995</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10529-2025</t>
        </is>
      </c>
      <c r="B115" s="1" t="n">
        <v>45721.44840277778</v>
      </c>
      <c r="C115" s="1" t="n">
        <v>45995</v>
      </c>
      <c r="D115" t="inlineStr">
        <is>
          <t>JÄMTLANDS LÄN</t>
        </is>
      </c>
      <c r="E115" t="inlineStr">
        <is>
          <t>ÖSTERSUND</t>
        </is>
      </c>
      <c r="F115" t="inlineStr">
        <is>
          <t>SCA</t>
        </is>
      </c>
      <c r="G115" t="n">
        <v>1.4</v>
      </c>
      <c r="H115" t="n">
        <v>0</v>
      </c>
      <c r="I115" t="n">
        <v>2</v>
      </c>
      <c r="J115" t="n">
        <v>0</v>
      </c>
      <c r="K115" t="n">
        <v>0</v>
      </c>
      <c r="L115" t="n">
        <v>0</v>
      </c>
      <c r="M115" t="n">
        <v>0</v>
      </c>
      <c r="N115" t="n">
        <v>0</v>
      </c>
      <c r="O115" t="n">
        <v>0</v>
      </c>
      <c r="P115" t="n">
        <v>0</v>
      </c>
      <c r="Q115" t="n">
        <v>2</v>
      </c>
      <c r="R115" s="2" t="inlineStr">
        <is>
          <t>Gräsull
Ögonpyrola</t>
        </is>
      </c>
      <c r="S115">
        <f>HYPERLINK("https://klasma.github.io/Logging_2380/artfynd/A 10529-2025 artfynd.xlsx", "A 10529-2025")</f>
        <v/>
      </c>
      <c r="T115">
        <f>HYPERLINK("https://klasma.github.io/Logging_2380/kartor/A 10529-2025 karta.png", "A 10529-2025")</f>
        <v/>
      </c>
      <c r="V115">
        <f>HYPERLINK("https://klasma.github.io/Logging_2380/klagomål/A 10529-2025 FSC-klagomål.docx", "A 10529-2025")</f>
        <v/>
      </c>
      <c r="W115">
        <f>HYPERLINK("https://klasma.github.io/Logging_2380/klagomålsmail/A 10529-2025 FSC-klagomål mail.docx", "A 10529-2025")</f>
        <v/>
      </c>
      <c r="X115">
        <f>HYPERLINK("https://klasma.github.io/Logging_2380/tillsyn/A 10529-2025 tillsynsbegäran.docx", "A 10529-2025")</f>
        <v/>
      </c>
      <c r="Y115">
        <f>HYPERLINK("https://klasma.github.io/Logging_2380/tillsynsmail/A 10529-2025 tillsynsbegäran mail.docx", "A 10529-2025")</f>
        <v/>
      </c>
    </row>
    <row r="116" ht="15" customHeight="1">
      <c r="A116" t="inlineStr">
        <is>
          <t>A 13795-2025</t>
        </is>
      </c>
      <c r="B116" s="1" t="n">
        <v>45737</v>
      </c>
      <c r="C116" s="1" t="n">
        <v>45995</v>
      </c>
      <c r="D116" t="inlineStr">
        <is>
          <t>JÄMTLANDS LÄN</t>
        </is>
      </c>
      <c r="E116" t="inlineStr">
        <is>
          <t>ÖSTERSUND</t>
        </is>
      </c>
      <c r="G116" t="n">
        <v>13.4</v>
      </c>
      <c r="H116" t="n">
        <v>1</v>
      </c>
      <c r="I116" t="n">
        <v>0</v>
      </c>
      <c r="J116" t="n">
        <v>1</v>
      </c>
      <c r="K116" t="n">
        <v>1</v>
      </c>
      <c r="L116" t="n">
        <v>0</v>
      </c>
      <c r="M116" t="n">
        <v>0</v>
      </c>
      <c r="N116" t="n">
        <v>0</v>
      </c>
      <c r="O116" t="n">
        <v>2</v>
      </c>
      <c r="P116" t="n">
        <v>1</v>
      </c>
      <c r="Q116" t="n">
        <v>2</v>
      </c>
      <c r="R116" s="2" t="inlineStr">
        <is>
          <t>Knärot
Lunglav</t>
        </is>
      </c>
      <c r="S116">
        <f>HYPERLINK("https://klasma.github.io/Logging_2380/artfynd/A 13795-2025 artfynd.xlsx", "A 13795-2025")</f>
        <v/>
      </c>
      <c r="T116">
        <f>HYPERLINK("https://klasma.github.io/Logging_2380/kartor/A 13795-2025 karta.png", "A 13795-2025")</f>
        <v/>
      </c>
      <c r="U116">
        <f>HYPERLINK("https://klasma.github.io/Logging_2380/knärot/A 13795-2025 karta knärot.png", "A 13795-2025")</f>
        <v/>
      </c>
      <c r="V116">
        <f>HYPERLINK("https://klasma.github.io/Logging_2380/klagomål/A 13795-2025 FSC-klagomål.docx", "A 13795-2025")</f>
        <v/>
      </c>
      <c r="W116">
        <f>HYPERLINK("https://klasma.github.io/Logging_2380/klagomålsmail/A 13795-2025 FSC-klagomål mail.docx", "A 13795-2025")</f>
        <v/>
      </c>
      <c r="X116">
        <f>HYPERLINK("https://klasma.github.io/Logging_2380/tillsyn/A 13795-2025 tillsynsbegäran.docx", "A 13795-2025")</f>
        <v/>
      </c>
      <c r="Y116">
        <f>HYPERLINK("https://klasma.github.io/Logging_2380/tillsynsmail/A 13795-2025 tillsynsbegäran mail.docx", "A 13795-2025")</f>
        <v/>
      </c>
    </row>
    <row r="117" ht="15" customHeight="1">
      <c r="A117" t="inlineStr">
        <is>
          <t>A 56006-2023</t>
        </is>
      </c>
      <c r="B117" s="1" t="n">
        <v>45233</v>
      </c>
      <c r="C117" s="1" t="n">
        <v>45995</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58931-2025</t>
        </is>
      </c>
      <c r="B118" s="1" t="n">
        <v>45987.55831018519</v>
      </c>
      <c r="C118" s="1" t="n">
        <v>45995</v>
      </c>
      <c r="D118" t="inlineStr">
        <is>
          <t>JÄMTLANDS LÄN</t>
        </is>
      </c>
      <c r="E118" t="inlineStr">
        <is>
          <t>ÖSTERSUND</t>
        </is>
      </c>
      <c r="G118" t="n">
        <v>3.9</v>
      </c>
      <c r="H118" t="n">
        <v>2</v>
      </c>
      <c r="I118" t="n">
        <v>0</v>
      </c>
      <c r="J118" t="n">
        <v>0</v>
      </c>
      <c r="K118" t="n">
        <v>0</v>
      </c>
      <c r="L118" t="n">
        <v>0</v>
      </c>
      <c r="M118" t="n">
        <v>0</v>
      </c>
      <c r="N118" t="n">
        <v>0</v>
      </c>
      <c r="O118" t="n">
        <v>0</v>
      </c>
      <c r="P118" t="n">
        <v>0</v>
      </c>
      <c r="Q118" t="n">
        <v>2</v>
      </c>
      <c r="R118" s="2" t="inlineStr">
        <is>
          <t>Blåsippa
Revlummer</t>
        </is>
      </c>
      <c r="S118">
        <f>HYPERLINK("https://klasma.github.io/Logging_2380/artfynd/A 58931-2025 artfynd.xlsx", "A 58931-2025")</f>
        <v/>
      </c>
      <c r="T118">
        <f>HYPERLINK("https://klasma.github.io/Logging_2380/kartor/A 58931-2025 karta.png", "A 58931-2025")</f>
        <v/>
      </c>
      <c r="V118">
        <f>HYPERLINK("https://klasma.github.io/Logging_2380/klagomål/A 58931-2025 FSC-klagomål.docx", "A 58931-2025")</f>
        <v/>
      </c>
      <c r="W118">
        <f>HYPERLINK("https://klasma.github.io/Logging_2380/klagomålsmail/A 58931-2025 FSC-klagomål mail.docx", "A 58931-2025")</f>
        <v/>
      </c>
      <c r="X118">
        <f>HYPERLINK("https://klasma.github.io/Logging_2380/tillsyn/A 58931-2025 tillsynsbegäran.docx", "A 58931-2025")</f>
        <v/>
      </c>
      <c r="Y118">
        <f>HYPERLINK("https://klasma.github.io/Logging_2380/tillsynsmail/A 58931-2025 tillsynsbegäran mail.docx", "A 58931-2025")</f>
        <v/>
      </c>
    </row>
    <row r="119" ht="15" customHeight="1">
      <c r="A119" t="inlineStr">
        <is>
          <t>A 59147-2025</t>
        </is>
      </c>
      <c r="B119" s="1" t="n">
        <v>45988.52288194445</v>
      </c>
      <c r="C119" s="1" t="n">
        <v>45995</v>
      </c>
      <c r="D119" t="inlineStr">
        <is>
          <t>JÄMTLANDS LÄN</t>
        </is>
      </c>
      <c r="E119" t="inlineStr">
        <is>
          <t>ÖSTERSUND</t>
        </is>
      </c>
      <c r="F119" t="inlineStr">
        <is>
          <t>Kommuner</t>
        </is>
      </c>
      <c r="G119" t="n">
        <v>5.7</v>
      </c>
      <c r="H119" t="n">
        <v>1</v>
      </c>
      <c r="I119" t="n">
        <v>1</v>
      </c>
      <c r="J119" t="n">
        <v>1</v>
      </c>
      <c r="K119" t="n">
        <v>0</v>
      </c>
      <c r="L119" t="n">
        <v>0</v>
      </c>
      <c r="M119" t="n">
        <v>0</v>
      </c>
      <c r="N119" t="n">
        <v>0</v>
      </c>
      <c r="O119" t="n">
        <v>1</v>
      </c>
      <c r="P119" t="n">
        <v>0</v>
      </c>
      <c r="Q119" t="n">
        <v>2</v>
      </c>
      <c r="R119" s="2" t="inlineStr">
        <is>
          <t>Talltita
Stuplav</t>
        </is>
      </c>
      <c r="S119">
        <f>HYPERLINK("https://klasma.github.io/Logging_2380/artfynd/A 59147-2025 artfynd.xlsx", "A 59147-2025")</f>
        <v/>
      </c>
      <c r="T119">
        <f>HYPERLINK("https://klasma.github.io/Logging_2380/kartor/A 59147-2025 karta.png", "A 59147-2025")</f>
        <v/>
      </c>
      <c r="V119">
        <f>HYPERLINK("https://klasma.github.io/Logging_2380/klagomål/A 59147-2025 FSC-klagomål.docx", "A 59147-2025")</f>
        <v/>
      </c>
      <c r="W119">
        <f>HYPERLINK("https://klasma.github.io/Logging_2380/klagomålsmail/A 59147-2025 FSC-klagomål mail.docx", "A 59147-2025")</f>
        <v/>
      </c>
      <c r="X119">
        <f>HYPERLINK("https://klasma.github.io/Logging_2380/tillsyn/A 59147-2025 tillsynsbegäran.docx", "A 59147-2025")</f>
        <v/>
      </c>
      <c r="Y119">
        <f>HYPERLINK("https://klasma.github.io/Logging_2380/tillsynsmail/A 59147-2025 tillsynsbegäran mail.docx", "A 59147-2025")</f>
        <v/>
      </c>
      <c r="Z119">
        <f>HYPERLINK("https://klasma.github.io/Logging_2380/fåglar/A 59147-2025 prioriterade fågelarter.docx", "A 59147-2025")</f>
        <v/>
      </c>
    </row>
    <row r="120" ht="15" customHeight="1">
      <c r="A120" t="inlineStr">
        <is>
          <t>A 26612-2025</t>
        </is>
      </c>
      <c r="B120" s="1" t="n">
        <v>45810</v>
      </c>
      <c r="C120" s="1" t="n">
        <v>45995</v>
      </c>
      <c r="D120" t="inlineStr">
        <is>
          <t>JÄMTLANDS LÄN</t>
        </is>
      </c>
      <c r="E120" t="inlineStr">
        <is>
          <t>ÖSTERSUND</t>
        </is>
      </c>
      <c r="G120" t="n">
        <v>20.6</v>
      </c>
      <c r="H120" t="n">
        <v>1</v>
      </c>
      <c r="I120" t="n">
        <v>0</v>
      </c>
      <c r="J120" t="n">
        <v>0</v>
      </c>
      <c r="K120" t="n">
        <v>1</v>
      </c>
      <c r="L120" t="n">
        <v>1</v>
      </c>
      <c r="M120" t="n">
        <v>0</v>
      </c>
      <c r="N120" t="n">
        <v>0</v>
      </c>
      <c r="O120" t="n">
        <v>2</v>
      </c>
      <c r="P120" t="n">
        <v>2</v>
      </c>
      <c r="Q120" t="n">
        <v>2</v>
      </c>
      <c r="R120" s="2" t="inlineStr">
        <is>
          <t>Violett guldvinge
Turkos blåvinge</t>
        </is>
      </c>
      <c r="S120">
        <f>HYPERLINK("https://klasma.github.io/Logging_2380/artfynd/A 26612-2025 artfynd.xlsx", "A 26612-2025")</f>
        <v/>
      </c>
      <c r="T120">
        <f>HYPERLINK("https://klasma.github.io/Logging_2380/kartor/A 26612-2025 karta.png", "A 26612-2025")</f>
        <v/>
      </c>
      <c r="V120">
        <f>HYPERLINK("https://klasma.github.io/Logging_2380/klagomål/A 26612-2025 FSC-klagomål.docx", "A 26612-2025")</f>
        <v/>
      </c>
      <c r="W120">
        <f>HYPERLINK("https://klasma.github.io/Logging_2380/klagomålsmail/A 26612-2025 FSC-klagomål mail.docx", "A 26612-2025")</f>
        <v/>
      </c>
      <c r="X120">
        <f>HYPERLINK("https://klasma.github.io/Logging_2380/tillsyn/A 26612-2025 tillsynsbegäran.docx", "A 26612-2025")</f>
        <v/>
      </c>
      <c r="Y120">
        <f>HYPERLINK("https://klasma.github.io/Logging_2380/tillsynsmail/A 26612-2025 tillsynsbegäran mail.docx", "A 26612-2025")</f>
        <v/>
      </c>
    </row>
    <row r="121" ht="15" customHeight="1">
      <c r="A121" t="inlineStr">
        <is>
          <t>A 4916-2023</t>
        </is>
      </c>
      <c r="B121" s="1" t="n">
        <v>44956</v>
      </c>
      <c r="C121" s="1" t="n">
        <v>45995</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46105-2021</t>
        </is>
      </c>
      <c r="B122" s="1" t="n">
        <v>44441</v>
      </c>
      <c r="C122" s="1" t="n">
        <v>45995</v>
      </c>
      <c r="D122" t="inlineStr">
        <is>
          <t>JÄMTLANDS LÄN</t>
        </is>
      </c>
      <c r="E122" t="inlineStr">
        <is>
          <t>ÖSTERSUND</t>
        </is>
      </c>
      <c r="G122" t="n">
        <v>4.4</v>
      </c>
      <c r="H122" t="n">
        <v>2</v>
      </c>
      <c r="I122" t="n">
        <v>0</v>
      </c>
      <c r="J122" t="n">
        <v>1</v>
      </c>
      <c r="K122" t="n">
        <v>1</v>
      </c>
      <c r="L122" t="n">
        <v>0</v>
      </c>
      <c r="M122" t="n">
        <v>0</v>
      </c>
      <c r="N122" t="n">
        <v>0</v>
      </c>
      <c r="O122" t="n">
        <v>2</v>
      </c>
      <c r="P122" t="n">
        <v>1</v>
      </c>
      <c r="Q122" t="n">
        <v>2</v>
      </c>
      <c r="R122" s="2" t="inlineStr">
        <is>
          <t>Tallbit
Tretåig hackspett</t>
        </is>
      </c>
      <c r="S122">
        <f>HYPERLINK("https://klasma.github.io/Logging_2380/artfynd/A 46105-2021 artfynd.xlsx", "A 46105-2021")</f>
        <v/>
      </c>
      <c r="T122">
        <f>HYPERLINK("https://klasma.github.io/Logging_2380/kartor/A 46105-2021 karta.png", "A 46105-2021")</f>
        <v/>
      </c>
      <c r="V122">
        <f>HYPERLINK("https://klasma.github.io/Logging_2380/klagomål/A 46105-2021 FSC-klagomål.docx", "A 46105-2021")</f>
        <v/>
      </c>
      <c r="W122">
        <f>HYPERLINK("https://klasma.github.io/Logging_2380/klagomålsmail/A 46105-2021 FSC-klagomål mail.docx", "A 46105-2021")</f>
        <v/>
      </c>
      <c r="X122">
        <f>HYPERLINK("https://klasma.github.io/Logging_2380/tillsyn/A 46105-2021 tillsynsbegäran.docx", "A 46105-2021")</f>
        <v/>
      </c>
      <c r="Y122">
        <f>HYPERLINK("https://klasma.github.io/Logging_2380/tillsynsmail/A 46105-2021 tillsynsbegäran mail.docx", "A 46105-2021")</f>
        <v/>
      </c>
      <c r="Z122">
        <f>HYPERLINK("https://klasma.github.io/Logging_2380/fåglar/A 46105-2021 prioriterade fågelarter.docx", "A 46105-2021")</f>
        <v/>
      </c>
    </row>
    <row r="123" ht="15" customHeight="1">
      <c r="A123" t="inlineStr">
        <is>
          <t>A 33137-2021</t>
        </is>
      </c>
      <c r="B123" s="1" t="n">
        <v>44376</v>
      </c>
      <c r="C123" s="1" t="n">
        <v>45995</v>
      </c>
      <c r="D123" t="inlineStr">
        <is>
          <t>JÄMTLANDS LÄN</t>
        </is>
      </c>
      <c r="E123" t="inlineStr">
        <is>
          <t>ÖSTERSUND</t>
        </is>
      </c>
      <c r="F123" t="inlineStr">
        <is>
          <t>Kommuner</t>
        </is>
      </c>
      <c r="G123" t="n">
        <v>3.7</v>
      </c>
      <c r="H123" t="n">
        <v>1</v>
      </c>
      <c r="I123" t="n">
        <v>1</v>
      </c>
      <c r="J123" t="n">
        <v>0</v>
      </c>
      <c r="K123" t="n">
        <v>0</v>
      </c>
      <c r="L123" t="n">
        <v>0</v>
      </c>
      <c r="M123" t="n">
        <v>0</v>
      </c>
      <c r="N123" t="n">
        <v>0</v>
      </c>
      <c r="O123" t="n">
        <v>0</v>
      </c>
      <c r="P123" t="n">
        <v>0</v>
      </c>
      <c r="Q123" t="n">
        <v>1</v>
      </c>
      <c r="R123" s="2" t="inlineStr">
        <is>
          <t>Guckusko</t>
        </is>
      </c>
      <c r="S123">
        <f>HYPERLINK("https://klasma.github.io/Logging_2380/artfynd/A 33137-2021 artfynd.xlsx", "A 33137-2021")</f>
        <v/>
      </c>
      <c r="T123">
        <f>HYPERLINK("https://klasma.github.io/Logging_2380/kartor/A 33137-2021 karta.png", "A 33137-2021")</f>
        <v/>
      </c>
      <c r="V123">
        <f>HYPERLINK("https://klasma.github.io/Logging_2380/klagomål/A 33137-2021 FSC-klagomål.docx", "A 33137-2021")</f>
        <v/>
      </c>
      <c r="W123">
        <f>HYPERLINK("https://klasma.github.io/Logging_2380/klagomålsmail/A 33137-2021 FSC-klagomål mail.docx", "A 33137-2021")</f>
        <v/>
      </c>
      <c r="X123">
        <f>HYPERLINK("https://klasma.github.io/Logging_2380/tillsyn/A 33137-2021 tillsynsbegäran.docx", "A 33137-2021")</f>
        <v/>
      </c>
      <c r="Y123">
        <f>HYPERLINK("https://klasma.github.io/Logging_2380/tillsynsmail/A 33137-2021 tillsynsbegäran mail.docx", "A 33137-2021")</f>
        <v/>
      </c>
    </row>
    <row r="124" ht="15" customHeight="1">
      <c r="A124" t="inlineStr">
        <is>
          <t>A 10336-2022</t>
        </is>
      </c>
      <c r="B124" s="1" t="n">
        <v>44623</v>
      </c>
      <c r="C124" s="1" t="n">
        <v>45995</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45995</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59108-2024</t>
        </is>
      </c>
      <c r="B126" s="1" t="n">
        <v>45637.34469907408</v>
      </c>
      <c r="C126" s="1" t="n">
        <v>45995</v>
      </c>
      <c r="D126" t="inlineStr">
        <is>
          <t>JÄMTLANDS LÄN</t>
        </is>
      </c>
      <c r="E126" t="inlineStr">
        <is>
          <t>ÖSTERSUND</t>
        </is>
      </c>
      <c r="F126" t="inlineStr">
        <is>
          <t>SCA</t>
        </is>
      </c>
      <c r="G126" t="n">
        <v>10.6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59108-2024 artfynd.xlsx", "A 59108-2024")</f>
        <v/>
      </c>
      <c r="T126">
        <f>HYPERLINK("https://klasma.github.io/Logging_2380/kartor/A 59108-2024 karta.png", "A 59108-2024")</f>
        <v/>
      </c>
      <c r="V126">
        <f>HYPERLINK("https://klasma.github.io/Logging_2380/klagomål/A 59108-2024 FSC-klagomål.docx", "A 59108-2024")</f>
        <v/>
      </c>
      <c r="W126">
        <f>HYPERLINK("https://klasma.github.io/Logging_2380/klagomålsmail/A 59108-2024 FSC-klagomål mail.docx", "A 59108-2024")</f>
        <v/>
      </c>
      <c r="X126">
        <f>HYPERLINK("https://klasma.github.io/Logging_2380/tillsyn/A 59108-2024 tillsynsbegäran.docx", "A 59108-2024")</f>
        <v/>
      </c>
      <c r="Y126">
        <f>HYPERLINK("https://klasma.github.io/Logging_2380/tillsynsmail/A 59108-2024 tillsynsbegäran mail.docx", "A 59108-2024")</f>
        <v/>
      </c>
      <c r="Z126">
        <f>HYPERLINK("https://klasma.github.io/Logging_2380/fåglar/A 59108-2024 prioriterade fågelarter.docx", "A 59108-2024")</f>
        <v/>
      </c>
    </row>
    <row r="127" ht="15" customHeight="1">
      <c r="A127" t="inlineStr">
        <is>
          <t>A 27578-2022</t>
        </is>
      </c>
      <c r="B127" s="1" t="n">
        <v>44742</v>
      </c>
      <c r="C127" s="1" t="n">
        <v>45995</v>
      </c>
      <c r="D127" t="inlineStr">
        <is>
          <t>JÄMTLANDS LÄN</t>
        </is>
      </c>
      <c r="E127" t="inlineStr">
        <is>
          <t>ÖSTERSUND</t>
        </is>
      </c>
      <c r="F127" t="inlineStr">
        <is>
          <t>SCA</t>
        </is>
      </c>
      <c r="G127" t="n">
        <v>2</v>
      </c>
      <c r="H127" t="n">
        <v>1</v>
      </c>
      <c r="I127" t="n">
        <v>0</v>
      </c>
      <c r="J127" t="n">
        <v>0</v>
      </c>
      <c r="K127" t="n">
        <v>0</v>
      </c>
      <c r="L127" t="n">
        <v>0</v>
      </c>
      <c r="M127" t="n">
        <v>0</v>
      </c>
      <c r="N127" t="n">
        <v>0</v>
      </c>
      <c r="O127" t="n">
        <v>0</v>
      </c>
      <c r="P127" t="n">
        <v>0</v>
      </c>
      <c r="Q127" t="n">
        <v>1</v>
      </c>
      <c r="R127" s="2" t="inlineStr">
        <is>
          <t>Blåsippa</t>
        </is>
      </c>
      <c r="S127">
        <f>HYPERLINK("https://klasma.github.io/Logging_2380/artfynd/A 27578-2022 artfynd.xlsx", "A 27578-2022")</f>
        <v/>
      </c>
      <c r="T127">
        <f>HYPERLINK("https://klasma.github.io/Logging_2380/kartor/A 27578-2022 karta.png", "A 27578-2022")</f>
        <v/>
      </c>
      <c r="V127">
        <f>HYPERLINK("https://klasma.github.io/Logging_2380/klagomål/A 27578-2022 FSC-klagomål.docx", "A 27578-2022")</f>
        <v/>
      </c>
      <c r="W127">
        <f>HYPERLINK("https://klasma.github.io/Logging_2380/klagomålsmail/A 27578-2022 FSC-klagomål mail.docx", "A 27578-2022")</f>
        <v/>
      </c>
      <c r="X127">
        <f>HYPERLINK("https://klasma.github.io/Logging_2380/tillsyn/A 27578-2022 tillsynsbegäran.docx", "A 27578-2022")</f>
        <v/>
      </c>
      <c r="Y127">
        <f>HYPERLINK("https://klasma.github.io/Logging_2380/tillsynsmail/A 27578-2022 tillsynsbegäran mail.docx", "A 27578-2022")</f>
        <v/>
      </c>
    </row>
    <row r="128" ht="15" customHeight="1">
      <c r="A128" t="inlineStr">
        <is>
          <t>A 55-2023</t>
        </is>
      </c>
      <c r="B128" s="1" t="n">
        <v>44928</v>
      </c>
      <c r="C128" s="1" t="n">
        <v>45995</v>
      </c>
      <c r="D128" t="inlineStr">
        <is>
          <t>JÄMTLANDS LÄN</t>
        </is>
      </c>
      <c r="E128" t="inlineStr">
        <is>
          <t>ÖSTERSUND</t>
        </is>
      </c>
      <c r="G128" t="n">
        <v>4</v>
      </c>
      <c r="H128" t="n">
        <v>1</v>
      </c>
      <c r="I128" t="n">
        <v>0</v>
      </c>
      <c r="J128" t="n">
        <v>0</v>
      </c>
      <c r="K128" t="n">
        <v>1</v>
      </c>
      <c r="L128" t="n">
        <v>0</v>
      </c>
      <c r="M128" t="n">
        <v>0</v>
      </c>
      <c r="N128" t="n">
        <v>0</v>
      </c>
      <c r="O128" t="n">
        <v>1</v>
      </c>
      <c r="P128" t="n">
        <v>1</v>
      </c>
      <c r="Q128" t="n">
        <v>1</v>
      </c>
      <c r="R128" s="2" t="inlineStr">
        <is>
          <t>Knärot</t>
        </is>
      </c>
      <c r="S128">
        <f>HYPERLINK("https://klasma.github.io/Logging_2380/artfynd/A 55-2023 artfynd.xlsx", "A 55-2023")</f>
        <v/>
      </c>
      <c r="T128">
        <f>HYPERLINK("https://klasma.github.io/Logging_2380/kartor/A 55-2023 karta.png", "A 55-2023")</f>
        <v/>
      </c>
      <c r="U128">
        <f>HYPERLINK("https://klasma.github.io/Logging_2380/knärot/A 55-2023 karta knärot.png", "A 55-2023")</f>
        <v/>
      </c>
      <c r="V128">
        <f>HYPERLINK("https://klasma.github.io/Logging_2380/klagomål/A 55-2023 FSC-klagomål.docx", "A 55-2023")</f>
        <v/>
      </c>
      <c r="W128">
        <f>HYPERLINK("https://klasma.github.io/Logging_2380/klagomålsmail/A 55-2023 FSC-klagomål mail.docx", "A 55-2023")</f>
        <v/>
      </c>
      <c r="X128">
        <f>HYPERLINK("https://klasma.github.io/Logging_2380/tillsyn/A 55-2023 tillsynsbegäran.docx", "A 55-2023")</f>
        <v/>
      </c>
      <c r="Y128">
        <f>HYPERLINK("https://klasma.github.io/Logging_2380/tillsynsmail/A 55-2023 tillsynsbegäran mail.docx", "A 55-2023")</f>
        <v/>
      </c>
    </row>
    <row r="129" ht="15" customHeight="1">
      <c r="A129" t="inlineStr">
        <is>
          <t>A 17217-2021</t>
        </is>
      </c>
      <c r="B129" s="1" t="n">
        <v>44298</v>
      </c>
      <c r="C129" s="1" t="n">
        <v>45995</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40781-2025</t>
        </is>
      </c>
      <c r="B130" s="1" t="n">
        <v>45897</v>
      </c>
      <c r="C130" s="1" t="n">
        <v>45995</v>
      </c>
      <c r="D130" t="inlineStr">
        <is>
          <t>JÄMTLANDS LÄN</t>
        </is>
      </c>
      <c r="E130" t="inlineStr">
        <is>
          <t>ÖSTERSUND</t>
        </is>
      </c>
      <c r="F130" t="inlineStr">
        <is>
          <t>Övriga Aktiebolag</t>
        </is>
      </c>
      <c r="G130" t="n">
        <v>2.2</v>
      </c>
      <c r="H130" t="n">
        <v>1</v>
      </c>
      <c r="I130" t="n">
        <v>0</v>
      </c>
      <c r="J130" t="n">
        <v>0</v>
      </c>
      <c r="K130" t="n">
        <v>0</v>
      </c>
      <c r="L130" t="n">
        <v>0</v>
      </c>
      <c r="M130" t="n">
        <v>0</v>
      </c>
      <c r="N130" t="n">
        <v>0</v>
      </c>
      <c r="O130" t="n">
        <v>0</v>
      </c>
      <c r="P130" t="n">
        <v>0</v>
      </c>
      <c r="Q130" t="n">
        <v>1</v>
      </c>
      <c r="R130" s="2" t="inlineStr">
        <is>
          <t>Blåsippa</t>
        </is>
      </c>
      <c r="S130">
        <f>HYPERLINK("https://klasma.github.io/Logging_2380/artfynd/A 40781-2025 artfynd.xlsx", "A 40781-2025")</f>
        <v/>
      </c>
      <c r="T130">
        <f>HYPERLINK("https://klasma.github.io/Logging_2380/kartor/A 40781-2025 karta.png", "A 40781-2025")</f>
        <v/>
      </c>
      <c r="V130">
        <f>HYPERLINK("https://klasma.github.io/Logging_2380/klagomål/A 40781-2025 FSC-klagomål.docx", "A 40781-2025")</f>
        <v/>
      </c>
      <c r="W130">
        <f>HYPERLINK("https://klasma.github.io/Logging_2380/klagomålsmail/A 40781-2025 FSC-klagomål mail.docx", "A 40781-2025")</f>
        <v/>
      </c>
      <c r="X130">
        <f>HYPERLINK("https://klasma.github.io/Logging_2380/tillsyn/A 40781-2025 tillsynsbegäran.docx", "A 40781-2025")</f>
        <v/>
      </c>
      <c r="Y130">
        <f>HYPERLINK("https://klasma.github.io/Logging_2380/tillsynsmail/A 40781-2025 tillsynsbegäran mail.docx", "A 40781-2025")</f>
        <v/>
      </c>
    </row>
    <row r="131" ht="15" customHeight="1">
      <c r="A131" t="inlineStr">
        <is>
          <t>A 41279-2024</t>
        </is>
      </c>
      <c r="B131" s="1" t="n">
        <v>45559</v>
      </c>
      <c r="C131" s="1" t="n">
        <v>45995</v>
      </c>
      <c r="D131" t="inlineStr">
        <is>
          <t>JÄMTLANDS LÄN</t>
        </is>
      </c>
      <c r="E131" t="inlineStr">
        <is>
          <t>ÖSTERSUND</t>
        </is>
      </c>
      <c r="F131" t="inlineStr">
        <is>
          <t>SCA</t>
        </is>
      </c>
      <c r="G131" t="n">
        <v>1.6</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41279-2024 artfynd.xlsx", "A 41279-2024")</f>
        <v/>
      </c>
      <c r="T131">
        <f>HYPERLINK("https://klasma.github.io/Logging_2380/kartor/A 41279-2024 karta.png", "A 41279-2024")</f>
        <v/>
      </c>
      <c r="V131">
        <f>HYPERLINK("https://klasma.github.io/Logging_2380/klagomål/A 41279-2024 FSC-klagomål.docx", "A 41279-2024")</f>
        <v/>
      </c>
      <c r="W131">
        <f>HYPERLINK("https://klasma.github.io/Logging_2380/klagomålsmail/A 41279-2024 FSC-klagomål mail.docx", "A 41279-2024")</f>
        <v/>
      </c>
      <c r="X131">
        <f>HYPERLINK("https://klasma.github.io/Logging_2380/tillsyn/A 41279-2024 tillsynsbegäran.docx", "A 41279-2024")</f>
        <v/>
      </c>
      <c r="Y131">
        <f>HYPERLINK("https://klasma.github.io/Logging_2380/tillsynsmail/A 41279-2024 tillsynsbegäran mail.docx", "A 41279-2024")</f>
        <v/>
      </c>
    </row>
    <row r="132" ht="15" customHeight="1">
      <c r="A132" t="inlineStr">
        <is>
          <t>A 58181-2022</t>
        </is>
      </c>
      <c r="B132" s="1" t="n">
        <v>44900</v>
      </c>
      <c r="C132" s="1" t="n">
        <v>45995</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46163-2021</t>
        </is>
      </c>
      <c r="B133" s="1" t="n">
        <v>44441</v>
      </c>
      <c r="C133" s="1" t="n">
        <v>45995</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57065-2024</t>
        </is>
      </c>
      <c r="B134" s="1" t="n">
        <v>45629.35344907407</v>
      </c>
      <c r="C134" s="1" t="n">
        <v>45995</v>
      </c>
      <c r="D134" t="inlineStr">
        <is>
          <t>JÄMTLANDS LÄN</t>
        </is>
      </c>
      <c r="E134" t="inlineStr">
        <is>
          <t>ÖSTERSUND</t>
        </is>
      </c>
      <c r="F134" t="inlineStr">
        <is>
          <t>SCA</t>
        </is>
      </c>
      <c r="G134" t="n">
        <v>6.3</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57065-2024 artfynd.xlsx", "A 57065-2024")</f>
        <v/>
      </c>
      <c r="T134">
        <f>HYPERLINK("https://klasma.github.io/Logging_2380/kartor/A 57065-2024 karta.png", "A 57065-2024")</f>
        <v/>
      </c>
      <c r="V134">
        <f>HYPERLINK("https://klasma.github.io/Logging_2380/klagomål/A 57065-2024 FSC-klagomål.docx", "A 57065-2024")</f>
        <v/>
      </c>
      <c r="W134">
        <f>HYPERLINK("https://klasma.github.io/Logging_2380/klagomålsmail/A 57065-2024 FSC-klagomål mail.docx", "A 57065-2024")</f>
        <v/>
      </c>
      <c r="X134">
        <f>HYPERLINK("https://klasma.github.io/Logging_2380/tillsyn/A 57065-2024 tillsynsbegäran.docx", "A 57065-2024")</f>
        <v/>
      </c>
      <c r="Y134">
        <f>HYPERLINK("https://klasma.github.io/Logging_2380/tillsynsmail/A 57065-2024 tillsynsbegäran mail.docx", "A 57065-2024")</f>
        <v/>
      </c>
      <c r="Z134">
        <f>HYPERLINK("https://klasma.github.io/Logging_2380/fåglar/A 57065-2024 prioriterade fågelarter.docx", "A 57065-2024")</f>
        <v/>
      </c>
    </row>
    <row r="135" ht="15" customHeight="1">
      <c r="A135" t="inlineStr">
        <is>
          <t>A 64380-2023</t>
        </is>
      </c>
      <c r="B135" s="1" t="n">
        <v>45280.56451388889</v>
      </c>
      <c r="C135" s="1" t="n">
        <v>45995</v>
      </c>
      <c r="D135" t="inlineStr">
        <is>
          <t>JÄMTLANDS LÄN</t>
        </is>
      </c>
      <c r="E135" t="inlineStr">
        <is>
          <t>ÖSTERSUND</t>
        </is>
      </c>
      <c r="G135" t="n">
        <v>12.4</v>
      </c>
      <c r="H135" t="n">
        <v>0</v>
      </c>
      <c r="I135" t="n">
        <v>0</v>
      </c>
      <c r="J135" t="n">
        <v>1</v>
      </c>
      <c r="K135" t="n">
        <v>0</v>
      </c>
      <c r="L135" t="n">
        <v>0</v>
      </c>
      <c r="M135" t="n">
        <v>0</v>
      </c>
      <c r="N135" t="n">
        <v>0</v>
      </c>
      <c r="O135" t="n">
        <v>1</v>
      </c>
      <c r="P135" t="n">
        <v>0</v>
      </c>
      <c r="Q135" t="n">
        <v>1</v>
      </c>
      <c r="R135" s="2" t="inlineStr">
        <is>
          <t>Luddfingersvamp</t>
        </is>
      </c>
      <c r="S135">
        <f>HYPERLINK("https://klasma.github.io/Logging_2380/artfynd/A 64380-2023 artfynd.xlsx", "A 64380-2023")</f>
        <v/>
      </c>
      <c r="T135">
        <f>HYPERLINK("https://klasma.github.io/Logging_2380/kartor/A 64380-2023 karta.png", "A 64380-2023")</f>
        <v/>
      </c>
      <c r="V135">
        <f>HYPERLINK("https://klasma.github.io/Logging_2380/klagomål/A 64380-2023 FSC-klagomål.docx", "A 64380-2023")</f>
        <v/>
      </c>
      <c r="W135">
        <f>HYPERLINK("https://klasma.github.io/Logging_2380/klagomålsmail/A 64380-2023 FSC-klagomål mail.docx", "A 64380-2023")</f>
        <v/>
      </c>
      <c r="X135">
        <f>HYPERLINK("https://klasma.github.io/Logging_2380/tillsyn/A 64380-2023 tillsynsbegäran.docx", "A 64380-2023")</f>
        <v/>
      </c>
      <c r="Y135">
        <f>HYPERLINK("https://klasma.github.io/Logging_2380/tillsynsmail/A 64380-2023 tillsynsbegäran mail.docx", "A 64380-2023")</f>
        <v/>
      </c>
    </row>
    <row r="136" ht="15" customHeight="1">
      <c r="A136" t="inlineStr">
        <is>
          <t>A 43188-2025</t>
        </is>
      </c>
      <c r="B136" s="1" t="n">
        <v>45910.41201388889</v>
      </c>
      <c r="C136" s="1" t="n">
        <v>45995</v>
      </c>
      <c r="D136" t="inlineStr">
        <is>
          <t>JÄMTLANDS LÄN</t>
        </is>
      </c>
      <c r="E136" t="inlineStr">
        <is>
          <t>ÖSTERSUND</t>
        </is>
      </c>
      <c r="G136" t="n">
        <v>8.6</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43188-2025 artfynd.xlsx", "A 43188-2025")</f>
        <v/>
      </c>
      <c r="T136">
        <f>HYPERLINK("https://klasma.github.io/Logging_2380/kartor/A 43188-2025 karta.png", "A 43188-2025")</f>
        <v/>
      </c>
      <c r="V136">
        <f>HYPERLINK("https://klasma.github.io/Logging_2380/klagomål/A 43188-2025 FSC-klagomål.docx", "A 43188-2025")</f>
        <v/>
      </c>
      <c r="W136">
        <f>HYPERLINK("https://klasma.github.io/Logging_2380/klagomålsmail/A 43188-2025 FSC-klagomål mail.docx", "A 43188-2025")</f>
        <v/>
      </c>
      <c r="X136">
        <f>HYPERLINK("https://klasma.github.io/Logging_2380/tillsyn/A 43188-2025 tillsynsbegäran.docx", "A 43188-2025")</f>
        <v/>
      </c>
      <c r="Y136">
        <f>HYPERLINK("https://klasma.github.io/Logging_2380/tillsynsmail/A 43188-2025 tillsynsbegäran mail.docx", "A 43188-2025")</f>
        <v/>
      </c>
      <c r="Z136">
        <f>HYPERLINK("https://klasma.github.io/Logging_2380/fåglar/A 43188-2025 prioriterade fågelarter.docx", "A 43188-2025")</f>
        <v/>
      </c>
    </row>
    <row r="137" ht="15" customHeight="1">
      <c r="A137" t="inlineStr">
        <is>
          <t>A 40692-2024</t>
        </is>
      </c>
      <c r="B137" s="1" t="n">
        <v>45558</v>
      </c>
      <c r="C137" s="1" t="n">
        <v>45995</v>
      </c>
      <c r="D137" t="inlineStr">
        <is>
          <t>JÄMTLANDS LÄN</t>
        </is>
      </c>
      <c r="E137" t="inlineStr">
        <is>
          <t>ÖSTERSUND</t>
        </is>
      </c>
      <c r="F137" t="inlineStr">
        <is>
          <t>SCA</t>
        </is>
      </c>
      <c r="G137" t="n">
        <v>0.9</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40692-2024 artfynd.xlsx", "A 40692-2024")</f>
        <v/>
      </c>
      <c r="T137">
        <f>HYPERLINK("https://klasma.github.io/Logging_2380/kartor/A 40692-2024 karta.png", "A 40692-2024")</f>
        <v/>
      </c>
      <c r="V137">
        <f>HYPERLINK("https://klasma.github.io/Logging_2380/klagomål/A 40692-2024 FSC-klagomål.docx", "A 40692-2024")</f>
        <v/>
      </c>
      <c r="W137">
        <f>HYPERLINK("https://klasma.github.io/Logging_2380/klagomålsmail/A 40692-2024 FSC-klagomål mail.docx", "A 40692-2024")</f>
        <v/>
      </c>
      <c r="X137">
        <f>HYPERLINK("https://klasma.github.io/Logging_2380/tillsyn/A 40692-2024 tillsynsbegäran.docx", "A 40692-2024")</f>
        <v/>
      </c>
      <c r="Y137">
        <f>HYPERLINK("https://klasma.github.io/Logging_2380/tillsynsmail/A 40692-2024 tillsynsbegäran mail.docx", "A 40692-2024")</f>
        <v/>
      </c>
    </row>
    <row r="138" ht="15" customHeight="1">
      <c r="A138" t="inlineStr">
        <is>
          <t>A 40696-2024</t>
        </is>
      </c>
      <c r="B138" s="1" t="n">
        <v>45558</v>
      </c>
      <c r="C138" s="1" t="n">
        <v>45995</v>
      </c>
      <c r="D138" t="inlineStr">
        <is>
          <t>JÄMTLANDS LÄN</t>
        </is>
      </c>
      <c r="E138" t="inlineStr">
        <is>
          <t>ÖSTERSUND</t>
        </is>
      </c>
      <c r="F138" t="inlineStr">
        <is>
          <t>SCA</t>
        </is>
      </c>
      <c r="G138" t="n">
        <v>2.7</v>
      </c>
      <c r="H138" t="n">
        <v>0</v>
      </c>
      <c r="I138" t="n">
        <v>0</v>
      </c>
      <c r="J138" t="n">
        <v>1</v>
      </c>
      <c r="K138" t="n">
        <v>0</v>
      </c>
      <c r="L138" t="n">
        <v>0</v>
      </c>
      <c r="M138" t="n">
        <v>0</v>
      </c>
      <c r="N138" t="n">
        <v>0</v>
      </c>
      <c r="O138" t="n">
        <v>1</v>
      </c>
      <c r="P138" t="n">
        <v>0</v>
      </c>
      <c r="Q138" t="n">
        <v>1</v>
      </c>
      <c r="R138" s="2" t="inlineStr">
        <is>
          <t>Lunglav</t>
        </is>
      </c>
      <c r="S138">
        <f>HYPERLINK("https://klasma.github.io/Logging_2380/artfynd/A 40696-2024 artfynd.xlsx", "A 40696-2024")</f>
        <v/>
      </c>
      <c r="T138">
        <f>HYPERLINK("https://klasma.github.io/Logging_2380/kartor/A 40696-2024 karta.png", "A 40696-2024")</f>
        <v/>
      </c>
      <c r="V138">
        <f>HYPERLINK("https://klasma.github.io/Logging_2380/klagomål/A 40696-2024 FSC-klagomål.docx", "A 40696-2024")</f>
        <v/>
      </c>
      <c r="W138">
        <f>HYPERLINK("https://klasma.github.io/Logging_2380/klagomålsmail/A 40696-2024 FSC-klagomål mail.docx", "A 40696-2024")</f>
        <v/>
      </c>
      <c r="X138">
        <f>HYPERLINK("https://klasma.github.io/Logging_2380/tillsyn/A 40696-2024 tillsynsbegäran.docx", "A 40696-2024")</f>
        <v/>
      </c>
      <c r="Y138">
        <f>HYPERLINK("https://klasma.github.io/Logging_2380/tillsynsmail/A 40696-2024 tillsynsbegäran mail.docx", "A 40696-2024")</f>
        <v/>
      </c>
    </row>
    <row r="139" ht="15" customHeight="1">
      <c r="A139" t="inlineStr">
        <is>
          <t>A 43883-2024</t>
        </is>
      </c>
      <c r="B139" s="1" t="n">
        <v>45570</v>
      </c>
      <c r="C139" s="1" t="n">
        <v>45995</v>
      </c>
      <c r="D139" t="inlineStr">
        <is>
          <t>JÄMTLANDS LÄN</t>
        </is>
      </c>
      <c r="E139" t="inlineStr">
        <is>
          <t>ÖSTERSUND</t>
        </is>
      </c>
      <c r="G139" t="n">
        <v>3.8</v>
      </c>
      <c r="H139" t="n">
        <v>0</v>
      </c>
      <c r="I139" t="n">
        <v>0</v>
      </c>
      <c r="J139" t="n">
        <v>0</v>
      </c>
      <c r="K139" t="n">
        <v>1</v>
      </c>
      <c r="L139" t="n">
        <v>0</v>
      </c>
      <c r="M139" t="n">
        <v>0</v>
      </c>
      <c r="N139" t="n">
        <v>0</v>
      </c>
      <c r="O139" t="n">
        <v>1</v>
      </c>
      <c r="P139" t="n">
        <v>1</v>
      </c>
      <c r="Q139" t="n">
        <v>1</v>
      </c>
      <c r="R139" s="2" t="inlineStr">
        <is>
          <t>Frösöstarr</t>
        </is>
      </c>
      <c r="S139">
        <f>HYPERLINK("https://klasma.github.io/Logging_2380/artfynd/A 43883-2024 artfynd.xlsx", "A 43883-2024")</f>
        <v/>
      </c>
      <c r="T139">
        <f>HYPERLINK("https://klasma.github.io/Logging_2380/kartor/A 43883-2024 karta.png", "A 43883-2024")</f>
        <v/>
      </c>
      <c r="V139">
        <f>HYPERLINK("https://klasma.github.io/Logging_2380/klagomål/A 43883-2024 FSC-klagomål.docx", "A 43883-2024")</f>
        <v/>
      </c>
      <c r="W139">
        <f>HYPERLINK("https://klasma.github.io/Logging_2380/klagomålsmail/A 43883-2024 FSC-klagomål mail.docx", "A 43883-2024")</f>
        <v/>
      </c>
      <c r="X139">
        <f>HYPERLINK("https://klasma.github.io/Logging_2380/tillsyn/A 43883-2024 tillsynsbegäran.docx", "A 43883-2024")</f>
        <v/>
      </c>
      <c r="Y139">
        <f>HYPERLINK("https://klasma.github.io/Logging_2380/tillsynsmail/A 43883-2024 tillsynsbegäran mail.docx", "A 43883-2024")</f>
        <v/>
      </c>
    </row>
    <row r="140" ht="15" customHeight="1">
      <c r="A140" t="inlineStr">
        <is>
          <t>A 28980-2023</t>
        </is>
      </c>
      <c r="B140" s="1" t="n">
        <v>45096</v>
      </c>
      <c r="C140" s="1" t="n">
        <v>45995</v>
      </c>
      <c r="D140" t="inlineStr">
        <is>
          <t>JÄMTLANDS LÄN</t>
        </is>
      </c>
      <c r="E140" t="inlineStr">
        <is>
          <t>ÖSTERSUND</t>
        </is>
      </c>
      <c r="G140" t="n">
        <v>2.7</v>
      </c>
      <c r="H140" t="n">
        <v>0</v>
      </c>
      <c r="I140" t="n">
        <v>1</v>
      </c>
      <c r="J140" t="n">
        <v>0</v>
      </c>
      <c r="K140" t="n">
        <v>0</v>
      </c>
      <c r="L140" t="n">
        <v>0</v>
      </c>
      <c r="M140" t="n">
        <v>0</v>
      </c>
      <c r="N140" t="n">
        <v>0</v>
      </c>
      <c r="O140" t="n">
        <v>0</v>
      </c>
      <c r="P140" t="n">
        <v>0</v>
      </c>
      <c r="Q140" t="n">
        <v>1</v>
      </c>
      <c r="R140" s="2" t="inlineStr">
        <is>
          <t>Finbräken</t>
        </is>
      </c>
      <c r="S140">
        <f>HYPERLINK("https://klasma.github.io/Logging_2380/artfynd/A 28980-2023 artfynd.xlsx", "A 28980-2023")</f>
        <v/>
      </c>
      <c r="T140">
        <f>HYPERLINK("https://klasma.github.io/Logging_2380/kartor/A 28980-2023 karta.png", "A 28980-2023")</f>
        <v/>
      </c>
      <c r="V140">
        <f>HYPERLINK("https://klasma.github.io/Logging_2380/klagomål/A 28980-2023 FSC-klagomål.docx", "A 28980-2023")</f>
        <v/>
      </c>
      <c r="W140">
        <f>HYPERLINK("https://klasma.github.io/Logging_2380/klagomålsmail/A 28980-2023 FSC-klagomål mail.docx", "A 28980-2023")</f>
        <v/>
      </c>
      <c r="X140">
        <f>HYPERLINK("https://klasma.github.io/Logging_2380/tillsyn/A 28980-2023 tillsynsbegäran.docx", "A 28980-2023")</f>
        <v/>
      </c>
      <c r="Y140">
        <f>HYPERLINK("https://klasma.github.io/Logging_2380/tillsynsmail/A 28980-2023 tillsynsbegäran mail.docx", "A 28980-2023")</f>
        <v/>
      </c>
    </row>
    <row r="141" ht="15" customHeight="1">
      <c r="A141" t="inlineStr">
        <is>
          <t>A 59433-2021</t>
        </is>
      </c>
      <c r="B141" s="1" t="n">
        <v>44491</v>
      </c>
      <c r="C141" s="1" t="n">
        <v>45995</v>
      </c>
      <c r="D141" t="inlineStr">
        <is>
          <t>JÄMTLANDS LÄN</t>
        </is>
      </c>
      <c r="E141" t="inlineStr">
        <is>
          <t>ÖSTERSUND</t>
        </is>
      </c>
      <c r="F141" t="inlineStr">
        <is>
          <t>Övriga statliga verk och myndigheter</t>
        </is>
      </c>
      <c r="G141" t="n">
        <v>1.6</v>
      </c>
      <c r="H141" t="n">
        <v>0</v>
      </c>
      <c r="I141" t="n">
        <v>0</v>
      </c>
      <c r="J141" t="n">
        <v>1</v>
      </c>
      <c r="K141" t="n">
        <v>0</v>
      </c>
      <c r="L141" t="n">
        <v>0</v>
      </c>
      <c r="M141" t="n">
        <v>0</v>
      </c>
      <c r="N141" t="n">
        <v>0</v>
      </c>
      <c r="O141" t="n">
        <v>1</v>
      </c>
      <c r="P141" t="n">
        <v>0</v>
      </c>
      <c r="Q141" t="n">
        <v>1</v>
      </c>
      <c r="R141" s="2" t="inlineStr">
        <is>
          <t>Brunpudrad nållav</t>
        </is>
      </c>
      <c r="S141">
        <f>HYPERLINK("https://klasma.github.io/Logging_2380/artfynd/A 59433-2021 artfynd.xlsx", "A 59433-2021")</f>
        <v/>
      </c>
      <c r="T141">
        <f>HYPERLINK("https://klasma.github.io/Logging_2380/kartor/A 59433-2021 karta.png", "A 59433-2021")</f>
        <v/>
      </c>
      <c r="V141">
        <f>HYPERLINK("https://klasma.github.io/Logging_2380/klagomål/A 59433-2021 FSC-klagomål.docx", "A 59433-2021")</f>
        <v/>
      </c>
      <c r="W141">
        <f>HYPERLINK("https://klasma.github.io/Logging_2380/klagomålsmail/A 59433-2021 FSC-klagomål mail.docx", "A 59433-2021")</f>
        <v/>
      </c>
      <c r="X141">
        <f>HYPERLINK("https://klasma.github.io/Logging_2380/tillsyn/A 59433-2021 tillsynsbegäran.docx", "A 59433-2021")</f>
        <v/>
      </c>
      <c r="Y141">
        <f>HYPERLINK("https://klasma.github.io/Logging_2380/tillsynsmail/A 59433-2021 tillsynsbegäran mail.docx", "A 59433-2021")</f>
        <v/>
      </c>
    </row>
    <row r="142" ht="15" customHeight="1">
      <c r="A142" t="inlineStr">
        <is>
          <t>A 53300-2025</t>
        </is>
      </c>
      <c r="B142" s="1" t="n">
        <v>45959.32394675926</v>
      </c>
      <c r="C142" s="1" t="n">
        <v>45995</v>
      </c>
      <c r="D142" t="inlineStr">
        <is>
          <t>JÄMTLANDS LÄN</t>
        </is>
      </c>
      <c r="E142" t="inlineStr">
        <is>
          <t>ÖSTERSUND</t>
        </is>
      </c>
      <c r="F142" t="inlineStr">
        <is>
          <t>Sveaskog</t>
        </is>
      </c>
      <c r="G142" t="n">
        <v>12.2</v>
      </c>
      <c r="H142" t="n">
        <v>0</v>
      </c>
      <c r="I142" t="n">
        <v>1</v>
      </c>
      <c r="J142" t="n">
        <v>0</v>
      </c>
      <c r="K142" t="n">
        <v>0</v>
      </c>
      <c r="L142" t="n">
        <v>0</v>
      </c>
      <c r="M142" t="n">
        <v>0</v>
      </c>
      <c r="N142" t="n">
        <v>0</v>
      </c>
      <c r="O142" t="n">
        <v>0</v>
      </c>
      <c r="P142" t="n">
        <v>0</v>
      </c>
      <c r="Q142" t="n">
        <v>1</v>
      </c>
      <c r="R142" s="2" t="inlineStr">
        <is>
          <t>Rödgul trumpetsvamp</t>
        </is>
      </c>
      <c r="S142">
        <f>HYPERLINK("https://klasma.github.io/Logging_2380/artfynd/A 53300-2025 artfynd.xlsx", "A 53300-2025")</f>
        <v/>
      </c>
      <c r="T142">
        <f>HYPERLINK("https://klasma.github.io/Logging_2380/kartor/A 53300-2025 karta.png", "A 53300-2025")</f>
        <v/>
      </c>
      <c r="V142">
        <f>HYPERLINK("https://klasma.github.io/Logging_2380/klagomål/A 53300-2025 FSC-klagomål.docx", "A 53300-2025")</f>
        <v/>
      </c>
      <c r="W142">
        <f>HYPERLINK("https://klasma.github.io/Logging_2380/klagomålsmail/A 53300-2025 FSC-klagomål mail.docx", "A 53300-2025")</f>
        <v/>
      </c>
      <c r="X142">
        <f>HYPERLINK("https://klasma.github.io/Logging_2380/tillsyn/A 53300-2025 tillsynsbegäran.docx", "A 53300-2025")</f>
        <v/>
      </c>
      <c r="Y142">
        <f>HYPERLINK("https://klasma.github.io/Logging_2380/tillsynsmail/A 53300-2025 tillsynsbegäran mail.docx", "A 53300-2025")</f>
        <v/>
      </c>
    </row>
    <row r="143" ht="15" customHeight="1">
      <c r="A143" t="inlineStr">
        <is>
          <t>A 41312-2024</t>
        </is>
      </c>
      <c r="B143" s="1" t="n">
        <v>45559.63584490741</v>
      </c>
      <c r="C143" s="1" t="n">
        <v>45995</v>
      </c>
      <c r="D143" t="inlineStr">
        <is>
          <t>JÄMTLANDS LÄN</t>
        </is>
      </c>
      <c r="E143" t="inlineStr">
        <is>
          <t>ÖSTERSUND</t>
        </is>
      </c>
      <c r="F143" t="inlineStr">
        <is>
          <t>SCA</t>
        </is>
      </c>
      <c r="G143" t="n">
        <v>2.6</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41312-2024 artfynd.xlsx", "A 41312-2024")</f>
        <v/>
      </c>
      <c r="T143">
        <f>HYPERLINK("https://klasma.github.io/Logging_2380/kartor/A 41312-2024 karta.png", "A 41312-2024")</f>
        <v/>
      </c>
      <c r="V143">
        <f>HYPERLINK("https://klasma.github.io/Logging_2380/klagomål/A 41312-2024 FSC-klagomål.docx", "A 41312-2024")</f>
        <v/>
      </c>
      <c r="W143">
        <f>HYPERLINK("https://klasma.github.io/Logging_2380/klagomålsmail/A 41312-2024 FSC-klagomål mail.docx", "A 41312-2024")</f>
        <v/>
      </c>
      <c r="X143">
        <f>HYPERLINK("https://klasma.github.io/Logging_2380/tillsyn/A 41312-2024 tillsynsbegäran.docx", "A 41312-2024")</f>
        <v/>
      </c>
      <c r="Y143">
        <f>HYPERLINK("https://klasma.github.io/Logging_2380/tillsynsmail/A 41312-2024 tillsynsbegäran mail.docx", "A 41312-2024")</f>
        <v/>
      </c>
    </row>
    <row r="144" ht="15" customHeight="1">
      <c r="A144" t="inlineStr">
        <is>
          <t>A 56201-2024</t>
        </is>
      </c>
      <c r="B144" s="1" t="n">
        <v>45624.59462962963</v>
      </c>
      <c r="C144" s="1" t="n">
        <v>45995</v>
      </c>
      <c r="D144" t="inlineStr">
        <is>
          <t>JÄMTLANDS LÄN</t>
        </is>
      </c>
      <c r="E144" t="inlineStr">
        <is>
          <t>ÖSTERSUND</t>
        </is>
      </c>
      <c r="F144" t="inlineStr">
        <is>
          <t>SCA</t>
        </is>
      </c>
      <c r="G144" t="n">
        <v>5.9</v>
      </c>
      <c r="H144" t="n">
        <v>1</v>
      </c>
      <c r="I144" t="n">
        <v>0</v>
      </c>
      <c r="J144" t="n">
        <v>0</v>
      </c>
      <c r="K144" t="n">
        <v>1</v>
      </c>
      <c r="L144" t="n">
        <v>0</v>
      </c>
      <c r="M144" t="n">
        <v>0</v>
      </c>
      <c r="N144" t="n">
        <v>0</v>
      </c>
      <c r="O144" t="n">
        <v>1</v>
      </c>
      <c r="P144" t="n">
        <v>1</v>
      </c>
      <c r="Q144" t="n">
        <v>1</v>
      </c>
      <c r="R144" s="2" t="inlineStr">
        <is>
          <t>Doftticka</t>
        </is>
      </c>
      <c r="S144">
        <f>HYPERLINK("https://klasma.github.io/Logging_2380/artfynd/A 56201-2024 artfynd.xlsx", "A 56201-2024")</f>
        <v/>
      </c>
      <c r="T144">
        <f>HYPERLINK("https://klasma.github.io/Logging_2380/kartor/A 56201-2024 karta.png", "A 56201-2024")</f>
        <v/>
      </c>
      <c r="V144">
        <f>HYPERLINK("https://klasma.github.io/Logging_2380/klagomål/A 56201-2024 FSC-klagomål.docx", "A 56201-2024")</f>
        <v/>
      </c>
      <c r="W144">
        <f>HYPERLINK("https://klasma.github.io/Logging_2380/klagomålsmail/A 56201-2024 FSC-klagomål mail.docx", "A 56201-2024")</f>
        <v/>
      </c>
      <c r="X144">
        <f>HYPERLINK("https://klasma.github.io/Logging_2380/tillsyn/A 56201-2024 tillsynsbegäran.docx", "A 56201-2024")</f>
        <v/>
      </c>
      <c r="Y144">
        <f>HYPERLINK("https://klasma.github.io/Logging_2380/tillsynsmail/A 56201-2024 tillsynsbegäran mail.docx", "A 56201-2024")</f>
        <v/>
      </c>
    </row>
    <row r="145" ht="15" customHeight="1">
      <c r="A145" t="inlineStr">
        <is>
          <t>A 55821-2021</t>
        </is>
      </c>
      <c r="B145" s="1" t="n">
        <v>44476</v>
      </c>
      <c r="C145" s="1" t="n">
        <v>45995</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54354-2024</t>
        </is>
      </c>
      <c r="B146" s="1" t="n">
        <v>45617.40244212963</v>
      </c>
      <c r="C146" s="1" t="n">
        <v>45995</v>
      </c>
      <c r="D146" t="inlineStr">
        <is>
          <t>JÄMTLANDS LÄN</t>
        </is>
      </c>
      <c r="E146" t="inlineStr">
        <is>
          <t>ÖSTERSUND</t>
        </is>
      </c>
      <c r="G146" t="n">
        <v>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54354-2024 artfynd.xlsx", "A 54354-2024")</f>
        <v/>
      </c>
      <c r="T146">
        <f>HYPERLINK("https://klasma.github.io/Logging_2380/kartor/A 54354-2024 karta.png", "A 54354-2024")</f>
        <v/>
      </c>
      <c r="V146">
        <f>HYPERLINK("https://klasma.github.io/Logging_2380/klagomål/A 54354-2024 FSC-klagomål.docx", "A 54354-2024")</f>
        <v/>
      </c>
      <c r="W146">
        <f>HYPERLINK("https://klasma.github.io/Logging_2380/klagomålsmail/A 54354-2024 FSC-klagomål mail.docx", "A 54354-2024")</f>
        <v/>
      </c>
      <c r="X146">
        <f>HYPERLINK("https://klasma.github.io/Logging_2380/tillsyn/A 54354-2024 tillsynsbegäran.docx", "A 54354-2024")</f>
        <v/>
      </c>
      <c r="Y146">
        <f>HYPERLINK("https://klasma.github.io/Logging_2380/tillsynsmail/A 54354-2024 tillsynsbegäran mail.docx", "A 54354-2024")</f>
        <v/>
      </c>
      <c r="Z146">
        <f>HYPERLINK("https://klasma.github.io/Logging_2380/fåglar/A 54354-2024 prioriterade fågelarter.docx", "A 54354-2024")</f>
        <v/>
      </c>
    </row>
    <row r="147" ht="15" customHeight="1">
      <c r="A147" t="inlineStr">
        <is>
          <t>A 47580-2025</t>
        </is>
      </c>
      <c r="B147" s="1" t="n">
        <v>45931.40935185185</v>
      </c>
      <c r="C147" s="1" t="n">
        <v>45995</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45995</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31883-2024</t>
        </is>
      </c>
      <c r="B149" s="1" t="n">
        <v>45509.9572800926</v>
      </c>
      <c r="C149" s="1" t="n">
        <v>45995</v>
      </c>
      <c r="D149" t="inlineStr">
        <is>
          <t>JÄMTLANDS LÄN</t>
        </is>
      </c>
      <c r="E149" t="inlineStr">
        <is>
          <t>ÖSTERSUND</t>
        </is>
      </c>
      <c r="F149" t="inlineStr">
        <is>
          <t>SCA</t>
        </is>
      </c>
      <c r="G149" t="n">
        <v>3.3</v>
      </c>
      <c r="H149" t="n">
        <v>1</v>
      </c>
      <c r="I149" t="n">
        <v>0</v>
      </c>
      <c r="J149" t="n">
        <v>0</v>
      </c>
      <c r="K149" t="n">
        <v>1</v>
      </c>
      <c r="L149" t="n">
        <v>0</v>
      </c>
      <c r="M149" t="n">
        <v>0</v>
      </c>
      <c r="N149" t="n">
        <v>0</v>
      </c>
      <c r="O149" t="n">
        <v>1</v>
      </c>
      <c r="P149" t="n">
        <v>1</v>
      </c>
      <c r="Q149" t="n">
        <v>1</v>
      </c>
      <c r="R149" s="2" t="inlineStr">
        <is>
          <t>Doftticka</t>
        </is>
      </c>
      <c r="S149">
        <f>HYPERLINK("https://klasma.github.io/Logging_2380/artfynd/A 31883-2024 artfynd.xlsx", "A 31883-2024")</f>
        <v/>
      </c>
      <c r="T149">
        <f>HYPERLINK("https://klasma.github.io/Logging_2380/kartor/A 31883-2024 karta.png", "A 31883-2024")</f>
        <v/>
      </c>
      <c r="V149">
        <f>HYPERLINK("https://klasma.github.io/Logging_2380/klagomål/A 31883-2024 FSC-klagomål.docx", "A 31883-2024")</f>
        <v/>
      </c>
      <c r="W149">
        <f>HYPERLINK("https://klasma.github.io/Logging_2380/klagomålsmail/A 31883-2024 FSC-klagomål mail.docx", "A 31883-2024")</f>
        <v/>
      </c>
      <c r="X149">
        <f>HYPERLINK("https://klasma.github.io/Logging_2380/tillsyn/A 31883-2024 tillsynsbegäran.docx", "A 31883-2024")</f>
        <v/>
      </c>
      <c r="Y149">
        <f>HYPERLINK("https://klasma.github.io/Logging_2380/tillsynsmail/A 31883-2024 tillsynsbegäran mail.docx", "A 31883-2024")</f>
        <v/>
      </c>
    </row>
    <row r="150" ht="15" customHeight="1">
      <c r="A150" t="inlineStr">
        <is>
          <t>A 44049-2024</t>
        </is>
      </c>
      <c r="B150" s="1" t="n">
        <v>45572.59462962963</v>
      </c>
      <c r="C150" s="1" t="n">
        <v>45995</v>
      </c>
      <c r="D150" t="inlineStr">
        <is>
          <t>JÄMTLANDS LÄN</t>
        </is>
      </c>
      <c r="E150" t="inlineStr">
        <is>
          <t>ÖSTERSUND</t>
        </is>
      </c>
      <c r="F150" t="inlineStr">
        <is>
          <t>SCA</t>
        </is>
      </c>
      <c r="G150" t="n">
        <v>4.5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44049-2024 artfynd.xlsx", "A 44049-2024")</f>
        <v/>
      </c>
      <c r="T150">
        <f>HYPERLINK("https://klasma.github.io/Logging_2380/kartor/A 44049-2024 karta.png", "A 44049-2024")</f>
        <v/>
      </c>
      <c r="V150">
        <f>HYPERLINK("https://klasma.github.io/Logging_2380/klagomål/A 44049-2024 FSC-klagomål.docx", "A 44049-2024")</f>
        <v/>
      </c>
      <c r="W150">
        <f>HYPERLINK("https://klasma.github.io/Logging_2380/klagomålsmail/A 44049-2024 FSC-klagomål mail.docx", "A 44049-2024")</f>
        <v/>
      </c>
      <c r="X150">
        <f>HYPERLINK("https://klasma.github.io/Logging_2380/tillsyn/A 44049-2024 tillsynsbegäran.docx", "A 44049-2024")</f>
        <v/>
      </c>
      <c r="Y150">
        <f>HYPERLINK("https://klasma.github.io/Logging_2380/tillsynsmail/A 44049-2024 tillsynsbegäran mail.docx", "A 44049-2024")</f>
        <v/>
      </c>
    </row>
    <row r="151" ht="15" customHeight="1">
      <c r="A151" t="inlineStr">
        <is>
          <t>A 56647-2025</t>
        </is>
      </c>
      <c r="B151" s="1" t="n">
        <v>45975.63585648148</v>
      </c>
      <c r="C151" s="1" t="n">
        <v>45995</v>
      </c>
      <c r="D151" t="inlineStr">
        <is>
          <t>JÄMTLANDS LÄN</t>
        </is>
      </c>
      <c r="E151" t="inlineStr">
        <is>
          <t>ÖSTERSUND</t>
        </is>
      </c>
      <c r="G151" t="n">
        <v>12.1</v>
      </c>
      <c r="H151" t="n">
        <v>0</v>
      </c>
      <c r="I151" t="n">
        <v>0</v>
      </c>
      <c r="J151" t="n">
        <v>0</v>
      </c>
      <c r="K151" t="n">
        <v>1</v>
      </c>
      <c r="L151" t="n">
        <v>0</v>
      </c>
      <c r="M151" t="n">
        <v>0</v>
      </c>
      <c r="N151" t="n">
        <v>0</v>
      </c>
      <c r="O151" t="n">
        <v>1</v>
      </c>
      <c r="P151" t="n">
        <v>1</v>
      </c>
      <c r="Q151" t="n">
        <v>1</v>
      </c>
      <c r="R151" s="2" t="inlineStr">
        <is>
          <t>Rynkskinn</t>
        </is>
      </c>
      <c r="S151">
        <f>HYPERLINK("https://klasma.github.io/Logging_2380/artfynd/A 56647-2025 artfynd.xlsx", "A 56647-2025")</f>
        <v/>
      </c>
      <c r="T151">
        <f>HYPERLINK("https://klasma.github.io/Logging_2380/kartor/A 56647-2025 karta.png", "A 56647-2025")</f>
        <v/>
      </c>
      <c r="V151">
        <f>HYPERLINK("https://klasma.github.io/Logging_2380/klagomål/A 56647-2025 FSC-klagomål.docx", "A 56647-2025")</f>
        <v/>
      </c>
      <c r="W151">
        <f>HYPERLINK("https://klasma.github.io/Logging_2380/klagomålsmail/A 56647-2025 FSC-klagomål mail.docx", "A 56647-2025")</f>
        <v/>
      </c>
      <c r="X151">
        <f>HYPERLINK("https://klasma.github.io/Logging_2380/tillsyn/A 56647-2025 tillsynsbegäran.docx", "A 56647-2025")</f>
        <v/>
      </c>
      <c r="Y151">
        <f>HYPERLINK("https://klasma.github.io/Logging_2380/tillsynsmail/A 56647-2025 tillsynsbegäran mail.docx", "A 56647-2025")</f>
        <v/>
      </c>
    </row>
    <row r="152" ht="15" customHeight="1">
      <c r="A152" t="inlineStr">
        <is>
          <t>A 56648-2025</t>
        </is>
      </c>
      <c r="B152" s="1" t="n">
        <v>45975.63604166666</v>
      </c>
      <c r="C152" s="1" t="n">
        <v>45995</v>
      </c>
      <c r="D152" t="inlineStr">
        <is>
          <t>JÄMTLANDS LÄN</t>
        </is>
      </c>
      <c r="E152" t="inlineStr">
        <is>
          <t>ÖSTERSUND</t>
        </is>
      </c>
      <c r="G152" t="n">
        <v>4.3</v>
      </c>
      <c r="H152" t="n">
        <v>0</v>
      </c>
      <c r="I152" t="n">
        <v>0</v>
      </c>
      <c r="J152" t="n">
        <v>1</v>
      </c>
      <c r="K152" t="n">
        <v>0</v>
      </c>
      <c r="L152" t="n">
        <v>0</v>
      </c>
      <c r="M152" t="n">
        <v>0</v>
      </c>
      <c r="N152" t="n">
        <v>0</v>
      </c>
      <c r="O152" t="n">
        <v>1</v>
      </c>
      <c r="P152" t="n">
        <v>0</v>
      </c>
      <c r="Q152" t="n">
        <v>1</v>
      </c>
      <c r="R152" s="2" t="inlineStr">
        <is>
          <t>Granticka</t>
        </is>
      </c>
      <c r="S152">
        <f>HYPERLINK("https://klasma.github.io/Logging_2380/artfynd/A 56648-2025 artfynd.xlsx", "A 56648-2025")</f>
        <v/>
      </c>
      <c r="T152">
        <f>HYPERLINK("https://klasma.github.io/Logging_2380/kartor/A 56648-2025 karta.png", "A 56648-2025")</f>
        <v/>
      </c>
      <c r="V152">
        <f>HYPERLINK("https://klasma.github.io/Logging_2380/klagomål/A 56648-2025 FSC-klagomål.docx", "A 56648-2025")</f>
        <v/>
      </c>
      <c r="W152">
        <f>HYPERLINK("https://klasma.github.io/Logging_2380/klagomålsmail/A 56648-2025 FSC-klagomål mail.docx", "A 56648-2025")</f>
        <v/>
      </c>
      <c r="X152">
        <f>HYPERLINK("https://klasma.github.io/Logging_2380/tillsyn/A 56648-2025 tillsynsbegäran.docx", "A 56648-2025")</f>
        <v/>
      </c>
      <c r="Y152">
        <f>HYPERLINK("https://klasma.github.io/Logging_2380/tillsynsmail/A 56648-2025 tillsynsbegäran mail.docx", "A 56648-2025")</f>
        <v/>
      </c>
    </row>
    <row r="153" ht="15" customHeight="1">
      <c r="A153" t="inlineStr">
        <is>
          <t>A 58274-2025</t>
        </is>
      </c>
      <c r="B153" s="1" t="n">
        <v>45985.43086805556</v>
      </c>
      <c r="C153" s="1" t="n">
        <v>45995</v>
      </c>
      <c r="D153" t="inlineStr">
        <is>
          <t>JÄMTLANDS LÄN</t>
        </is>
      </c>
      <c r="E153" t="inlineStr">
        <is>
          <t>ÖSTERSUND</t>
        </is>
      </c>
      <c r="F153" t="inlineStr">
        <is>
          <t>Övriga Aktiebolag</t>
        </is>
      </c>
      <c r="G153" t="n">
        <v>18.7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58274-2025 artfynd.xlsx", "A 58274-2025")</f>
        <v/>
      </c>
      <c r="T153">
        <f>HYPERLINK("https://klasma.github.io/Logging_2380/kartor/A 58274-2025 karta.png", "A 58274-2025")</f>
        <v/>
      </c>
      <c r="V153">
        <f>HYPERLINK("https://klasma.github.io/Logging_2380/klagomål/A 58274-2025 FSC-klagomål.docx", "A 58274-2025")</f>
        <v/>
      </c>
      <c r="W153">
        <f>HYPERLINK("https://klasma.github.io/Logging_2380/klagomålsmail/A 58274-2025 FSC-klagomål mail.docx", "A 58274-2025")</f>
        <v/>
      </c>
      <c r="X153">
        <f>HYPERLINK("https://klasma.github.io/Logging_2380/tillsyn/A 58274-2025 tillsynsbegäran.docx", "A 58274-2025")</f>
        <v/>
      </c>
      <c r="Y153">
        <f>HYPERLINK("https://klasma.github.io/Logging_2380/tillsynsmail/A 58274-2025 tillsynsbegäran mail.docx", "A 58274-2025")</f>
        <v/>
      </c>
      <c r="Z153">
        <f>HYPERLINK("https://klasma.github.io/Logging_2380/fåglar/A 58274-2025 prioriterade fågelarter.docx", "A 58274-2025")</f>
        <v/>
      </c>
    </row>
    <row r="154" ht="15" customHeight="1">
      <c r="A154" t="inlineStr">
        <is>
          <t>A 40694-2024</t>
        </is>
      </c>
      <c r="B154" s="1" t="n">
        <v>45558</v>
      </c>
      <c r="C154" s="1" t="n">
        <v>45995</v>
      </c>
      <c r="D154" t="inlineStr">
        <is>
          <t>JÄMTLANDS LÄN</t>
        </is>
      </c>
      <c r="E154" t="inlineStr">
        <is>
          <t>ÖSTERSUND</t>
        </is>
      </c>
      <c r="F154" t="inlineStr">
        <is>
          <t>SCA</t>
        </is>
      </c>
      <c r="G154" t="n">
        <v>6.2</v>
      </c>
      <c r="H154" t="n">
        <v>0</v>
      </c>
      <c r="I154" t="n">
        <v>0</v>
      </c>
      <c r="J154" t="n">
        <v>1</v>
      </c>
      <c r="K154" t="n">
        <v>0</v>
      </c>
      <c r="L154" t="n">
        <v>0</v>
      </c>
      <c r="M154" t="n">
        <v>0</v>
      </c>
      <c r="N154" t="n">
        <v>0</v>
      </c>
      <c r="O154" t="n">
        <v>1</v>
      </c>
      <c r="P154" t="n">
        <v>0</v>
      </c>
      <c r="Q154" t="n">
        <v>1</v>
      </c>
      <c r="R154" s="2" t="inlineStr">
        <is>
          <t>Reliktbock</t>
        </is>
      </c>
      <c r="S154">
        <f>HYPERLINK("https://klasma.github.io/Logging_2380/artfynd/A 40694-2024 artfynd.xlsx", "A 40694-2024")</f>
        <v/>
      </c>
      <c r="T154">
        <f>HYPERLINK("https://klasma.github.io/Logging_2380/kartor/A 40694-2024 karta.png", "A 40694-2024")</f>
        <v/>
      </c>
      <c r="V154">
        <f>HYPERLINK("https://klasma.github.io/Logging_2380/klagomål/A 40694-2024 FSC-klagomål.docx", "A 40694-2024")</f>
        <v/>
      </c>
      <c r="W154">
        <f>HYPERLINK("https://klasma.github.io/Logging_2380/klagomålsmail/A 40694-2024 FSC-klagomål mail.docx", "A 40694-2024")</f>
        <v/>
      </c>
      <c r="X154">
        <f>HYPERLINK("https://klasma.github.io/Logging_2380/tillsyn/A 40694-2024 tillsynsbegäran.docx", "A 40694-2024")</f>
        <v/>
      </c>
      <c r="Y154">
        <f>HYPERLINK("https://klasma.github.io/Logging_2380/tillsynsmail/A 40694-2024 tillsynsbegäran mail.docx", "A 40694-2024")</f>
        <v/>
      </c>
    </row>
    <row r="155" ht="15" customHeight="1">
      <c r="A155" t="inlineStr">
        <is>
          <t>A 11513-2024</t>
        </is>
      </c>
      <c r="B155" s="1" t="n">
        <v>45372</v>
      </c>
      <c r="C155" s="1" t="n">
        <v>45995</v>
      </c>
      <c r="D155" t="inlineStr">
        <is>
          <t>JÄMTLANDS LÄN</t>
        </is>
      </c>
      <c r="E155" t="inlineStr">
        <is>
          <t>ÖSTERSUND</t>
        </is>
      </c>
      <c r="G155" t="n">
        <v>21.2</v>
      </c>
      <c r="H155" t="n">
        <v>0</v>
      </c>
      <c r="I155" t="n">
        <v>1</v>
      </c>
      <c r="J155" t="n">
        <v>0</v>
      </c>
      <c r="K155" t="n">
        <v>0</v>
      </c>
      <c r="L155" t="n">
        <v>0</v>
      </c>
      <c r="M155" t="n">
        <v>0</v>
      </c>
      <c r="N155" t="n">
        <v>0</v>
      </c>
      <c r="O155" t="n">
        <v>0</v>
      </c>
      <c r="P155" t="n">
        <v>0</v>
      </c>
      <c r="Q155" t="n">
        <v>1</v>
      </c>
      <c r="R155" s="2" t="inlineStr">
        <is>
          <t>Tibast</t>
        </is>
      </c>
      <c r="S155">
        <f>HYPERLINK("https://klasma.github.io/Logging_2380/artfynd/A 11513-2024 artfynd.xlsx", "A 11513-2024")</f>
        <v/>
      </c>
      <c r="T155">
        <f>HYPERLINK("https://klasma.github.io/Logging_2380/kartor/A 11513-2024 karta.png", "A 11513-2024")</f>
        <v/>
      </c>
      <c r="V155">
        <f>HYPERLINK("https://klasma.github.io/Logging_2380/klagomål/A 11513-2024 FSC-klagomål.docx", "A 11513-2024")</f>
        <v/>
      </c>
      <c r="W155">
        <f>HYPERLINK("https://klasma.github.io/Logging_2380/klagomålsmail/A 11513-2024 FSC-klagomål mail.docx", "A 11513-2024")</f>
        <v/>
      </c>
      <c r="X155">
        <f>HYPERLINK("https://klasma.github.io/Logging_2380/tillsyn/A 11513-2024 tillsynsbegäran.docx", "A 11513-2024")</f>
        <v/>
      </c>
      <c r="Y155">
        <f>HYPERLINK("https://klasma.github.io/Logging_2380/tillsynsmail/A 11513-2024 tillsynsbegäran mail.docx", "A 11513-2024")</f>
        <v/>
      </c>
    </row>
    <row r="156" ht="15" customHeight="1">
      <c r="A156" t="inlineStr">
        <is>
          <t>A 41770-2024</t>
        </is>
      </c>
      <c r="B156" s="1" t="n">
        <v>45561.34641203703</v>
      </c>
      <c r="C156" s="1" t="n">
        <v>45995</v>
      </c>
      <c r="D156" t="inlineStr">
        <is>
          <t>JÄMTLANDS LÄN</t>
        </is>
      </c>
      <c r="E156" t="inlineStr">
        <is>
          <t>ÖSTERSUND</t>
        </is>
      </c>
      <c r="F156" t="inlineStr">
        <is>
          <t>SCA</t>
        </is>
      </c>
      <c r="G156" t="n">
        <v>4.4</v>
      </c>
      <c r="H156" t="n">
        <v>0</v>
      </c>
      <c r="I156" t="n">
        <v>1</v>
      </c>
      <c r="J156" t="n">
        <v>0</v>
      </c>
      <c r="K156" t="n">
        <v>0</v>
      </c>
      <c r="L156" t="n">
        <v>0</v>
      </c>
      <c r="M156" t="n">
        <v>0</v>
      </c>
      <c r="N156" t="n">
        <v>0</v>
      </c>
      <c r="O156" t="n">
        <v>0</v>
      </c>
      <c r="P156" t="n">
        <v>0</v>
      </c>
      <c r="Q156" t="n">
        <v>1</v>
      </c>
      <c r="R156" s="2" t="inlineStr">
        <is>
          <t>Vedticka</t>
        </is>
      </c>
      <c r="S156">
        <f>HYPERLINK("https://klasma.github.io/Logging_2380/artfynd/A 41770-2024 artfynd.xlsx", "A 41770-2024")</f>
        <v/>
      </c>
      <c r="T156">
        <f>HYPERLINK("https://klasma.github.io/Logging_2380/kartor/A 41770-2024 karta.png", "A 41770-2024")</f>
        <v/>
      </c>
      <c r="V156">
        <f>HYPERLINK("https://klasma.github.io/Logging_2380/klagomål/A 41770-2024 FSC-klagomål.docx", "A 41770-2024")</f>
        <v/>
      </c>
      <c r="W156">
        <f>HYPERLINK("https://klasma.github.io/Logging_2380/klagomålsmail/A 41770-2024 FSC-klagomål mail.docx", "A 41770-2024")</f>
        <v/>
      </c>
      <c r="X156">
        <f>HYPERLINK("https://klasma.github.io/Logging_2380/tillsyn/A 41770-2024 tillsynsbegäran.docx", "A 41770-2024")</f>
        <v/>
      </c>
      <c r="Y156">
        <f>HYPERLINK("https://klasma.github.io/Logging_2380/tillsynsmail/A 41770-2024 tillsynsbegäran mail.docx", "A 41770-2024")</f>
        <v/>
      </c>
    </row>
    <row r="157" ht="15" customHeight="1">
      <c r="A157" t="inlineStr">
        <is>
          <t>A 33267-2022</t>
        </is>
      </c>
      <c r="B157" s="1" t="n">
        <v>44785</v>
      </c>
      <c r="C157" s="1" t="n">
        <v>45995</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33550-2025</t>
        </is>
      </c>
      <c r="B158" s="1" t="n">
        <v>45841.57331018519</v>
      </c>
      <c r="C158" s="1" t="n">
        <v>45995</v>
      </c>
      <c r="D158" t="inlineStr">
        <is>
          <t>JÄMTLANDS LÄN</t>
        </is>
      </c>
      <c r="E158" t="inlineStr">
        <is>
          <t>ÖSTERSUND</t>
        </is>
      </c>
      <c r="F158" t="inlineStr">
        <is>
          <t>SCA</t>
        </is>
      </c>
      <c r="G158" t="n">
        <v>7.3</v>
      </c>
      <c r="H158" t="n">
        <v>0</v>
      </c>
      <c r="I158" t="n">
        <v>1</v>
      </c>
      <c r="J158" t="n">
        <v>0</v>
      </c>
      <c r="K158" t="n">
        <v>0</v>
      </c>
      <c r="L158" t="n">
        <v>0</v>
      </c>
      <c r="M158" t="n">
        <v>0</v>
      </c>
      <c r="N158" t="n">
        <v>0</v>
      </c>
      <c r="O158" t="n">
        <v>0</v>
      </c>
      <c r="P158" t="n">
        <v>0</v>
      </c>
      <c r="Q158" t="n">
        <v>1</v>
      </c>
      <c r="R158" s="2" t="inlineStr">
        <is>
          <t>Dropptaggsvamp</t>
        </is>
      </c>
      <c r="S158">
        <f>HYPERLINK("https://klasma.github.io/Logging_2380/artfynd/A 33550-2025 artfynd.xlsx", "A 33550-2025")</f>
        <v/>
      </c>
      <c r="T158">
        <f>HYPERLINK("https://klasma.github.io/Logging_2380/kartor/A 33550-2025 karta.png", "A 33550-2025")</f>
        <v/>
      </c>
      <c r="V158">
        <f>HYPERLINK("https://klasma.github.io/Logging_2380/klagomål/A 33550-2025 FSC-klagomål.docx", "A 33550-2025")</f>
        <v/>
      </c>
      <c r="W158">
        <f>HYPERLINK("https://klasma.github.io/Logging_2380/klagomålsmail/A 33550-2025 FSC-klagomål mail.docx", "A 33550-2025")</f>
        <v/>
      </c>
      <c r="X158">
        <f>HYPERLINK("https://klasma.github.io/Logging_2380/tillsyn/A 33550-2025 tillsynsbegäran.docx", "A 33550-2025")</f>
        <v/>
      </c>
      <c r="Y158">
        <f>HYPERLINK("https://klasma.github.io/Logging_2380/tillsynsmail/A 33550-2025 tillsynsbegäran mail.docx", "A 33550-2025")</f>
        <v/>
      </c>
    </row>
    <row r="159" ht="15" customHeight="1">
      <c r="A159" t="inlineStr">
        <is>
          <t>A 36225-2025</t>
        </is>
      </c>
      <c r="B159" s="1" t="n">
        <v>45867.51128472222</v>
      </c>
      <c r="C159" s="1" t="n">
        <v>45995</v>
      </c>
      <c r="D159" t="inlineStr">
        <is>
          <t>JÄMTLANDS LÄN</t>
        </is>
      </c>
      <c r="E159" t="inlineStr">
        <is>
          <t>ÖSTERSUND</t>
        </is>
      </c>
      <c r="F159" t="inlineStr">
        <is>
          <t>SCA</t>
        </is>
      </c>
      <c r="G159" t="n">
        <v>1.8</v>
      </c>
      <c r="H159" t="n">
        <v>0</v>
      </c>
      <c r="I159" t="n">
        <v>0</v>
      </c>
      <c r="J159" t="n">
        <v>1</v>
      </c>
      <c r="K159" t="n">
        <v>0</v>
      </c>
      <c r="L159" t="n">
        <v>0</v>
      </c>
      <c r="M159" t="n">
        <v>0</v>
      </c>
      <c r="N159" t="n">
        <v>0</v>
      </c>
      <c r="O159" t="n">
        <v>1</v>
      </c>
      <c r="P159" t="n">
        <v>0</v>
      </c>
      <c r="Q159" t="n">
        <v>1</v>
      </c>
      <c r="R159" s="2" t="inlineStr">
        <is>
          <t>Kolflarnlav</t>
        </is>
      </c>
      <c r="S159">
        <f>HYPERLINK("https://klasma.github.io/Logging_2380/artfynd/A 36225-2025 artfynd.xlsx", "A 36225-2025")</f>
        <v/>
      </c>
      <c r="T159">
        <f>HYPERLINK("https://klasma.github.io/Logging_2380/kartor/A 36225-2025 karta.png", "A 36225-2025")</f>
        <v/>
      </c>
      <c r="V159">
        <f>HYPERLINK("https://klasma.github.io/Logging_2380/klagomål/A 36225-2025 FSC-klagomål.docx", "A 36225-2025")</f>
        <v/>
      </c>
      <c r="W159">
        <f>HYPERLINK("https://klasma.github.io/Logging_2380/klagomålsmail/A 36225-2025 FSC-klagomål mail.docx", "A 36225-2025")</f>
        <v/>
      </c>
      <c r="X159">
        <f>HYPERLINK("https://klasma.github.io/Logging_2380/tillsyn/A 36225-2025 tillsynsbegäran.docx", "A 36225-2025")</f>
        <v/>
      </c>
      <c r="Y159">
        <f>HYPERLINK("https://klasma.github.io/Logging_2380/tillsynsmail/A 36225-2025 tillsynsbegäran mail.docx", "A 36225-2025")</f>
        <v/>
      </c>
    </row>
    <row r="160" ht="15" customHeight="1">
      <c r="A160" t="inlineStr">
        <is>
          <t>A 24368-2025</t>
        </is>
      </c>
      <c r="B160" s="1" t="n">
        <v>45797.60623842593</v>
      </c>
      <c r="C160" s="1" t="n">
        <v>45995</v>
      </c>
      <c r="D160" t="inlineStr">
        <is>
          <t>JÄMTLANDS LÄN</t>
        </is>
      </c>
      <c r="E160" t="inlineStr">
        <is>
          <t>ÖSTERSUND</t>
        </is>
      </c>
      <c r="G160" t="n">
        <v>2.9</v>
      </c>
      <c r="H160" t="n">
        <v>0</v>
      </c>
      <c r="I160" t="n">
        <v>0</v>
      </c>
      <c r="J160" t="n">
        <v>0</v>
      </c>
      <c r="K160" t="n">
        <v>1</v>
      </c>
      <c r="L160" t="n">
        <v>0</v>
      </c>
      <c r="M160" t="n">
        <v>0</v>
      </c>
      <c r="N160" t="n">
        <v>0</v>
      </c>
      <c r="O160" t="n">
        <v>1</v>
      </c>
      <c r="P160" t="n">
        <v>1</v>
      </c>
      <c r="Q160" t="n">
        <v>1</v>
      </c>
      <c r="R160" s="2" t="inlineStr">
        <is>
          <t>Fjällfotad fingersvamp</t>
        </is>
      </c>
      <c r="S160">
        <f>HYPERLINK("https://klasma.github.io/Logging_2380/artfynd/A 24368-2025 artfynd.xlsx", "A 24368-2025")</f>
        <v/>
      </c>
      <c r="T160">
        <f>HYPERLINK("https://klasma.github.io/Logging_2380/kartor/A 24368-2025 karta.png", "A 24368-2025")</f>
        <v/>
      </c>
      <c r="V160">
        <f>HYPERLINK("https://klasma.github.io/Logging_2380/klagomål/A 24368-2025 FSC-klagomål.docx", "A 24368-2025")</f>
        <v/>
      </c>
      <c r="W160">
        <f>HYPERLINK("https://klasma.github.io/Logging_2380/klagomålsmail/A 24368-2025 FSC-klagomål mail.docx", "A 24368-2025")</f>
        <v/>
      </c>
      <c r="X160">
        <f>HYPERLINK("https://klasma.github.io/Logging_2380/tillsyn/A 24368-2025 tillsynsbegäran.docx", "A 24368-2025")</f>
        <v/>
      </c>
      <c r="Y160">
        <f>HYPERLINK("https://klasma.github.io/Logging_2380/tillsynsmail/A 24368-2025 tillsynsbegäran mail.docx", "A 24368-2025")</f>
        <v/>
      </c>
    </row>
    <row r="161" ht="15" customHeight="1">
      <c r="A161" t="inlineStr">
        <is>
          <t>A 20620-2021</t>
        </is>
      </c>
      <c r="B161" s="1" t="n">
        <v>44316</v>
      </c>
      <c r="C161" s="1" t="n">
        <v>45995</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66288-2020</t>
        </is>
      </c>
      <c r="B162" s="1" t="n">
        <v>44174</v>
      </c>
      <c r="C162" s="1" t="n">
        <v>45995</v>
      </c>
      <c r="D162" t="inlineStr">
        <is>
          <t>JÄMTLANDS LÄN</t>
        </is>
      </c>
      <c r="E162" t="inlineStr">
        <is>
          <t>ÖSTERSUND</t>
        </is>
      </c>
      <c r="F162" t="inlineStr">
        <is>
          <t>Övriga statliga verk och myndigheter</t>
        </is>
      </c>
      <c r="G162" t="n">
        <v>1.2</v>
      </c>
      <c r="H162" t="n">
        <v>0</v>
      </c>
      <c r="I162" t="n">
        <v>0</v>
      </c>
      <c r="J162" t="n">
        <v>0</v>
      </c>
      <c r="K162" t="n">
        <v>0</v>
      </c>
      <c r="L162" t="n">
        <v>0</v>
      </c>
      <c r="M162" t="n">
        <v>0</v>
      </c>
      <c r="N162" t="n">
        <v>0</v>
      </c>
      <c r="O162" t="n">
        <v>0</v>
      </c>
      <c r="P162" t="n">
        <v>0</v>
      </c>
      <c r="Q162" t="n">
        <v>0</v>
      </c>
      <c r="R162" s="2" t="inlineStr"/>
    </row>
    <row r="163" ht="15" customHeight="1">
      <c r="A163" t="inlineStr">
        <is>
          <t>A 43310-2021</t>
        </is>
      </c>
      <c r="B163" s="1" t="n">
        <v>44432</v>
      </c>
      <c r="C163" s="1" t="n">
        <v>45995</v>
      </c>
      <c r="D163" t="inlineStr">
        <is>
          <t>JÄMTLANDS LÄN</t>
        </is>
      </c>
      <c r="E163" t="inlineStr">
        <is>
          <t>ÖSTERSUND</t>
        </is>
      </c>
      <c r="F163" t="inlineStr">
        <is>
          <t>Sveaskog</t>
        </is>
      </c>
      <c r="G163" t="n">
        <v>2.1</v>
      </c>
      <c r="H163" t="n">
        <v>0</v>
      </c>
      <c r="I163" t="n">
        <v>0</v>
      </c>
      <c r="J163" t="n">
        <v>0</v>
      </c>
      <c r="K163" t="n">
        <v>0</v>
      </c>
      <c r="L163" t="n">
        <v>0</v>
      </c>
      <c r="M163" t="n">
        <v>0</v>
      </c>
      <c r="N163" t="n">
        <v>0</v>
      </c>
      <c r="O163" t="n">
        <v>0</v>
      </c>
      <c r="P163" t="n">
        <v>0</v>
      </c>
      <c r="Q163" t="n">
        <v>0</v>
      </c>
      <c r="R163" s="2" t="inlineStr"/>
    </row>
    <row r="164" ht="15" customHeight="1">
      <c r="A164" t="inlineStr">
        <is>
          <t>A 501-2021</t>
        </is>
      </c>
      <c r="B164" s="1" t="n">
        <v>44200</v>
      </c>
      <c r="C164" s="1" t="n">
        <v>45995</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23187-2021</t>
        </is>
      </c>
      <c r="B165" s="1" t="n">
        <v>44328</v>
      </c>
      <c r="C165" s="1" t="n">
        <v>45995</v>
      </c>
      <c r="D165" t="inlineStr">
        <is>
          <t>JÄMTLANDS LÄN</t>
        </is>
      </c>
      <c r="E165" t="inlineStr">
        <is>
          <t>ÖSTERSUND</t>
        </is>
      </c>
      <c r="G165" t="n">
        <v>1.8</v>
      </c>
      <c r="H165" t="n">
        <v>0</v>
      </c>
      <c r="I165" t="n">
        <v>0</v>
      </c>
      <c r="J165" t="n">
        <v>0</v>
      </c>
      <c r="K165" t="n">
        <v>0</v>
      </c>
      <c r="L165" t="n">
        <v>0</v>
      </c>
      <c r="M165" t="n">
        <v>0</v>
      </c>
      <c r="N165" t="n">
        <v>0</v>
      </c>
      <c r="O165" t="n">
        <v>0</v>
      </c>
      <c r="P165" t="n">
        <v>0</v>
      </c>
      <c r="Q165" t="n">
        <v>0</v>
      </c>
      <c r="R165" s="2" t="inlineStr"/>
    </row>
    <row r="166" ht="15" customHeight="1">
      <c r="A166" t="inlineStr">
        <is>
          <t>A 53453-2022</t>
        </is>
      </c>
      <c r="B166" s="1" t="n">
        <v>44879.49488425926</v>
      </c>
      <c r="C166" s="1" t="n">
        <v>45995</v>
      </c>
      <c r="D166" t="inlineStr">
        <is>
          <t>JÄMTLANDS LÄN</t>
        </is>
      </c>
      <c r="E166" t="inlineStr">
        <is>
          <t>ÖSTERSUND</t>
        </is>
      </c>
      <c r="G166" t="n">
        <v>22.2</v>
      </c>
      <c r="H166" t="n">
        <v>0</v>
      </c>
      <c r="I166" t="n">
        <v>0</v>
      </c>
      <c r="J166" t="n">
        <v>0</v>
      </c>
      <c r="K166" t="n">
        <v>0</v>
      </c>
      <c r="L166" t="n">
        <v>0</v>
      </c>
      <c r="M166" t="n">
        <v>0</v>
      </c>
      <c r="N166" t="n">
        <v>0</v>
      </c>
      <c r="O166" t="n">
        <v>0</v>
      </c>
      <c r="P166" t="n">
        <v>0</v>
      </c>
      <c r="Q166" t="n">
        <v>0</v>
      </c>
      <c r="R166" s="2" t="inlineStr"/>
    </row>
    <row r="167" ht="15" customHeight="1">
      <c r="A167" t="inlineStr">
        <is>
          <t>A 8396-2021</t>
        </is>
      </c>
      <c r="B167" s="1" t="n">
        <v>44238</v>
      </c>
      <c r="C167" s="1" t="n">
        <v>45995</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64092-2021</t>
        </is>
      </c>
      <c r="B168" s="1" t="n">
        <v>44510.44064814815</v>
      </c>
      <c r="C168" s="1" t="n">
        <v>45995</v>
      </c>
      <c r="D168" t="inlineStr">
        <is>
          <t>JÄMTLANDS LÄN</t>
        </is>
      </c>
      <c r="E168" t="inlineStr">
        <is>
          <t>ÖSTERSUND</t>
        </is>
      </c>
      <c r="G168" t="n">
        <v>5.6</v>
      </c>
      <c r="H168" t="n">
        <v>0</v>
      </c>
      <c r="I168" t="n">
        <v>0</v>
      </c>
      <c r="J168" t="n">
        <v>0</v>
      </c>
      <c r="K168" t="n">
        <v>0</v>
      </c>
      <c r="L168" t="n">
        <v>0</v>
      </c>
      <c r="M168" t="n">
        <v>0</v>
      </c>
      <c r="N168" t="n">
        <v>0</v>
      </c>
      <c r="O168" t="n">
        <v>0</v>
      </c>
      <c r="P168" t="n">
        <v>0</v>
      </c>
      <c r="Q168" t="n">
        <v>0</v>
      </c>
      <c r="R168" s="2" t="inlineStr"/>
    </row>
    <row r="169" ht="15" customHeight="1">
      <c r="A169" t="inlineStr">
        <is>
          <t>A 40038-2021</t>
        </is>
      </c>
      <c r="B169" s="1" t="n">
        <v>44418.45925925926</v>
      </c>
      <c r="C169" s="1" t="n">
        <v>45995</v>
      </c>
      <c r="D169" t="inlineStr">
        <is>
          <t>JÄMTLANDS LÄN</t>
        </is>
      </c>
      <c r="E169" t="inlineStr">
        <is>
          <t>ÖSTERSUND</t>
        </is>
      </c>
      <c r="G169" t="n">
        <v>7</v>
      </c>
      <c r="H169" t="n">
        <v>0</v>
      </c>
      <c r="I169" t="n">
        <v>0</v>
      </c>
      <c r="J169" t="n">
        <v>0</v>
      </c>
      <c r="K169" t="n">
        <v>0</v>
      </c>
      <c r="L169" t="n">
        <v>0</v>
      </c>
      <c r="M169" t="n">
        <v>0</v>
      </c>
      <c r="N169" t="n">
        <v>0</v>
      </c>
      <c r="O169" t="n">
        <v>0</v>
      </c>
      <c r="P169" t="n">
        <v>0</v>
      </c>
      <c r="Q169" t="n">
        <v>0</v>
      </c>
      <c r="R169" s="2" t="inlineStr"/>
    </row>
    <row r="170" ht="15" customHeight="1">
      <c r="A170" t="inlineStr">
        <is>
          <t>A 67695-2021</t>
        </is>
      </c>
      <c r="B170" s="1" t="n">
        <v>44524.94607638889</v>
      </c>
      <c r="C170" s="1" t="n">
        <v>45995</v>
      </c>
      <c r="D170" t="inlineStr">
        <is>
          <t>JÄMTLANDS LÄN</t>
        </is>
      </c>
      <c r="E170" t="inlineStr">
        <is>
          <t>ÖSTERSUND</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32986-2021</t>
        </is>
      </c>
      <c r="B171" s="1" t="n">
        <v>44375</v>
      </c>
      <c r="C171" s="1" t="n">
        <v>45995</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29707-2021</t>
        </is>
      </c>
      <c r="B172" s="1" t="n">
        <v>44362</v>
      </c>
      <c r="C172" s="1" t="n">
        <v>45995</v>
      </c>
      <c r="D172" t="inlineStr">
        <is>
          <t>JÄMTLANDS LÄN</t>
        </is>
      </c>
      <c r="E172" t="inlineStr">
        <is>
          <t>ÖSTERSUND</t>
        </is>
      </c>
      <c r="G172" t="n">
        <v>4</v>
      </c>
      <c r="H172" t="n">
        <v>0</v>
      </c>
      <c r="I172" t="n">
        <v>0</v>
      </c>
      <c r="J172" t="n">
        <v>0</v>
      </c>
      <c r="K172" t="n">
        <v>0</v>
      </c>
      <c r="L172" t="n">
        <v>0</v>
      </c>
      <c r="M172" t="n">
        <v>0</v>
      </c>
      <c r="N172" t="n">
        <v>0</v>
      </c>
      <c r="O172" t="n">
        <v>0</v>
      </c>
      <c r="P172" t="n">
        <v>0</v>
      </c>
      <c r="Q172" t="n">
        <v>0</v>
      </c>
      <c r="R172" s="2" t="inlineStr"/>
    </row>
    <row r="173" ht="15" customHeight="1">
      <c r="A173" t="inlineStr">
        <is>
          <t>A 43951-2022</t>
        </is>
      </c>
      <c r="B173" s="1" t="n">
        <v>44838</v>
      </c>
      <c r="C173" s="1" t="n">
        <v>45995</v>
      </c>
      <c r="D173" t="inlineStr">
        <is>
          <t>JÄMTLANDS LÄN</t>
        </is>
      </c>
      <c r="E173" t="inlineStr">
        <is>
          <t>ÖSTERSUND</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67646-2020</t>
        </is>
      </c>
      <c r="B174" s="1" t="n">
        <v>44180</v>
      </c>
      <c r="C174" s="1" t="n">
        <v>45995</v>
      </c>
      <c r="D174" t="inlineStr">
        <is>
          <t>JÄMTLANDS LÄN</t>
        </is>
      </c>
      <c r="E174" t="inlineStr">
        <is>
          <t>ÖSTERSUND</t>
        </is>
      </c>
      <c r="G174" t="n">
        <v>1.9</v>
      </c>
      <c r="H174" t="n">
        <v>0</v>
      </c>
      <c r="I174" t="n">
        <v>0</v>
      </c>
      <c r="J174" t="n">
        <v>0</v>
      </c>
      <c r="K174" t="n">
        <v>0</v>
      </c>
      <c r="L174" t="n">
        <v>0</v>
      </c>
      <c r="M174" t="n">
        <v>0</v>
      </c>
      <c r="N174" t="n">
        <v>0</v>
      </c>
      <c r="O174" t="n">
        <v>0</v>
      </c>
      <c r="P174" t="n">
        <v>0</v>
      </c>
      <c r="Q174" t="n">
        <v>0</v>
      </c>
      <c r="R174" s="2" t="inlineStr"/>
    </row>
    <row r="175" ht="15" customHeight="1">
      <c r="A175" t="inlineStr">
        <is>
          <t>A 72089-2021</t>
        </is>
      </c>
      <c r="B175" s="1" t="n">
        <v>44540</v>
      </c>
      <c r="C175" s="1" t="n">
        <v>45995</v>
      </c>
      <c r="D175" t="inlineStr">
        <is>
          <t>JÄMTLANDS LÄN</t>
        </is>
      </c>
      <c r="E175" t="inlineStr">
        <is>
          <t>ÖSTERSUND</t>
        </is>
      </c>
      <c r="G175" t="n">
        <v>0.9</v>
      </c>
      <c r="H175" t="n">
        <v>0</v>
      </c>
      <c r="I175" t="n">
        <v>0</v>
      </c>
      <c r="J175" t="n">
        <v>0</v>
      </c>
      <c r="K175" t="n">
        <v>0</v>
      </c>
      <c r="L175" t="n">
        <v>0</v>
      </c>
      <c r="M175" t="n">
        <v>0</v>
      </c>
      <c r="N175" t="n">
        <v>0</v>
      </c>
      <c r="O175" t="n">
        <v>0</v>
      </c>
      <c r="P175" t="n">
        <v>0</v>
      </c>
      <c r="Q175" t="n">
        <v>0</v>
      </c>
      <c r="R175" s="2" t="inlineStr"/>
    </row>
    <row r="176" ht="15" customHeight="1">
      <c r="A176" t="inlineStr">
        <is>
          <t>A 33808-2022</t>
        </is>
      </c>
      <c r="B176" s="1" t="n">
        <v>44790</v>
      </c>
      <c r="C176" s="1" t="n">
        <v>45995</v>
      </c>
      <c r="D176" t="inlineStr">
        <is>
          <t>JÄMTLANDS LÄN</t>
        </is>
      </c>
      <c r="E176" t="inlineStr">
        <is>
          <t>ÖSTERSUND</t>
        </is>
      </c>
      <c r="G176" t="n">
        <v>4.1</v>
      </c>
      <c r="H176" t="n">
        <v>0</v>
      </c>
      <c r="I176" t="n">
        <v>0</v>
      </c>
      <c r="J176" t="n">
        <v>0</v>
      </c>
      <c r="K176" t="n">
        <v>0</v>
      </c>
      <c r="L176" t="n">
        <v>0</v>
      </c>
      <c r="M176" t="n">
        <v>0</v>
      </c>
      <c r="N176" t="n">
        <v>0</v>
      </c>
      <c r="O176" t="n">
        <v>0</v>
      </c>
      <c r="P176" t="n">
        <v>0</v>
      </c>
      <c r="Q176" t="n">
        <v>0</v>
      </c>
      <c r="R176" s="2" t="inlineStr"/>
    </row>
    <row r="177" ht="15" customHeight="1">
      <c r="A177" t="inlineStr">
        <is>
          <t>A 8647-2022</t>
        </is>
      </c>
      <c r="B177" s="1" t="n">
        <v>44613</v>
      </c>
      <c r="C177" s="1" t="n">
        <v>45995</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66286-2020</t>
        </is>
      </c>
      <c r="B178" s="1" t="n">
        <v>44174</v>
      </c>
      <c r="C178" s="1" t="n">
        <v>45995</v>
      </c>
      <c r="D178" t="inlineStr">
        <is>
          <t>JÄMTLANDS LÄN</t>
        </is>
      </c>
      <c r="E178" t="inlineStr">
        <is>
          <t>ÖSTERSUND</t>
        </is>
      </c>
      <c r="F178" t="inlineStr">
        <is>
          <t>Övriga statliga verk och myndigheter</t>
        </is>
      </c>
      <c r="G178" t="n">
        <v>1.1</v>
      </c>
      <c r="H178" t="n">
        <v>0</v>
      </c>
      <c r="I178" t="n">
        <v>0</v>
      </c>
      <c r="J178" t="n">
        <v>0</v>
      </c>
      <c r="K178" t="n">
        <v>0</v>
      </c>
      <c r="L178" t="n">
        <v>0</v>
      </c>
      <c r="M178" t="n">
        <v>0</v>
      </c>
      <c r="N178" t="n">
        <v>0</v>
      </c>
      <c r="O178" t="n">
        <v>0</v>
      </c>
      <c r="P178" t="n">
        <v>0</v>
      </c>
      <c r="Q178" t="n">
        <v>0</v>
      </c>
      <c r="R178" s="2" t="inlineStr"/>
    </row>
    <row r="179" ht="15" customHeight="1">
      <c r="A179" t="inlineStr">
        <is>
          <t>A 126-2021</t>
        </is>
      </c>
      <c r="B179" s="1" t="n">
        <v>44200</v>
      </c>
      <c r="C179" s="1" t="n">
        <v>45995</v>
      </c>
      <c r="D179" t="inlineStr">
        <is>
          <t>JÄMTLANDS LÄN</t>
        </is>
      </c>
      <c r="E179" t="inlineStr">
        <is>
          <t>ÖSTERSUND</t>
        </is>
      </c>
      <c r="G179" t="n">
        <v>1.6</v>
      </c>
      <c r="H179" t="n">
        <v>0</v>
      </c>
      <c r="I179" t="n">
        <v>0</v>
      </c>
      <c r="J179" t="n">
        <v>0</v>
      </c>
      <c r="K179" t="n">
        <v>0</v>
      </c>
      <c r="L179" t="n">
        <v>0</v>
      </c>
      <c r="M179" t="n">
        <v>0</v>
      </c>
      <c r="N179" t="n">
        <v>0</v>
      </c>
      <c r="O179" t="n">
        <v>0</v>
      </c>
      <c r="P179" t="n">
        <v>0</v>
      </c>
      <c r="Q179" t="n">
        <v>0</v>
      </c>
      <c r="R179" s="2" t="inlineStr"/>
    </row>
    <row r="180" ht="15" customHeight="1">
      <c r="A180" t="inlineStr">
        <is>
          <t>A 19541-2021</t>
        </is>
      </c>
      <c r="B180" s="1" t="n">
        <v>44312.41724537037</v>
      </c>
      <c r="C180" s="1" t="n">
        <v>45995</v>
      </c>
      <c r="D180" t="inlineStr">
        <is>
          <t>JÄMTLANDS LÄN</t>
        </is>
      </c>
      <c r="E180" t="inlineStr">
        <is>
          <t>ÖSTERSUND</t>
        </is>
      </c>
      <c r="G180" t="n">
        <v>0.7</v>
      </c>
      <c r="H180" t="n">
        <v>0</v>
      </c>
      <c r="I180" t="n">
        <v>0</v>
      </c>
      <c r="J180" t="n">
        <v>0</v>
      </c>
      <c r="K180" t="n">
        <v>0</v>
      </c>
      <c r="L180" t="n">
        <v>0</v>
      </c>
      <c r="M180" t="n">
        <v>0</v>
      </c>
      <c r="N180" t="n">
        <v>0</v>
      </c>
      <c r="O180" t="n">
        <v>0</v>
      </c>
      <c r="P180" t="n">
        <v>0</v>
      </c>
      <c r="Q180" t="n">
        <v>0</v>
      </c>
      <c r="R180" s="2" t="inlineStr"/>
    </row>
    <row r="181" ht="15" customHeight="1">
      <c r="A181" t="inlineStr">
        <is>
          <t>A 2880-2022</t>
        </is>
      </c>
      <c r="B181" s="1" t="n">
        <v>44581</v>
      </c>
      <c r="C181" s="1" t="n">
        <v>45995</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10834-2021</t>
        </is>
      </c>
      <c r="B182" s="1" t="n">
        <v>44259</v>
      </c>
      <c r="C182" s="1" t="n">
        <v>45995</v>
      </c>
      <c r="D182" t="inlineStr">
        <is>
          <t>JÄMTLANDS LÄN</t>
        </is>
      </c>
      <c r="E182" t="inlineStr">
        <is>
          <t>ÖSTERSUND</t>
        </is>
      </c>
      <c r="G182" t="n">
        <v>12.2</v>
      </c>
      <c r="H182" t="n">
        <v>0</v>
      </c>
      <c r="I182" t="n">
        <v>0</v>
      </c>
      <c r="J182" t="n">
        <v>0</v>
      </c>
      <c r="K182" t="n">
        <v>0</v>
      </c>
      <c r="L182" t="n">
        <v>0</v>
      </c>
      <c r="M182" t="n">
        <v>0</v>
      </c>
      <c r="N182" t="n">
        <v>0</v>
      </c>
      <c r="O182" t="n">
        <v>0</v>
      </c>
      <c r="P182" t="n">
        <v>0</v>
      </c>
      <c r="Q182" t="n">
        <v>0</v>
      </c>
      <c r="R182" s="2" t="inlineStr"/>
    </row>
    <row r="183" ht="15" customHeight="1">
      <c r="A183" t="inlineStr">
        <is>
          <t>A 47295-2022</t>
        </is>
      </c>
      <c r="B183" s="1" t="n">
        <v>44852</v>
      </c>
      <c r="C183" s="1" t="n">
        <v>45995</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67400-2020</t>
        </is>
      </c>
      <c r="B184" s="1" t="n">
        <v>44181</v>
      </c>
      <c r="C184" s="1" t="n">
        <v>45995</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154-2022</t>
        </is>
      </c>
      <c r="B185" s="1" t="n">
        <v>44561</v>
      </c>
      <c r="C185" s="1" t="n">
        <v>45995</v>
      </c>
      <c r="D185" t="inlineStr">
        <is>
          <t>JÄMTLANDS LÄN</t>
        </is>
      </c>
      <c r="E185" t="inlineStr">
        <is>
          <t>ÖSTERSUND</t>
        </is>
      </c>
      <c r="G185" t="n">
        <v>4.2</v>
      </c>
      <c r="H185" t="n">
        <v>0</v>
      </c>
      <c r="I185" t="n">
        <v>0</v>
      </c>
      <c r="J185" t="n">
        <v>0</v>
      </c>
      <c r="K185" t="n">
        <v>0</v>
      </c>
      <c r="L185" t="n">
        <v>0</v>
      </c>
      <c r="M185" t="n">
        <v>0</v>
      </c>
      <c r="N185" t="n">
        <v>0</v>
      </c>
      <c r="O185" t="n">
        <v>0</v>
      </c>
      <c r="P185" t="n">
        <v>0</v>
      </c>
      <c r="Q185" t="n">
        <v>0</v>
      </c>
      <c r="R185" s="2" t="inlineStr"/>
    </row>
    <row r="186" ht="15" customHeight="1">
      <c r="A186" t="inlineStr">
        <is>
          <t>A 14155-2021</t>
        </is>
      </c>
      <c r="B186" s="1" t="n">
        <v>44278.42459490741</v>
      </c>
      <c r="C186" s="1" t="n">
        <v>45995</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35032-2021</t>
        </is>
      </c>
      <c r="B187" s="1" t="n">
        <v>44383.85295138889</v>
      </c>
      <c r="C187" s="1" t="n">
        <v>45995</v>
      </c>
      <c r="D187" t="inlineStr">
        <is>
          <t>JÄMTLANDS LÄN</t>
        </is>
      </c>
      <c r="E187" t="inlineStr">
        <is>
          <t>ÖSTERSUND</t>
        </is>
      </c>
      <c r="G187" t="n">
        <v>0.9</v>
      </c>
      <c r="H187" t="n">
        <v>0</v>
      </c>
      <c r="I187" t="n">
        <v>0</v>
      </c>
      <c r="J187" t="n">
        <v>0</v>
      </c>
      <c r="K187" t="n">
        <v>0</v>
      </c>
      <c r="L187" t="n">
        <v>0</v>
      </c>
      <c r="M187" t="n">
        <v>0</v>
      </c>
      <c r="N187" t="n">
        <v>0</v>
      </c>
      <c r="O187" t="n">
        <v>0</v>
      </c>
      <c r="P187" t="n">
        <v>0</v>
      </c>
      <c r="Q187" t="n">
        <v>0</v>
      </c>
      <c r="R187" s="2" t="inlineStr"/>
    </row>
    <row r="188" ht="15" customHeight="1">
      <c r="A188" t="inlineStr">
        <is>
          <t>A 26254-2021</t>
        </is>
      </c>
      <c r="B188" s="1" t="n">
        <v>44347</v>
      </c>
      <c r="C188" s="1" t="n">
        <v>45995</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46002-2021</t>
        </is>
      </c>
      <c r="B189" s="1" t="n">
        <v>44441.80453703704</v>
      </c>
      <c r="C189" s="1" t="n">
        <v>45995</v>
      </c>
      <c r="D189" t="inlineStr">
        <is>
          <t>JÄMTLANDS LÄN</t>
        </is>
      </c>
      <c r="E189" t="inlineStr">
        <is>
          <t>ÖSTERSUND</t>
        </is>
      </c>
      <c r="G189" t="n">
        <v>3.6</v>
      </c>
      <c r="H189" t="n">
        <v>0</v>
      </c>
      <c r="I189" t="n">
        <v>0</v>
      </c>
      <c r="J189" t="n">
        <v>0</v>
      </c>
      <c r="K189" t="n">
        <v>0</v>
      </c>
      <c r="L189" t="n">
        <v>0</v>
      </c>
      <c r="M189" t="n">
        <v>0</v>
      </c>
      <c r="N189" t="n">
        <v>0</v>
      </c>
      <c r="O189" t="n">
        <v>0</v>
      </c>
      <c r="P189" t="n">
        <v>0</v>
      </c>
      <c r="Q189" t="n">
        <v>0</v>
      </c>
      <c r="R189" s="2" t="inlineStr"/>
    </row>
    <row r="190" ht="15" customHeight="1">
      <c r="A190" t="inlineStr">
        <is>
          <t>A 24706-2021</t>
        </is>
      </c>
      <c r="B190" s="1" t="n">
        <v>44340</v>
      </c>
      <c r="C190" s="1" t="n">
        <v>45995</v>
      </c>
      <c r="D190" t="inlineStr">
        <is>
          <t>JÄMTLANDS LÄN</t>
        </is>
      </c>
      <c r="E190" t="inlineStr">
        <is>
          <t>ÖSTERSUND</t>
        </is>
      </c>
      <c r="G190" t="n">
        <v>5.6</v>
      </c>
      <c r="H190" t="n">
        <v>0</v>
      </c>
      <c r="I190" t="n">
        <v>0</v>
      </c>
      <c r="J190" t="n">
        <v>0</v>
      </c>
      <c r="K190" t="n">
        <v>0</v>
      </c>
      <c r="L190" t="n">
        <v>0</v>
      </c>
      <c r="M190" t="n">
        <v>0</v>
      </c>
      <c r="N190" t="n">
        <v>0</v>
      </c>
      <c r="O190" t="n">
        <v>0</v>
      </c>
      <c r="P190" t="n">
        <v>0</v>
      </c>
      <c r="Q190" t="n">
        <v>0</v>
      </c>
      <c r="R190" s="2" t="inlineStr"/>
    </row>
    <row r="191" ht="15" customHeight="1">
      <c r="A191" t="inlineStr">
        <is>
          <t>A 48947-2021</t>
        </is>
      </c>
      <c r="B191" s="1" t="n">
        <v>44453</v>
      </c>
      <c r="C191" s="1" t="n">
        <v>45995</v>
      </c>
      <c r="D191" t="inlineStr">
        <is>
          <t>JÄMTLANDS LÄN</t>
        </is>
      </c>
      <c r="E191" t="inlineStr">
        <is>
          <t>ÖSTERSUND</t>
        </is>
      </c>
      <c r="G191" t="n">
        <v>22.3</v>
      </c>
      <c r="H191" t="n">
        <v>0</v>
      </c>
      <c r="I191" t="n">
        <v>0</v>
      </c>
      <c r="J191" t="n">
        <v>0</v>
      </c>
      <c r="K191" t="n">
        <v>0</v>
      </c>
      <c r="L191" t="n">
        <v>0</v>
      </c>
      <c r="M191" t="n">
        <v>0</v>
      </c>
      <c r="N191" t="n">
        <v>0</v>
      </c>
      <c r="O191" t="n">
        <v>0</v>
      </c>
      <c r="P191" t="n">
        <v>0</v>
      </c>
      <c r="Q191" t="n">
        <v>0</v>
      </c>
      <c r="R191" s="2" t="inlineStr"/>
    </row>
    <row r="192" ht="15" customHeight="1">
      <c r="A192" t="inlineStr">
        <is>
          <t>A 27061-2021</t>
        </is>
      </c>
      <c r="B192" s="1" t="n">
        <v>44349</v>
      </c>
      <c r="C192" s="1" t="n">
        <v>45995</v>
      </c>
      <c r="D192" t="inlineStr">
        <is>
          <t>JÄMTLANDS LÄN</t>
        </is>
      </c>
      <c r="E192" t="inlineStr">
        <is>
          <t>ÖSTERSUND</t>
        </is>
      </c>
      <c r="G192" t="n">
        <v>3.2</v>
      </c>
      <c r="H192" t="n">
        <v>0</v>
      </c>
      <c r="I192" t="n">
        <v>0</v>
      </c>
      <c r="J192" t="n">
        <v>0</v>
      </c>
      <c r="K192" t="n">
        <v>0</v>
      </c>
      <c r="L192" t="n">
        <v>0</v>
      </c>
      <c r="M192" t="n">
        <v>0</v>
      </c>
      <c r="N192" t="n">
        <v>0</v>
      </c>
      <c r="O192" t="n">
        <v>0</v>
      </c>
      <c r="P192" t="n">
        <v>0</v>
      </c>
      <c r="Q192" t="n">
        <v>0</v>
      </c>
      <c r="R192" s="2" t="inlineStr"/>
    </row>
    <row r="193" ht="15" customHeight="1">
      <c r="A193" t="inlineStr">
        <is>
          <t>A 17362-2021</t>
        </is>
      </c>
      <c r="B193" s="1" t="n">
        <v>44298</v>
      </c>
      <c r="C193" s="1" t="n">
        <v>45995</v>
      </c>
      <c r="D193" t="inlineStr">
        <is>
          <t>JÄMTLANDS LÄN</t>
        </is>
      </c>
      <c r="E193" t="inlineStr">
        <is>
          <t>ÖSTERSUND</t>
        </is>
      </c>
      <c r="G193" t="n">
        <v>3.7</v>
      </c>
      <c r="H193" t="n">
        <v>0</v>
      </c>
      <c r="I193" t="n">
        <v>0</v>
      </c>
      <c r="J193" t="n">
        <v>0</v>
      </c>
      <c r="K193" t="n">
        <v>0</v>
      </c>
      <c r="L193" t="n">
        <v>0</v>
      </c>
      <c r="M193" t="n">
        <v>0</v>
      </c>
      <c r="N193" t="n">
        <v>0</v>
      </c>
      <c r="O193" t="n">
        <v>0</v>
      </c>
      <c r="P193" t="n">
        <v>0</v>
      </c>
      <c r="Q193" t="n">
        <v>0</v>
      </c>
      <c r="R193" s="2" t="inlineStr"/>
    </row>
    <row r="194" ht="15" customHeight="1">
      <c r="A194" t="inlineStr">
        <is>
          <t>A 26259-2021</t>
        </is>
      </c>
      <c r="B194" s="1" t="n">
        <v>44347</v>
      </c>
      <c r="C194" s="1" t="n">
        <v>45995</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695-2022</t>
        </is>
      </c>
      <c r="B195" s="1" t="n">
        <v>44566</v>
      </c>
      <c r="C195" s="1" t="n">
        <v>45995</v>
      </c>
      <c r="D195" t="inlineStr">
        <is>
          <t>JÄMTLANDS LÄN</t>
        </is>
      </c>
      <c r="E195" t="inlineStr">
        <is>
          <t>ÖSTERSUND</t>
        </is>
      </c>
      <c r="G195" t="n">
        <v>14.9</v>
      </c>
      <c r="H195" t="n">
        <v>0</v>
      </c>
      <c r="I195" t="n">
        <v>0</v>
      </c>
      <c r="J195" t="n">
        <v>0</v>
      </c>
      <c r="K195" t="n">
        <v>0</v>
      </c>
      <c r="L195" t="n">
        <v>0</v>
      </c>
      <c r="M195" t="n">
        <v>0</v>
      </c>
      <c r="N195" t="n">
        <v>0</v>
      </c>
      <c r="O195" t="n">
        <v>0</v>
      </c>
      <c r="P195" t="n">
        <v>0</v>
      </c>
      <c r="Q195" t="n">
        <v>0</v>
      </c>
      <c r="R195" s="2" t="inlineStr"/>
    </row>
    <row r="196" ht="15" customHeight="1">
      <c r="A196" t="inlineStr">
        <is>
          <t>A 29828-2022</t>
        </is>
      </c>
      <c r="B196" s="1" t="n">
        <v>44755</v>
      </c>
      <c r="C196" s="1" t="n">
        <v>45995</v>
      </c>
      <c r="D196" t="inlineStr">
        <is>
          <t>JÄMTLANDS LÄN</t>
        </is>
      </c>
      <c r="E196" t="inlineStr">
        <is>
          <t>ÖSTERSUND</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44267-2021</t>
        </is>
      </c>
      <c r="B197" s="1" t="n">
        <v>44434</v>
      </c>
      <c r="C197" s="1" t="n">
        <v>45995</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47296-2022</t>
        </is>
      </c>
      <c r="B198" s="1" t="n">
        <v>44852.95248842592</v>
      </c>
      <c r="C198" s="1" t="n">
        <v>45995</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45995</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23895-2021</t>
        </is>
      </c>
      <c r="B200" s="1" t="n">
        <v>44335</v>
      </c>
      <c r="C200" s="1" t="n">
        <v>45995</v>
      </c>
      <c r="D200" t="inlineStr">
        <is>
          <t>JÄMTLANDS LÄN</t>
        </is>
      </c>
      <c r="E200" t="inlineStr">
        <is>
          <t>ÖSTERSUND</t>
        </is>
      </c>
      <c r="G200" t="n">
        <v>0.6</v>
      </c>
      <c r="H200" t="n">
        <v>0</v>
      </c>
      <c r="I200" t="n">
        <v>0</v>
      </c>
      <c r="J200" t="n">
        <v>0</v>
      </c>
      <c r="K200" t="n">
        <v>0</v>
      </c>
      <c r="L200" t="n">
        <v>0</v>
      </c>
      <c r="M200" t="n">
        <v>0</v>
      </c>
      <c r="N200" t="n">
        <v>0</v>
      </c>
      <c r="O200" t="n">
        <v>0</v>
      </c>
      <c r="P200" t="n">
        <v>0</v>
      </c>
      <c r="Q200" t="n">
        <v>0</v>
      </c>
      <c r="R200" s="2" t="inlineStr"/>
    </row>
    <row r="201" ht="15" customHeight="1">
      <c r="A201" t="inlineStr">
        <is>
          <t>A 70816-2021</t>
        </is>
      </c>
      <c r="B201" s="1" t="n">
        <v>44537.935</v>
      </c>
      <c r="C201" s="1" t="n">
        <v>45995</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17596-2021</t>
        </is>
      </c>
      <c r="B202" s="1" t="n">
        <v>44299</v>
      </c>
      <c r="C202" s="1" t="n">
        <v>45995</v>
      </c>
      <c r="D202" t="inlineStr">
        <is>
          <t>JÄMTLANDS LÄN</t>
        </is>
      </c>
      <c r="E202" t="inlineStr">
        <is>
          <t>ÖSTERSUND</t>
        </is>
      </c>
      <c r="G202" t="n">
        <v>3.7</v>
      </c>
      <c r="H202" t="n">
        <v>0</v>
      </c>
      <c r="I202" t="n">
        <v>0</v>
      </c>
      <c r="J202" t="n">
        <v>0</v>
      </c>
      <c r="K202" t="n">
        <v>0</v>
      </c>
      <c r="L202" t="n">
        <v>0</v>
      </c>
      <c r="M202" t="n">
        <v>0</v>
      </c>
      <c r="N202" t="n">
        <v>0</v>
      </c>
      <c r="O202" t="n">
        <v>0</v>
      </c>
      <c r="P202" t="n">
        <v>0</v>
      </c>
      <c r="Q202" t="n">
        <v>0</v>
      </c>
      <c r="R202" s="2" t="inlineStr"/>
    </row>
    <row r="203" ht="15" customHeight="1">
      <c r="A203" t="inlineStr">
        <is>
          <t>A 8227-2022</t>
        </is>
      </c>
      <c r="B203" s="1" t="n">
        <v>44609.93075231482</v>
      </c>
      <c r="C203" s="1" t="n">
        <v>45995</v>
      </c>
      <c r="D203" t="inlineStr">
        <is>
          <t>JÄMTLANDS LÄN</t>
        </is>
      </c>
      <c r="E203" t="inlineStr">
        <is>
          <t>ÖSTERSUND</t>
        </is>
      </c>
      <c r="G203" t="n">
        <v>6.6</v>
      </c>
      <c r="H203" t="n">
        <v>0</v>
      </c>
      <c r="I203" t="n">
        <v>0</v>
      </c>
      <c r="J203" t="n">
        <v>0</v>
      </c>
      <c r="K203" t="n">
        <v>0</v>
      </c>
      <c r="L203" t="n">
        <v>0</v>
      </c>
      <c r="M203" t="n">
        <v>0</v>
      </c>
      <c r="N203" t="n">
        <v>0</v>
      </c>
      <c r="O203" t="n">
        <v>0</v>
      </c>
      <c r="P203" t="n">
        <v>0</v>
      </c>
      <c r="Q203" t="n">
        <v>0</v>
      </c>
      <c r="R203" s="2" t="inlineStr"/>
    </row>
    <row r="204" ht="15" customHeight="1">
      <c r="A204" t="inlineStr">
        <is>
          <t>A 56148-2022</t>
        </is>
      </c>
      <c r="B204" s="1" t="n">
        <v>44889.89929398148</v>
      </c>
      <c r="C204" s="1" t="n">
        <v>45995</v>
      </c>
      <c r="D204" t="inlineStr">
        <is>
          <t>JÄMTLANDS LÄN</t>
        </is>
      </c>
      <c r="E204" t="inlineStr">
        <is>
          <t>ÖSTERSUND</t>
        </is>
      </c>
      <c r="G204" t="n">
        <v>1.4</v>
      </c>
      <c r="H204" t="n">
        <v>0</v>
      </c>
      <c r="I204" t="n">
        <v>0</v>
      </c>
      <c r="J204" t="n">
        <v>0</v>
      </c>
      <c r="K204" t="n">
        <v>0</v>
      </c>
      <c r="L204" t="n">
        <v>0</v>
      </c>
      <c r="M204" t="n">
        <v>0</v>
      </c>
      <c r="N204" t="n">
        <v>0</v>
      </c>
      <c r="O204" t="n">
        <v>0</v>
      </c>
      <c r="P204" t="n">
        <v>0</v>
      </c>
      <c r="Q204" t="n">
        <v>0</v>
      </c>
      <c r="R204" s="2" t="inlineStr"/>
    </row>
    <row r="205" ht="15" customHeight="1">
      <c r="A205" t="inlineStr">
        <is>
          <t>A 66269-2020</t>
        </is>
      </c>
      <c r="B205" s="1" t="n">
        <v>44174</v>
      </c>
      <c r="C205" s="1" t="n">
        <v>45995</v>
      </c>
      <c r="D205" t="inlineStr">
        <is>
          <t>JÄMTLANDS LÄN</t>
        </is>
      </c>
      <c r="E205" t="inlineStr">
        <is>
          <t>ÖSTERSUND</t>
        </is>
      </c>
      <c r="F205" t="inlineStr">
        <is>
          <t>Övriga statliga verk och myndigheter</t>
        </is>
      </c>
      <c r="G205" t="n">
        <v>10</v>
      </c>
      <c r="H205" t="n">
        <v>0</v>
      </c>
      <c r="I205" t="n">
        <v>0</v>
      </c>
      <c r="J205" t="n">
        <v>0</v>
      </c>
      <c r="K205" t="n">
        <v>0</v>
      </c>
      <c r="L205" t="n">
        <v>0</v>
      </c>
      <c r="M205" t="n">
        <v>0</v>
      </c>
      <c r="N205" t="n">
        <v>0</v>
      </c>
      <c r="O205" t="n">
        <v>0</v>
      </c>
      <c r="P205" t="n">
        <v>0</v>
      </c>
      <c r="Q205" t="n">
        <v>0</v>
      </c>
      <c r="R205" s="2" t="inlineStr"/>
    </row>
    <row r="206" ht="15" customHeight="1">
      <c r="A206" t="inlineStr">
        <is>
          <t>A 65866-2021</t>
        </is>
      </c>
      <c r="B206" s="1" t="n">
        <v>44516</v>
      </c>
      <c r="C206" s="1" t="n">
        <v>45995</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46913-2022</t>
        </is>
      </c>
      <c r="B207" s="1" t="n">
        <v>44851</v>
      </c>
      <c r="C207" s="1" t="n">
        <v>45995</v>
      </c>
      <c r="D207" t="inlineStr">
        <is>
          <t>JÄMTLANDS LÄN</t>
        </is>
      </c>
      <c r="E207" t="inlineStr">
        <is>
          <t>ÖSTERSUND</t>
        </is>
      </c>
      <c r="G207" t="n">
        <v>2.5</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45995</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68408-2020</t>
        </is>
      </c>
      <c r="B209" s="1" t="n">
        <v>44186</v>
      </c>
      <c r="C209" s="1" t="n">
        <v>45995</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5145-2022</t>
        </is>
      </c>
      <c r="B210" s="1" t="n">
        <v>44594</v>
      </c>
      <c r="C210" s="1" t="n">
        <v>45995</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35755-2021</t>
        </is>
      </c>
      <c r="B211" s="1" t="n">
        <v>44385</v>
      </c>
      <c r="C211" s="1" t="n">
        <v>45995</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52898-2022</t>
        </is>
      </c>
      <c r="B212" s="1" t="n">
        <v>44875</v>
      </c>
      <c r="C212" s="1" t="n">
        <v>45995</v>
      </c>
      <c r="D212" t="inlineStr">
        <is>
          <t>JÄMTLANDS LÄN</t>
        </is>
      </c>
      <c r="E212" t="inlineStr">
        <is>
          <t>ÖSTERSUND</t>
        </is>
      </c>
      <c r="F212" t="inlineStr">
        <is>
          <t>Övriga Aktiebolag</t>
        </is>
      </c>
      <c r="G212" t="n">
        <v>12.1</v>
      </c>
      <c r="H212" t="n">
        <v>0</v>
      </c>
      <c r="I212" t="n">
        <v>0</v>
      </c>
      <c r="J212" t="n">
        <v>0</v>
      </c>
      <c r="K212" t="n">
        <v>0</v>
      </c>
      <c r="L212" t="n">
        <v>0</v>
      </c>
      <c r="M212" t="n">
        <v>0</v>
      </c>
      <c r="N212" t="n">
        <v>0</v>
      </c>
      <c r="O212" t="n">
        <v>0</v>
      </c>
      <c r="P212" t="n">
        <v>0</v>
      </c>
      <c r="Q212" t="n">
        <v>0</v>
      </c>
      <c r="R212" s="2" t="inlineStr"/>
    </row>
    <row r="213" ht="15" customHeight="1">
      <c r="A213" t="inlineStr">
        <is>
          <t>A 65410-2020</t>
        </is>
      </c>
      <c r="B213" s="1" t="n">
        <v>44173</v>
      </c>
      <c r="C213" s="1" t="n">
        <v>45995</v>
      </c>
      <c r="D213" t="inlineStr">
        <is>
          <t>JÄMTLANDS LÄN</t>
        </is>
      </c>
      <c r="E213" t="inlineStr">
        <is>
          <t>ÖSTERSUND</t>
        </is>
      </c>
      <c r="F213" t="inlineStr">
        <is>
          <t>Kommuner</t>
        </is>
      </c>
      <c r="G213" t="n">
        <v>0.8</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45995</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12821-2023</t>
        </is>
      </c>
      <c r="B215" s="1" t="n">
        <v>45000</v>
      </c>
      <c r="C215" s="1" t="n">
        <v>45995</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2627-2024</t>
        </is>
      </c>
      <c r="B216" s="1" t="n">
        <v>45313.9496875</v>
      </c>
      <c r="C216" s="1" t="n">
        <v>45995</v>
      </c>
      <c r="D216" t="inlineStr">
        <is>
          <t>JÄMTLANDS LÄN</t>
        </is>
      </c>
      <c r="E216" t="inlineStr">
        <is>
          <t>ÖSTERSUND</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50088-2024</t>
        </is>
      </c>
      <c r="B217" s="1" t="n">
        <v>45600.38585648148</v>
      </c>
      <c r="C217" s="1" t="n">
        <v>45995</v>
      </c>
      <c r="D217" t="inlineStr">
        <is>
          <t>JÄMTLANDS LÄN</t>
        </is>
      </c>
      <c r="E217" t="inlineStr">
        <is>
          <t>ÖSTERSUND</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10590-2021</t>
        </is>
      </c>
      <c r="B218" s="1" t="n">
        <v>44258</v>
      </c>
      <c r="C218" s="1" t="n">
        <v>45995</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32990-2021</t>
        </is>
      </c>
      <c r="B219" s="1" t="n">
        <v>44375</v>
      </c>
      <c r="C219" s="1" t="n">
        <v>45995</v>
      </c>
      <c r="D219" t="inlineStr">
        <is>
          <t>JÄMTLANDS LÄN</t>
        </is>
      </c>
      <c r="E219" t="inlineStr">
        <is>
          <t>ÖSTERSUND</t>
        </is>
      </c>
      <c r="G219" t="n">
        <v>0.2</v>
      </c>
      <c r="H219" t="n">
        <v>0</v>
      </c>
      <c r="I219" t="n">
        <v>0</v>
      </c>
      <c r="J219" t="n">
        <v>0</v>
      </c>
      <c r="K219" t="n">
        <v>0</v>
      </c>
      <c r="L219" t="n">
        <v>0</v>
      </c>
      <c r="M219" t="n">
        <v>0</v>
      </c>
      <c r="N219" t="n">
        <v>0</v>
      </c>
      <c r="O219" t="n">
        <v>0</v>
      </c>
      <c r="P219" t="n">
        <v>0</v>
      </c>
      <c r="Q219" t="n">
        <v>0</v>
      </c>
      <c r="R219" s="2" t="inlineStr"/>
    </row>
    <row r="220" ht="15" customHeight="1">
      <c r="A220" t="inlineStr">
        <is>
          <t>A 21849-2021</t>
        </is>
      </c>
      <c r="B220" s="1" t="n">
        <v>44322</v>
      </c>
      <c r="C220" s="1" t="n">
        <v>45995</v>
      </c>
      <c r="D220" t="inlineStr">
        <is>
          <t>JÄMTLANDS LÄN</t>
        </is>
      </c>
      <c r="E220" t="inlineStr">
        <is>
          <t>ÖSTERSUND</t>
        </is>
      </c>
      <c r="G220" t="n">
        <v>2.5</v>
      </c>
      <c r="H220" t="n">
        <v>0</v>
      </c>
      <c r="I220" t="n">
        <v>0</v>
      </c>
      <c r="J220" t="n">
        <v>0</v>
      </c>
      <c r="K220" t="n">
        <v>0</v>
      </c>
      <c r="L220" t="n">
        <v>0</v>
      </c>
      <c r="M220" t="n">
        <v>0</v>
      </c>
      <c r="N220" t="n">
        <v>0</v>
      </c>
      <c r="O220" t="n">
        <v>0</v>
      </c>
      <c r="P220" t="n">
        <v>0</v>
      </c>
      <c r="Q220" t="n">
        <v>0</v>
      </c>
      <c r="R220" s="2" t="inlineStr"/>
    </row>
    <row r="221" ht="15" customHeight="1">
      <c r="A221" t="inlineStr">
        <is>
          <t>A 24721-2021</t>
        </is>
      </c>
      <c r="B221" s="1" t="n">
        <v>44340</v>
      </c>
      <c r="C221" s="1" t="n">
        <v>45995</v>
      </c>
      <c r="D221" t="inlineStr">
        <is>
          <t>JÄMTLANDS LÄN</t>
        </is>
      </c>
      <c r="E221" t="inlineStr">
        <is>
          <t>ÖSTERSUND</t>
        </is>
      </c>
      <c r="G221" t="n">
        <v>2.7</v>
      </c>
      <c r="H221" t="n">
        <v>0</v>
      </c>
      <c r="I221" t="n">
        <v>0</v>
      </c>
      <c r="J221" t="n">
        <v>0</v>
      </c>
      <c r="K221" t="n">
        <v>0</v>
      </c>
      <c r="L221" t="n">
        <v>0</v>
      </c>
      <c r="M221" t="n">
        <v>0</v>
      </c>
      <c r="N221" t="n">
        <v>0</v>
      </c>
      <c r="O221" t="n">
        <v>0</v>
      </c>
      <c r="P221" t="n">
        <v>0</v>
      </c>
      <c r="Q221" t="n">
        <v>0</v>
      </c>
      <c r="R221" s="2" t="inlineStr"/>
    </row>
    <row r="222" ht="15" customHeight="1">
      <c r="A222" t="inlineStr">
        <is>
          <t>A 72061-2021</t>
        </is>
      </c>
      <c r="B222" s="1" t="n">
        <v>44540</v>
      </c>
      <c r="C222" s="1" t="n">
        <v>45995</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65428-2021</t>
        </is>
      </c>
      <c r="B223" s="1" t="n">
        <v>44515</v>
      </c>
      <c r="C223" s="1" t="n">
        <v>45995</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21211-2022</t>
        </is>
      </c>
      <c r="B224" s="1" t="n">
        <v>44704.94370370371</v>
      </c>
      <c r="C224" s="1" t="n">
        <v>45995</v>
      </c>
      <c r="D224" t="inlineStr">
        <is>
          <t>JÄMTLANDS LÄN</t>
        </is>
      </c>
      <c r="E224" t="inlineStr">
        <is>
          <t>ÖSTERSUND</t>
        </is>
      </c>
      <c r="F224" t="inlineStr">
        <is>
          <t>SCA</t>
        </is>
      </c>
      <c r="G224" t="n">
        <v>3</v>
      </c>
      <c r="H224" t="n">
        <v>0</v>
      </c>
      <c r="I224" t="n">
        <v>0</v>
      </c>
      <c r="J224" t="n">
        <v>0</v>
      </c>
      <c r="K224" t="n">
        <v>0</v>
      </c>
      <c r="L224" t="n">
        <v>0</v>
      </c>
      <c r="M224" t="n">
        <v>0</v>
      </c>
      <c r="N224" t="n">
        <v>0</v>
      </c>
      <c r="O224" t="n">
        <v>0</v>
      </c>
      <c r="P224" t="n">
        <v>0</v>
      </c>
      <c r="Q224" t="n">
        <v>0</v>
      </c>
      <c r="R224" s="2" t="inlineStr"/>
    </row>
    <row r="225" ht="15" customHeight="1">
      <c r="A225" t="inlineStr">
        <is>
          <t>A 24786-2024</t>
        </is>
      </c>
      <c r="B225" s="1" t="n">
        <v>45460.81277777778</v>
      </c>
      <c r="C225" s="1" t="n">
        <v>45995</v>
      </c>
      <c r="D225" t="inlineStr">
        <is>
          <t>JÄMTLANDS LÄN</t>
        </is>
      </c>
      <c r="E225" t="inlineStr">
        <is>
          <t>ÖSTERSUND</t>
        </is>
      </c>
      <c r="G225" t="n">
        <v>0.1</v>
      </c>
      <c r="H225" t="n">
        <v>0</v>
      </c>
      <c r="I225" t="n">
        <v>0</v>
      </c>
      <c r="J225" t="n">
        <v>0</v>
      </c>
      <c r="K225" t="n">
        <v>0</v>
      </c>
      <c r="L225" t="n">
        <v>0</v>
      </c>
      <c r="M225" t="n">
        <v>0</v>
      </c>
      <c r="N225" t="n">
        <v>0</v>
      </c>
      <c r="O225" t="n">
        <v>0</v>
      </c>
      <c r="P225" t="n">
        <v>0</v>
      </c>
      <c r="Q225" t="n">
        <v>0</v>
      </c>
      <c r="R225" s="2" t="inlineStr"/>
    </row>
    <row r="226" ht="15" customHeight="1">
      <c r="A226" t="inlineStr">
        <is>
          <t>A 71956-2021</t>
        </is>
      </c>
      <c r="B226" s="1" t="n">
        <v>44544</v>
      </c>
      <c r="C226" s="1" t="n">
        <v>45995</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29094-2022</t>
        </is>
      </c>
      <c r="B227" s="1" t="n">
        <v>44750</v>
      </c>
      <c r="C227" s="1" t="n">
        <v>45995</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14657-2022</t>
        </is>
      </c>
      <c r="B228" s="1" t="n">
        <v>44655</v>
      </c>
      <c r="C228" s="1" t="n">
        <v>45995</v>
      </c>
      <c r="D228" t="inlineStr">
        <is>
          <t>JÄMTLANDS LÄN</t>
        </is>
      </c>
      <c r="E228" t="inlineStr">
        <is>
          <t>ÖSTERSUND</t>
        </is>
      </c>
      <c r="G228" t="n">
        <v>1.1</v>
      </c>
      <c r="H228" t="n">
        <v>0</v>
      </c>
      <c r="I228" t="n">
        <v>0</v>
      </c>
      <c r="J228" t="n">
        <v>0</v>
      </c>
      <c r="K228" t="n">
        <v>0</v>
      </c>
      <c r="L228" t="n">
        <v>0</v>
      </c>
      <c r="M228" t="n">
        <v>0</v>
      </c>
      <c r="N228" t="n">
        <v>0</v>
      </c>
      <c r="O228" t="n">
        <v>0</v>
      </c>
      <c r="P228" t="n">
        <v>0</v>
      </c>
      <c r="Q228" t="n">
        <v>0</v>
      </c>
      <c r="R228" s="2" t="inlineStr"/>
    </row>
    <row r="229" ht="15" customHeight="1">
      <c r="A229" t="inlineStr">
        <is>
          <t>A 43252-2023</t>
        </is>
      </c>
      <c r="B229" s="1" t="n">
        <v>45183</v>
      </c>
      <c r="C229" s="1" t="n">
        <v>45995</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60088-2024</t>
        </is>
      </c>
      <c r="B230" s="1" t="n">
        <v>45642.54847222222</v>
      </c>
      <c r="C230" s="1" t="n">
        <v>45995</v>
      </c>
      <c r="D230" t="inlineStr">
        <is>
          <t>JÄMTLANDS LÄN</t>
        </is>
      </c>
      <c r="E230" t="inlineStr">
        <is>
          <t>ÖSTERSUND</t>
        </is>
      </c>
      <c r="G230" t="n">
        <v>5</v>
      </c>
      <c r="H230" t="n">
        <v>0</v>
      </c>
      <c r="I230" t="n">
        <v>0</v>
      </c>
      <c r="J230" t="n">
        <v>0</v>
      </c>
      <c r="K230" t="n">
        <v>0</v>
      </c>
      <c r="L230" t="n">
        <v>0</v>
      </c>
      <c r="M230" t="n">
        <v>0</v>
      </c>
      <c r="N230" t="n">
        <v>0</v>
      </c>
      <c r="O230" t="n">
        <v>0</v>
      </c>
      <c r="P230" t="n">
        <v>0</v>
      </c>
      <c r="Q230" t="n">
        <v>0</v>
      </c>
      <c r="R230" s="2" t="inlineStr"/>
    </row>
    <row r="231" ht="15" customHeight="1">
      <c r="A231" t="inlineStr">
        <is>
          <t>A 27575-2022</t>
        </is>
      </c>
      <c r="B231" s="1" t="n">
        <v>44742</v>
      </c>
      <c r="C231" s="1" t="n">
        <v>45995</v>
      </c>
      <c r="D231" t="inlineStr">
        <is>
          <t>JÄMTLANDS LÄN</t>
        </is>
      </c>
      <c r="E231" t="inlineStr">
        <is>
          <t>ÖSTERSUND</t>
        </is>
      </c>
      <c r="F231" t="inlineStr">
        <is>
          <t>SCA</t>
        </is>
      </c>
      <c r="G231" t="n">
        <v>2.4</v>
      </c>
      <c r="H231" t="n">
        <v>0</v>
      </c>
      <c r="I231" t="n">
        <v>0</v>
      </c>
      <c r="J231" t="n">
        <v>0</v>
      </c>
      <c r="K231" t="n">
        <v>0</v>
      </c>
      <c r="L231" t="n">
        <v>0</v>
      </c>
      <c r="M231" t="n">
        <v>0</v>
      </c>
      <c r="N231" t="n">
        <v>0</v>
      </c>
      <c r="O231" t="n">
        <v>0</v>
      </c>
      <c r="P231" t="n">
        <v>0</v>
      </c>
      <c r="Q231" t="n">
        <v>0</v>
      </c>
      <c r="R231" s="2" t="inlineStr"/>
      <c r="U231">
        <f>HYPERLINK("https://klasma.github.io/Logging_2380/knärot/A 27575-2022 karta knärot.png", "A 27575-2022")</f>
        <v/>
      </c>
      <c r="V231">
        <f>HYPERLINK("https://klasma.github.io/Logging_2380/klagomål/A 27575-2022 FSC-klagomål.docx", "A 27575-2022")</f>
        <v/>
      </c>
      <c r="W231">
        <f>HYPERLINK("https://klasma.github.io/Logging_2380/klagomålsmail/A 27575-2022 FSC-klagomål mail.docx", "A 27575-2022")</f>
        <v/>
      </c>
      <c r="X231">
        <f>HYPERLINK("https://klasma.github.io/Logging_2380/tillsyn/A 27575-2022 tillsynsbegäran.docx", "A 27575-2022")</f>
        <v/>
      </c>
      <c r="Y231">
        <f>HYPERLINK("https://klasma.github.io/Logging_2380/tillsynsmail/A 27575-2022 tillsynsbegäran mail.docx", "A 27575-2022")</f>
        <v/>
      </c>
    </row>
    <row r="232" ht="15" customHeight="1">
      <c r="A232" t="inlineStr">
        <is>
          <t>A 13024-2022</t>
        </is>
      </c>
      <c r="B232" s="1" t="n">
        <v>44643</v>
      </c>
      <c r="C232" s="1" t="n">
        <v>45995</v>
      </c>
      <c r="D232" t="inlineStr">
        <is>
          <t>JÄMTLANDS LÄN</t>
        </is>
      </c>
      <c r="E232" t="inlineStr">
        <is>
          <t>ÖSTERSUND</t>
        </is>
      </c>
      <c r="G232" t="n">
        <v>0.9</v>
      </c>
      <c r="H232" t="n">
        <v>0</v>
      </c>
      <c r="I232" t="n">
        <v>0</v>
      </c>
      <c r="J232" t="n">
        <v>0</v>
      </c>
      <c r="K232" t="n">
        <v>0</v>
      </c>
      <c r="L232" t="n">
        <v>0</v>
      </c>
      <c r="M232" t="n">
        <v>0</v>
      </c>
      <c r="N232" t="n">
        <v>0</v>
      </c>
      <c r="O232" t="n">
        <v>0</v>
      </c>
      <c r="P232" t="n">
        <v>0</v>
      </c>
      <c r="Q232" t="n">
        <v>0</v>
      </c>
      <c r="R232" s="2" t="inlineStr"/>
    </row>
    <row r="233" ht="15" customHeight="1">
      <c r="A233" t="inlineStr">
        <is>
          <t>A 65991-2021</t>
        </is>
      </c>
      <c r="B233" s="1" t="n">
        <v>44517.55134259259</v>
      </c>
      <c r="C233" s="1" t="n">
        <v>45995</v>
      </c>
      <c r="D233" t="inlineStr">
        <is>
          <t>JÄMTLANDS LÄN</t>
        </is>
      </c>
      <c r="E233" t="inlineStr">
        <is>
          <t>ÖSTERSUND</t>
        </is>
      </c>
      <c r="G233" t="n">
        <v>4.3</v>
      </c>
      <c r="H233" t="n">
        <v>0</v>
      </c>
      <c r="I233" t="n">
        <v>0</v>
      </c>
      <c r="J233" t="n">
        <v>0</v>
      </c>
      <c r="K233" t="n">
        <v>0</v>
      </c>
      <c r="L233" t="n">
        <v>0</v>
      </c>
      <c r="M233" t="n">
        <v>0</v>
      </c>
      <c r="N233" t="n">
        <v>0</v>
      </c>
      <c r="O233" t="n">
        <v>0</v>
      </c>
      <c r="P233" t="n">
        <v>0</v>
      </c>
      <c r="Q233" t="n">
        <v>0</v>
      </c>
      <c r="R233" s="2" t="inlineStr"/>
    </row>
    <row r="234" ht="15" customHeight="1">
      <c r="A234" t="inlineStr">
        <is>
          <t>A 6458-2022</t>
        </is>
      </c>
      <c r="B234" s="1" t="n">
        <v>44601.36165509259</v>
      </c>
      <c r="C234" s="1" t="n">
        <v>45995</v>
      </c>
      <c r="D234" t="inlineStr">
        <is>
          <t>JÄMTLANDS LÄN</t>
        </is>
      </c>
      <c r="E234" t="inlineStr">
        <is>
          <t>ÖSTERSUND</t>
        </is>
      </c>
      <c r="G234" t="n">
        <v>3.1</v>
      </c>
      <c r="H234" t="n">
        <v>0</v>
      </c>
      <c r="I234" t="n">
        <v>0</v>
      </c>
      <c r="J234" t="n">
        <v>0</v>
      </c>
      <c r="K234" t="n">
        <v>0</v>
      </c>
      <c r="L234" t="n">
        <v>0</v>
      </c>
      <c r="M234" t="n">
        <v>0</v>
      </c>
      <c r="N234" t="n">
        <v>0</v>
      </c>
      <c r="O234" t="n">
        <v>0</v>
      </c>
      <c r="P234" t="n">
        <v>0</v>
      </c>
      <c r="Q234" t="n">
        <v>0</v>
      </c>
      <c r="R234" s="2" t="inlineStr"/>
    </row>
    <row r="235" ht="15" customHeight="1">
      <c r="A235" t="inlineStr">
        <is>
          <t>A 55002-2024</t>
        </is>
      </c>
      <c r="B235" s="1" t="n">
        <v>45621</v>
      </c>
      <c r="C235" s="1" t="n">
        <v>45995</v>
      </c>
      <c r="D235" t="inlineStr">
        <is>
          <t>JÄMTLANDS LÄN</t>
        </is>
      </c>
      <c r="E235" t="inlineStr">
        <is>
          <t>ÖSTERSUND</t>
        </is>
      </c>
      <c r="F235" t="inlineStr">
        <is>
          <t>Övriga Aktiebolag</t>
        </is>
      </c>
      <c r="G235" t="n">
        <v>0.3</v>
      </c>
      <c r="H235" t="n">
        <v>0</v>
      </c>
      <c r="I235" t="n">
        <v>0</v>
      </c>
      <c r="J235" t="n">
        <v>0</v>
      </c>
      <c r="K235" t="n">
        <v>0</v>
      </c>
      <c r="L235" t="n">
        <v>0</v>
      </c>
      <c r="M235" t="n">
        <v>0</v>
      </c>
      <c r="N235" t="n">
        <v>0</v>
      </c>
      <c r="O235" t="n">
        <v>0</v>
      </c>
      <c r="P235" t="n">
        <v>0</v>
      </c>
      <c r="Q235" t="n">
        <v>0</v>
      </c>
      <c r="R235" s="2" t="inlineStr"/>
    </row>
    <row r="236" ht="15" customHeight="1">
      <c r="A236" t="inlineStr">
        <is>
          <t>A 23992-2022</t>
        </is>
      </c>
      <c r="B236" s="1" t="n">
        <v>44722</v>
      </c>
      <c r="C236" s="1" t="n">
        <v>45995</v>
      </c>
      <c r="D236" t="inlineStr">
        <is>
          <t>JÄMTLANDS LÄN</t>
        </is>
      </c>
      <c r="E236" t="inlineStr">
        <is>
          <t>ÖSTERSUND</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23993-2022</t>
        </is>
      </c>
      <c r="B237" s="1" t="n">
        <v>44722.94023148148</v>
      </c>
      <c r="C237" s="1" t="n">
        <v>45995</v>
      </c>
      <c r="D237" t="inlineStr">
        <is>
          <t>JÄMTLANDS LÄN</t>
        </is>
      </c>
      <c r="E237" t="inlineStr">
        <is>
          <t>ÖSTERSUND</t>
        </is>
      </c>
      <c r="F237" t="inlineStr">
        <is>
          <t>SCA</t>
        </is>
      </c>
      <c r="G237" t="n">
        <v>2.8</v>
      </c>
      <c r="H237" t="n">
        <v>0</v>
      </c>
      <c r="I237" t="n">
        <v>0</v>
      </c>
      <c r="J237" t="n">
        <v>0</v>
      </c>
      <c r="K237" t="n">
        <v>0</v>
      </c>
      <c r="L237" t="n">
        <v>0</v>
      </c>
      <c r="M237" t="n">
        <v>0</v>
      </c>
      <c r="N237" t="n">
        <v>0</v>
      </c>
      <c r="O237" t="n">
        <v>0</v>
      </c>
      <c r="P237" t="n">
        <v>0</v>
      </c>
      <c r="Q237" t="n">
        <v>0</v>
      </c>
      <c r="R237" s="2" t="inlineStr"/>
    </row>
    <row r="238" ht="15" customHeight="1">
      <c r="A238" t="inlineStr">
        <is>
          <t>A 6351-2024</t>
        </is>
      </c>
      <c r="B238" s="1" t="n">
        <v>45338</v>
      </c>
      <c r="C238" s="1" t="n">
        <v>45995</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23551-2022</t>
        </is>
      </c>
      <c r="B239" s="1" t="n">
        <v>44721</v>
      </c>
      <c r="C239" s="1" t="n">
        <v>45995</v>
      </c>
      <c r="D239" t="inlineStr">
        <is>
          <t>JÄMTLANDS LÄN</t>
        </is>
      </c>
      <c r="E239" t="inlineStr">
        <is>
          <t>ÖSTERSUND</t>
        </is>
      </c>
      <c r="G239" t="n">
        <v>0.3</v>
      </c>
      <c r="H239" t="n">
        <v>0</v>
      </c>
      <c r="I239" t="n">
        <v>0</v>
      </c>
      <c r="J239" t="n">
        <v>0</v>
      </c>
      <c r="K239" t="n">
        <v>0</v>
      </c>
      <c r="L239" t="n">
        <v>0</v>
      </c>
      <c r="M239" t="n">
        <v>0</v>
      </c>
      <c r="N239" t="n">
        <v>0</v>
      </c>
      <c r="O239" t="n">
        <v>0</v>
      </c>
      <c r="P239" t="n">
        <v>0</v>
      </c>
      <c r="Q239" t="n">
        <v>0</v>
      </c>
      <c r="R239" s="2" t="inlineStr"/>
    </row>
    <row r="240" ht="15" customHeight="1">
      <c r="A240" t="inlineStr">
        <is>
          <t>A 14867-2025</t>
        </is>
      </c>
      <c r="B240" s="1" t="n">
        <v>45743.44207175926</v>
      </c>
      <c r="C240" s="1" t="n">
        <v>45995</v>
      </c>
      <c r="D240" t="inlineStr">
        <is>
          <t>JÄMTLANDS LÄN</t>
        </is>
      </c>
      <c r="E240" t="inlineStr">
        <is>
          <t>ÖSTERSUND</t>
        </is>
      </c>
      <c r="G240" t="n">
        <v>3.3</v>
      </c>
      <c r="H240" t="n">
        <v>0</v>
      </c>
      <c r="I240" t="n">
        <v>0</v>
      </c>
      <c r="J240" t="n">
        <v>0</v>
      </c>
      <c r="K240" t="n">
        <v>0</v>
      </c>
      <c r="L240" t="n">
        <v>0</v>
      </c>
      <c r="M240" t="n">
        <v>0</v>
      </c>
      <c r="N240" t="n">
        <v>0</v>
      </c>
      <c r="O240" t="n">
        <v>0</v>
      </c>
      <c r="P240" t="n">
        <v>0</v>
      </c>
      <c r="Q240" t="n">
        <v>0</v>
      </c>
      <c r="R240" s="2" t="inlineStr"/>
    </row>
    <row r="241" ht="15" customHeight="1">
      <c r="A241" t="inlineStr">
        <is>
          <t>A 14947-2025</t>
        </is>
      </c>
      <c r="B241" s="1" t="n">
        <v>45743.57336805556</v>
      </c>
      <c r="C241" s="1" t="n">
        <v>45995</v>
      </c>
      <c r="D241" t="inlineStr">
        <is>
          <t>JÄMTLANDS LÄN</t>
        </is>
      </c>
      <c r="E241" t="inlineStr">
        <is>
          <t>ÖSTERSUND</t>
        </is>
      </c>
      <c r="G241" t="n">
        <v>0.5</v>
      </c>
      <c r="H241" t="n">
        <v>0</v>
      </c>
      <c r="I241" t="n">
        <v>0</v>
      </c>
      <c r="J241" t="n">
        <v>0</v>
      </c>
      <c r="K241" t="n">
        <v>0</v>
      </c>
      <c r="L241" t="n">
        <v>0</v>
      </c>
      <c r="M241" t="n">
        <v>0</v>
      </c>
      <c r="N241" t="n">
        <v>0</v>
      </c>
      <c r="O241" t="n">
        <v>0</v>
      </c>
      <c r="P241" t="n">
        <v>0</v>
      </c>
      <c r="Q241" t="n">
        <v>0</v>
      </c>
      <c r="R241" s="2" t="inlineStr"/>
    </row>
    <row r="242" ht="15" customHeight="1">
      <c r="A242" t="inlineStr">
        <is>
          <t>A 45654-2022</t>
        </is>
      </c>
      <c r="B242" s="1" t="n">
        <v>44845.67710648148</v>
      </c>
      <c r="C242" s="1" t="n">
        <v>45995</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29128-2022</t>
        </is>
      </c>
      <c r="B243" s="1" t="n">
        <v>44750</v>
      </c>
      <c r="C243" s="1" t="n">
        <v>45995</v>
      </c>
      <c r="D243" t="inlineStr">
        <is>
          <t>JÄMTLANDS LÄN</t>
        </is>
      </c>
      <c r="E243" t="inlineStr">
        <is>
          <t>ÖSTERSUND</t>
        </is>
      </c>
      <c r="G243" t="n">
        <v>3</v>
      </c>
      <c r="H243" t="n">
        <v>0</v>
      </c>
      <c r="I243" t="n">
        <v>0</v>
      </c>
      <c r="J243" t="n">
        <v>0</v>
      </c>
      <c r="K243" t="n">
        <v>0</v>
      </c>
      <c r="L243" t="n">
        <v>0</v>
      </c>
      <c r="M243" t="n">
        <v>0</v>
      </c>
      <c r="N243" t="n">
        <v>0</v>
      </c>
      <c r="O243" t="n">
        <v>0</v>
      </c>
      <c r="P243" t="n">
        <v>0</v>
      </c>
      <c r="Q243" t="n">
        <v>0</v>
      </c>
      <c r="R243" s="2" t="inlineStr"/>
    </row>
    <row r="244" ht="15" customHeight="1">
      <c r="A244" t="inlineStr">
        <is>
          <t>A 24312-2021</t>
        </is>
      </c>
      <c r="B244" s="1" t="n">
        <v>44336</v>
      </c>
      <c r="C244" s="1" t="n">
        <v>45995</v>
      </c>
      <c r="D244" t="inlineStr">
        <is>
          <t>JÄMTLANDS LÄN</t>
        </is>
      </c>
      <c r="E244" t="inlineStr">
        <is>
          <t>ÖSTERSUND</t>
        </is>
      </c>
      <c r="G244" t="n">
        <v>10.6</v>
      </c>
      <c r="H244" t="n">
        <v>0</v>
      </c>
      <c r="I244" t="n">
        <v>0</v>
      </c>
      <c r="J244" t="n">
        <v>0</v>
      </c>
      <c r="K244" t="n">
        <v>0</v>
      </c>
      <c r="L244" t="n">
        <v>0</v>
      </c>
      <c r="M244" t="n">
        <v>0</v>
      </c>
      <c r="N244" t="n">
        <v>0</v>
      </c>
      <c r="O244" t="n">
        <v>0</v>
      </c>
      <c r="P244" t="n">
        <v>0</v>
      </c>
      <c r="Q244" t="n">
        <v>0</v>
      </c>
      <c r="R244" s="2" t="inlineStr"/>
    </row>
    <row r="245" ht="15" customHeight="1">
      <c r="A245" t="inlineStr">
        <is>
          <t>A 44013-2021</t>
        </is>
      </c>
      <c r="B245" s="1" t="n">
        <v>44434</v>
      </c>
      <c r="C245" s="1" t="n">
        <v>45995</v>
      </c>
      <c r="D245" t="inlineStr">
        <is>
          <t>JÄMTLANDS LÄN</t>
        </is>
      </c>
      <c r="E245" t="inlineStr">
        <is>
          <t>ÖSTERSUND</t>
        </is>
      </c>
      <c r="G245" t="n">
        <v>1.9</v>
      </c>
      <c r="H245" t="n">
        <v>0</v>
      </c>
      <c r="I245" t="n">
        <v>0</v>
      </c>
      <c r="J245" t="n">
        <v>0</v>
      </c>
      <c r="K245" t="n">
        <v>0</v>
      </c>
      <c r="L245" t="n">
        <v>0</v>
      </c>
      <c r="M245" t="n">
        <v>0</v>
      </c>
      <c r="N245" t="n">
        <v>0</v>
      </c>
      <c r="O245" t="n">
        <v>0</v>
      </c>
      <c r="P245" t="n">
        <v>0</v>
      </c>
      <c r="Q245" t="n">
        <v>0</v>
      </c>
      <c r="R245" s="2" t="inlineStr"/>
    </row>
    <row r="246" ht="15" customHeight="1">
      <c r="A246" t="inlineStr">
        <is>
          <t>A 4135-2023</t>
        </is>
      </c>
      <c r="B246" s="1" t="n">
        <v>44952</v>
      </c>
      <c r="C246" s="1" t="n">
        <v>45995</v>
      </c>
      <c r="D246" t="inlineStr">
        <is>
          <t>JÄMTLANDS LÄN</t>
        </is>
      </c>
      <c r="E246" t="inlineStr">
        <is>
          <t>ÖSTERSUND</t>
        </is>
      </c>
      <c r="G246" t="n">
        <v>1.3</v>
      </c>
      <c r="H246" t="n">
        <v>0</v>
      </c>
      <c r="I246" t="n">
        <v>0</v>
      </c>
      <c r="J246" t="n">
        <v>0</v>
      </c>
      <c r="K246" t="n">
        <v>0</v>
      </c>
      <c r="L246" t="n">
        <v>0</v>
      </c>
      <c r="M246" t="n">
        <v>0</v>
      </c>
      <c r="N246" t="n">
        <v>0</v>
      </c>
      <c r="O246" t="n">
        <v>0</v>
      </c>
      <c r="P246" t="n">
        <v>0</v>
      </c>
      <c r="Q246" t="n">
        <v>0</v>
      </c>
      <c r="R246" s="2" t="inlineStr"/>
    </row>
    <row r="247" ht="15" customHeight="1">
      <c r="A247" t="inlineStr">
        <is>
          <t>A 11182-2025</t>
        </is>
      </c>
      <c r="B247" s="1" t="n">
        <v>45725.44297453704</v>
      </c>
      <c r="C247" s="1" t="n">
        <v>45995</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15659-2021</t>
        </is>
      </c>
      <c r="B248" s="1" t="n">
        <v>44298</v>
      </c>
      <c r="C248" s="1" t="n">
        <v>45995</v>
      </c>
      <c r="D248" t="inlineStr">
        <is>
          <t>JÄMTLANDS LÄN</t>
        </is>
      </c>
      <c r="E248" t="inlineStr">
        <is>
          <t>ÖSTERSUND</t>
        </is>
      </c>
      <c r="G248" t="n">
        <v>13.3</v>
      </c>
      <c r="H248" t="n">
        <v>0</v>
      </c>
      <c r="I248" t="n">
        <v>0</v>
      </c>
      <c r="J248" t="n">
        <v>0</v>
      </c>
      <c r="K248" t="n">
        <v>0</v>
      </c>
      <c r="L248" t="n">
        <v>0</v>
      </c>
      <c r="M248" t="n">
        <v>0</v>
      </c>
      <c r="N248" t="n">
        <v>0</v>
      </c>
      <c r="O248" t="n">
        <v>0</v>
      </c>
      <c r="P248" t="n">
        <v>0</v>
      </c>
      <c r="Q248" t="n">
        <v>0</v>
      </c>
      <c r="R248" s="2" t="inlineStr"/>
    </row>
    <row r="249" ht="15" customHeight="1">
      <c r="A249" t="inlineStr">
        <is>
          <t>A 52128-2023</t>
        </is>
      </c>
      <c r="B249" s="1" t="n">
        <v>45223</v>
      </c>
      <c r="C249" s="1" t="n">
        <v>45995</v>
      </c>
      <c r="D249" t="inlineStr">
        <is>
          <t>JÄMTLANDS LÄN</t>
        </is>
      </c>
      <c r="E249" t="inlineStr">
        <is>
          <t>ÖSTERSUND</t>
        </is>
      </c>
      <c r="F249" t="inlineStr">
        <is>
          <t>SCA</t>
        </is>
      </c>
      <c r="G249" t="n">
        <v>11.9</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45995</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7549-2025</t>
        </is>
      </c>
      <c r="B251" s="1" t="n">
        <v>45705.57454861111</v>
      </c>
      <c r="C251" s="1" t="n">
        <v>45995</v>
      </c>
      <c r="D251" t="inlineStr">
        <is>
          <t>JÄMTLANDS LÄN</t>
        </is>
      </c>
      <c r="E251" t="inlineStr">
        <is>
          <t>ÖSTERSUND</t>
        </is>
      </c>
      <c r="F251" t="inlineStr">
        <is>
          <t>SCA</t>
        </is>
      </c>
      <c r="G251" t="n">
        <v>6.4</v>
      </c>
      <c r="H251" t="n">
        <v>0</v>
      </c>
      <c r="I251" t="n">
        <v>0</v>
      </c>
      <c r="J251" t="n">
        <v>0</v>
      </c>
      <c r="K251" t="n">
        <v>0</v>
      </c>
      <c r="L251" t="n">
        <v>0</v>
      </c>
      <c r="M251" t="n">
        <v>0</v>
      </c>
      <c r="N251" t="n">
        <v>0</v>
      </c>
      <c r="O251" t="n">
        <v>0</v>
      </c>
      <c r="P251" t="n">
        <v>0</v>
      </c>
      <c r="Q251" t="n">
        <v>0</v>
      </c>
      <c r="R251" s="2" t="inlineStr"/>
    </row>
    <row r="252" ht="15" customHeight="1">
      <c r="A252" t="inlineStr">
        <is>
          <t>A 30217-2022</t>
        </is>
      </c>
      <c r="B252" s="1" t="n">
        <v>44757.92671296297</v>
      </c>
      <c r="C252" s="1" t="n">
        <v>45995</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5341-2025</t>
        </is>
      </c>
      <c r="B253" s="1" t="n">
        <v>45692.55256944444</v>
      </c>
      <c r="C253" s="1" t="n">
        <v>45995</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46139-2021</t>
        </is>
      </c>
      <c r="B254" s="1" t="n">
        <v>44441</v>
      </c>
      <c r="C254" s="1" t="n">
        <v>45995</v>
      </c>
      <c r="D254" t="inlineStr">
        <is>
          <t>JÄMTLANDS LÄN</t>
        </is>
      </c>
      <c r="E254" t="inlineStr">
        <is>
          <t>ÖSTERSUND</t>
        </is>
      </c>
      <c r="G254" t="n">
        <v>12.8</v>
      </c>
      <c r="H254" t="n">
        <v>0</v>
      </c>
      <c r="I254" t="n">
        <v>0</v>
      </c>
      <c r="J254" t="n">
        <v>0</v>
      </c>
      <c r="K254" t="n">
        <v>0</v>
      </c>
      <c r="L254" t="n">
        <v>0</v>
      </c>
      <c r="M254" t="n">
        <v>0</v>
      </c>
      <c r="N254" t="n">
        <v>0</v>
      </c>
      <c r="O254" t="n">
        <v>0</v>
      </c>
      <c r="P254" t="n">
        <v>0</v>
      </c>
      <c r="Q254" t="n">
        <v>0</v>
      </c>
      <c r="R254" s="2" t="inlineStr"/>
    </row>
    <row r="255" ht="15" customHeight="1">
      <c r="A255" t="inlineStr">
        <is>
          <t>A 17066-2024</t>
        </is>
      </c>
      <c r="B255" s="1" t="n">
        <v>45412.46636574074</v>
      </c>
      <c r="C255" s="1" t="n">
        <v>45995</v>
      </c>
      <c r="D255" t="inlineStr">
        <is>
          <t>JÄMTLANDS LÄN</t>
        </is>
      </c>
      <c r="E255" t="inlineStr">
        <is>
          <t>ÖSTERSUND</t>
        </is>
      </c>
      <c r="G255" t="n">
        <v>4.2</v>
      </c>
      <c r="H255" t="n">
        <v>0</v>
      </c>
      <c r="I255" t="n">
        <v>0</v>
      </c>
      <c r="J255" t="n">
        <v>0</v>
      </c>
      <c r="K255" t="n">
        <v>0</v>
      </c>
      <c r="L255" t="n">
        <v>0</v>
      </c>
      <c r="M255" t="n">
        <v>0</v>
      </c>
      <c r="N255" t="n">
        <v>0</v>
      </c>
      <c r="O255" t="n">
        <v>0</v>
      </c>
      <c r="P255" t="n">
        <v>0</v>
      </c>
      <c r="Q255" t="n">
        <v>0</v>
      </c>
      <c r="R255" s="2" t="inlineStr"/>
    </row>
    <row r="256" ht="15" customHeight="1">
      <c r="A256" t="inlineStr">
        <is>
          <t>A 1255-2025</t>
        </is>
      </c>
      <c r="B256" s="1" t="n">
        <v>45667.46922453704</v>
      </c>
      <c r="C256" s="1" t="n">
        <v>45995</v>
      </c>
      <c r="D256" t="inlineStr">
        <is>
          <t>JÄMTLANDS LÄN</t>
        </is>
      </c>
      <c r="E256" t="inlineStr">
        <is>
          <t>ÖSTERSUND</t>
        </is>
      </c>
      <c r="F256" t="inlineStr">
        <is>
          <t>SCA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5549-2025</t>
        </is>
      </c>
      <c r="B257" s="1" t="n">
        <v>45693</v>
      </c>
      <c r="C257" s="1" t="n">
        <v>45995</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4350-2024</t>
        </is>
      </c>
      <c r="B258" s="1" t="n">
        <v>45324.93804398148</v>
      </c>
      <c r="C258" s="1" t="n">
        <v>45995</v>
      </c>
      <c r="D258" t="inlineStr">
        <is>
          <t>JÄMTLANDS LÄN</t>
        </is>
      </c>
      <c r="E258" t="inlineStr">
        <is>
          <t>ÖSTERSUND</t>
        </is>
      </c>
      <c r="F258" t="inlineStr">
        <is>
          <t>SCA</t>
        </is>
      </c>
      <c r="G258" t="n">
        <v>6</v>
      </c>
      <c r="H258" t="n">
        <v>0</v>
      </c>
      <c r="I258" t="n">
        <v>0</v>
      </c>
      <c r="J258" t="n">
        <v>0</v>
      </c>
      <c r="K258" t="n">
        <v>0</v>
      </c>
      <c r="L258" t="n">
        <v>0</v>
      </c>
      <c r="M258" t="n">
        <v>0</v>
      </c>
      <c r="N258" t="n">
        <v>0</v>
      </c>
      <c r="O258" t="n">
        <v>0</v>
      </c>
      <c r="P258" t="n">
        <v>0</v>
      </c>
      <c r="Q258" t="n">
        <v>0</v>
      </c>
      <c r="R258" s="2" t="inlineStr"/>
    </row>
    <row r="259" ht="15" customHeight="1">
      <c r="A259" t="inlineStr">
        <is>
          <t>A 33831-2021</t>
        </is>
      </c>
      <c r="B259" s="1" t="n">
        <v>44378</v>
      </c>
      <c r="C259" s="1" t="n">
        <v>45995</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10756-2025</t>
        </is>
      </c>
      <c r="B260" s="1" t="n">
        <v>45722.44892361111</v>
      </c>
      <c r="C260" s="1" t="n">
        <v>45995</v>
      </c>
      <c r="D260" t="inlineStr">
        <is>
          <t>JÄMTLANDS LÄN</t>
        </is>
      </c>
      <c r="E260" t="inlineStr">
        <is>
          <t>ÖSTERSUND</t>
        </is>
      </c>
      <c r="F260" t="inlineStr">
        <is>
          <t>SCA</t>
        </is>
      </c>
      <c r="G260" t="n">
        <v>4.3</v>
      </c>
      <c r="H260" t="n">
        <v>0</v>
      </c>
      <c r="I260" t="n">
        <v>0</v>
      </c>
      <c r="J260" t="n">
        <v>0</v>
      </c>
      <c r="K260" t="n">
        <v>0</v>
      </c>
      <c r="L260" t="n">
        <v>0</v>
      </c>
      <c r="M260" t="n">
        <v>0</v>
      </c>
      <c r="N260" t="n">
        <v>0</v>
      </c>
      <c r="O260" t="n">
        <v>0</v>
      </c>
      <c r="P260" t="n">
        <v>0</v>
      </c>
      <c r="Q260" t="n">
        <v>0</v>
      </c>
      <c r="R260" s="2" t="inlineStr"/>
    </row>
    <row r="261" ht="15" customHeight="1">
      <c r="A261" t="inlineStr">
        <is>
          <t>A 9971-2025</t>
        </is>
      </c>
      <c r="B261" s="1" t="n">
        <v>45719.38630787037</v>
      </c>
      <c r="C261" s="1" t="n">
        <v>45995</v>
      </c>
      <c r="D261" t="inlineStr">
        <is>
          <t>JÄMTLANDS LÄN</t>
        </is>
      </c>
      <c r="E261" t="inlineStr">
        <is>
          <t>ÖSTERSUND</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6067-2025</t>
        </is>
      </c>
      <c r="B262" s="1" t="n">
        <v>45696.34405092592</v>
      </c>
      <c r="C262" s="1" t="n">
        <v>45995</v>
      </c>
      <c r="D262" t="inlineStr">
        <is>
          <t>JÄMTLANDS LÄN</t>
        </is>
      </c>
      <c r="E262" t="inlineStr">
        <is>
          <t>ÖSTERSUND</t>
        </is>
      </c>
      <c r="G262" t="n">
        <v>2.1</v>
      </c>
      <c r="H262" t="n">
        <v>0</v>
      </c>
      <c r="I262" t="n">
        <v>0</v>
      </c>
      <c r="J262" t="n">
        <v>0</v>
      </c>
      <c r="K262" t="n">
        <v>0</v>
      </c>
      <c r="L262" t="n">
        <v>0</v>
      </c>
      <c r="M262" t="n">
        <v>0</v>
      </c>
      <c r="N262" t="n">
        <v>0</v>
      </c>
      <c r="O262" t="n">
        <v>0</v>
      </c>
      <c r="P262" t="n">
        <v>0</v>
      </c>
      <c r="Q262" t="n">
        <v>0</v>
      </c>
      <c r="R262" s="2" t="inlineStr"/>
    </row>
    <row r="263" ht="15" customHeight="1">
      <c r="A263" t="inlineStr">
        <is>
          <t>A 7233-2025</t>
        </is>
      </c>
      <c r="B263" s="1" t="n">
        <v>45702.51765046296</v>
      </c>
      <c r="C263" s="1" t="n">
        <v>45995</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46748-2023</t>
        </is>
      </c>
      <c r="B264" s="1" t="n">
        <v>45198</v>
      </c>
      <c r="C264" s="1" t="n">
        <v>45995</v>
      </c>
      <c r="D264" t="inlineStr">
        <is>
          <t>JÄMTLANDS LÄN</t>
        </is>
      </c>
      <c r="E264" t="inlineStr">
        <is>
          <t>ÖSTERSUND</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46763-2023</t>
        </is>
      </c>
      <c r="B265" s="1" t="n">
        <v>45198</v>
      </c>
      <c r="C265" s="1" t="n">
        <v>45995</v>
      </c>
      <c r="D265" t="inlineStr">
        <is>
          <t>JÄMTLANDS LÄN</t>
        </is>
      </c>
      <c r="E265" t="inlineStr">
        <is>
          <t>ÖSTERSUND</t>
        </is>
      </c>
      <c r="F265" t="inlineStr">
        <is>
          <t>Sveaskog</t>
        </is>
      </c>
      <c r="G265" t="n">
        <v>13.3</v>
      </c>
      <c r="H265" t="n">
        <v>0</v>
      </c>
      <c r="I265" t="n">
        <v>0</v>
      </c>
      <c r="J265" t="n">
        <v>0</v>
      </c>
      <c r="K265" t="n">
        <v>0</v>
      </c>
      <c r="L265" t="n">
        <v>0</v>
      </c>
      <c r="M265" t="n">
        <v>0</v>
      </c>
      <c r="N265" t="n">
        <v>0</v>
      </c>
      <c r="O265" t="n">
        <v>0</v>
      </c>
      <c r="P265" t="n">
        <v>0</v>
      </c>
      <c r="Q265" t="n">
        <v>0</v>
      </c>
      <c r="R265" s="2" t="inlineStr"/>
    </row>
    <row r="266" ht="15" customHeight="1">
      <c r="A266" t="inlineStr">
        <is>
          <t>A 38142-2021</t>
        </is>
      </c>
      <c r="B266" s="1" t="n">
        <v>44405</v>
      </c>
      <c r="C266" s="1" t="n">
        <v>45995</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54663-2022</t>
        </is>
      </c>
      <c r="B267" s="1" t="n">
        <v>44883.44737268519</v>
      </c>
      <c r="C267" s="1" t="n">
        <v>45995</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57398-2023</t>
        </is>
      </c>
      <c r="B268" s="1" t="n">
        <v>45245</v>
      </c>
      <c r="C268" s="1" t="n">
        <v>45995</v>
      </c>
      <c r="D268" t="inlineStr">
        <is>
          <t>JÄMTLANDS LÄN</t>
        </is>
      </c>
      <c r="E268" t="inlineStr">
        <is>
          <t>ÖSTERSUND</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5024-2025</t>
        </is>
      </c>
      <c r="B269" s="1" t="n">
        <v>45691.40832175926</v>
      </c>
      <c r="C269" s="1" t="n">
        <v>45995</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5025-2025</t>
        </is>
      </c>
      <c r="B270" s="1" t="n">
        <v>45691.40836805556</v>
      </c>
      <c r="C270" s="1" t="n">
        <v>45995</v>
      </c>
      <c r="D270" t="inlineStr">
        <is>
          <t>JÄMTLANDS LÄN</t>
        </is>
      </c>
      <c r="E270" t="inlineStr">
        <is>
          <t>ÖSTERSUND</t>
        </is>
      </c>
      <c r="G270" t="n">
        <v>0.1</v>
      </c>
      <c r="H270" t="n">
        <v>0</v>
      </c>
      <c r="I270" t="n">
        <v>0</v>
      </c>
      <c r="J270" t="n">
        <v>0</v>
      </c>
      <c r="K270" t="n">
        <v>0</v>
      </c>
      <c r="L270" t="n">
        <v>0</v>
      </c>
      <c r="M270" t="n">
        <v>0</v>
      </c>
      <c r="N270" t="n">
        <v>0</v>
      </c>
      <c r="O270" t="n">
        <v>0</v>
      </c>
      <c r="P270" t="n">
        <v>0</v>
      </c>
      <c r="Q270" t="n">
        <v>0</v>
      </c>
      <c r="R270" s="2" t="inlineStr"/>
    </row>
    <row r="271" ht="15" customHeight="1">
      <c r="A271" t="inlineStr">
        <is>
          <t>A 11052-2024</t>
        </is>
      </c>
      <c r="B271" s="1" t="n">
        <v>45370</v>
      </c>
      <c r="C271" s="1" t="n">
        <v>45995</v>
      </c>
      <c r="D271" t="inlineStr">
        <is>
          <t>JÄMTLANDS LÄN</t>
        </is>
      </c>
      <c r="E271" t="inlineStr">
        <is>
          <t>ÖSTERSUND</t>
        </is>
      </c>
      <c r="G271" t="n">
        <v>2.3</v>
      </c>
      <c r="H271" t="n">
        <v>0</v>
      </c>
      <c r="I271" t="n">
        <v>0</v>
      </c>
      <c r="J271" t="n">
        <v>0</v>
      </c>
      <c r="K271" t="n">
        <v>0</v>
      </c>
      <c r="L271" t="n">
        <v>0</v>
      </c>
      <c r="M271" t="n">
        <v>0</v>
      </c>
      <c r="N271" t="n">
        <v>0</v>
      </c>
      <c r="O271" t="n">
        <v>0</v>
      </c>
      <c r="P271" t="n">
        <v>0</v>
      </c>
      <c r="Q271" t="n">
        <v>0</v>
      </c>
      <c r="R271" s="2" t="inlineStr"/>
    </row>
    <row r="272" ht="15" customHeight="1">
      <c r="A272" t="inlineStr">
        <is>
          <t>A 7327-2023</t>
        </is>
      </c>
      <c r="B272" s="1" t="n">
        <v>44970.97871527778</v>
      </c>
      <c r="C272" s="1" t="n">
        <v>45995</v>
      </c>
      <c r="D272" t="inlineStr">
        <is>
          <t>JÄMTLANDS LÄN</t>
        </is>
      </c>
      <c r="E272" t="inlineStr">
        <is>
          <t>ÖSTERSUND</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7022-2025</t>
        </is>
      </c>
      <c r="B273" s="1" t="n">
        <v>45701.61899305556</v>
      </c>
      <c r="C273" s="1" t="n">
        <v>45995</v>
      </c>
      <c r="D273" t="inlineStr">
        <is>
          <t>JÄMTLANDS LÄN</t>
        </is>
      </c>
      <c r="E273" t="inlineStr">
        <is>
          <t>ÖSTERSUND</t>
        </is>
      </c>
      <c r="G273" t="n">
        <v>4.8</v>
      </c>
      <c r="H273" t="n">
        <v>0</v>
      </c>
      <c r="I273" t="n">
        <v>0</v>
      </c>
      <c r="J273" t="n">
        <v>0</v>
      </c>
      <c r="K273" t="n">
        <v>0</v>
      </c>
      <c r="L273" t="n">
        <v>0</v>
      </c>
      <c r="M273" t="n">
        <v>0</v>
      </c>
      <c r="N273" t="n">
        <v>0</v>
      </c>
      <c r="O273" t="n">
        <v>0</v>
      </c>
      <c r="P273" t="n">
        <v>0</v>
      </c>
      <c r="Q273" t="n">
        <v>0</v>
      </c>
      <c r="R273" s="2" t="inlineStr"/>
    </row>
    <row r="274" ht="15" customHeight="1">
      <c r="A274" t="inlineStr">
        <is>
          <t>A 38871-2025</t>
        </is>
      </c>
      <c r="B274" s="1" t="n">
        <v>45887.57407407407</v>
      </c>
      <c r="C274" s="1" t="n">
        <v>45995</v>
      </c>
      <c r="D274" t="inlineStr">
        <is>
          <t>JÄMTLANDS LÄN</t>
        </is>
      </c>
      <c r="E274" t="inlineStr">
        <is>
          <t>ÖSTERSUND</t>
        </is>
      </c>
      <c r="G274" t="n">
        <v>3</v>
      </c>
      <c r="H274" t="n">
        <v>0</v>
      </c>
      <c r="I274" t="n">
        <v>0</v>
      </c>
      <c r="J274" t="n">
        <v>0</v>
      </c>
      <c r="K274" t="n">
        <v>0</v>
      </c>
      <c r="L274" t="n">
        <v>0</v>
      </c>
      <c r="M274" t="n">
        <v>0</v>
      </c>
      <c r="N274" t="n">
        <v>0</v>
      </c>
      <c r="O274" t="n">
        <v>0</v>
      </c>
      <c r="P274" t="n">
        <v>0</v>
      </c>
      <c r="Q274" t="n">
        <v>0</v>
      </c>
      <c r="R274" s="2" t="inlineStr"/>
    </row>
    <row r="275" ht="15" customHeight="1">
      <c r="A275" t="inlineStr">
        <is>
          <t>A 39030-2025</t>
        </is>
      </c>
      <c r="B275" s="1" t="n">
        <v>45888.40700231482</v>
      </c>
      <c r="C275" s="1" t="n">
        <v>45995</v>
      </c>
      <c r="D275" t="inlineStr">
        <is>
          <t>JÄMTLANDS LÄN</t>
        </is>
      </c>
      <c r="E275" t="inlineStr">
        <is>
          <t>ÖSTERSUND</t>
        </is>
      </c>
      <c r="G275" t="n">
        <v>1.8</v>
      </c>
      <c r="H275" t="n">
        <v>0</v>
      </c>
      <c r="I275" t="n">
        <v>0</v>
      </c>
      <c r="J275" t="n">
        <v>0</v>
      </c>
      <c r="K275" t="n">
        <v>0</v>
      </c>
      <c r="L275" t="n">
        <v>0</v>
      </c>
      <c r="M275" t="n">
        <v>0</v>
      </c>
      <c r="N275" t="n">
        <v>0</v>
      </c>
      <c r="O275" t="n">
        <v>0</v>
      </c>
      <c r="P275" t="n">
        <v>0</v>
      </c>
      <c r="Q275" t="n">
        <v>0</v>
      </c>
      <c r="R275" s="2" t="inlineStr"/>
    </row>
    <row r="276" ht="15" customHeight="1">
      <c r="A276" t="inlineStr">
        <is>
          <t>A 18578-2025</t>
        </is>
      </c>
      <c r="B276" s="1" t="n">
        <v>45763</v>
      </c>
      <c r="C276" s="1" t="n">
        <v>45995</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38853-2025</t>
        </is>
      </c>
      <c r="B277" s="1" t="n">
        <v>45887.55666666666</v>
      </c>
      <c r="C277" s="1" t="n">
        <v>45995</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16335-2025</t>
        </is>
      </c>
      <c r="B278" s="1" t="n">
        <v>45751.36518518518</v>
      </c>
      <c r="C278" s="1" t="n">
        <v>45995</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56646-2024</t>
        </is>
      </c>
      <c r="B279" s="1" t="n">
        <v>45625</v>
      </c>
      <c r="C279" s="1" t="n">
        <v>45995</v>
      </c>
      <c r="D279" t="inlineStr">
        <is>
          <t>JÄMTLANDS LÄN</t>
        </is>
      </c>
      <c r="E279" t="inlineStr">
        <is>
          <t>ÖSTERSUND</t>
        </is>
      </c>
      <c r="G279" t="n">
        <v>18.9</v>
      </c>
      <c r="H279" t="n">
        <v>0</v>
      </c>
      <c r="I279" t="n">
        <v>0</v>
      </c>
      <c r="J279" t="n">
        <v>0</v>
      </c>
      <c r="K279" t="n">
        <v>0</v>
      </c>
      <c r="L279" t="n">
        <v>0</v>
      </c>
      <c r="M279" t="n">
        <v>0</v>
      </c>
      <c r="N279" t="n">
        <v>0</v>
      </c>
      <c r="O279" t="n">
        <v>0</v>
      </c>
      <c r="P279" t="n">
        <v>0</v>
      </c>
      <c r="Q279" t="n">
        <v>0</v>
      </c>
      <c r="R279" s="2" t="inlineStr"/>
    </row>
    <row r="280" ht="15" customHeight="1">
      <c r="A280" t="inlineStr">
        <is>
          <t>A 4311-2025</t>
        </is>
      </c>
      <c r="B280" s="1" t="n">
        <v>45685.69267361111</v>
      </c>
      <c r="C280" s="1" t="n">
        <v>45995</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15686-2025</t>
        </is>
      </c>
      <c r="B281" s="1" t="n">
        <v>45748.46021990741</v>
      </c>
      <c r="C281" s="1" t="n">
        <v>45995</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15669-2025</t>
        </is>
      </c>
      <c r="B282" s="1" t="n">
        <v>45748.4396412037</v>
      </c>
      <c r="C282" s="1" t="n">
        <v>45995</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8003-2025</t>
        </is>
      </c>
      <c r="B283" s="1" t="n">
        <v>45707</v>
      </c>
      <c r="C283" s="1" t="n">
        <v>45995</v>
      </c>
      <c r="D283" t="inlineStr">
        <is>
          <t>JÄMTLANDS LÄN</t>
        </is>
      </c>
      <c r="E283" t="inlineStr">
        <is>
          <t>ÖSTERSUND</t>
        </is>
      </c>
      <c r="F283" t="inlineStr">
        <is>
          <t>Övriga Aktiebolag</t>
        </is>
      </c>
      <c r="G283" t="n">
        <v>35.1</v>
      </c>
      <c r="H283" t="n">
        <v>0</v>
      </c>
      <c r="I283" t="n">
        <v>0</v>
      </c>
      <c r="J283" t="n">
        <v>0</v>
      </c>
      <c r="K283" t="n">
        <v>0</v>
      </c>
      <c r="L283" t="n">
        <v>0</v>
      </c>
      <c r="M283" t="n">
        <v>0</v>
      </c>
      <c r="N283" t="n">
        <v>0</v>
      </c>
      <c r="O283" t="n">
        <v>0</v>
      </c>
      <c r="P283" t="n">
        <v>0</v>
      </c>
      <c r="Q283" t="n">
        <v>0</v>
      </c>
      <c r="R283" s="2" t="inlineStr"/>
    </row>
    <row r="284" ht="15" customHeight="1">
      <c r="A284" t="inlineStr">
        <is>
          <t>A 2984-2024</t>
        </is>
      </c>
      <c r="B284" s="1" t="n">
        <v>45315</v>
      </c>
      <c r="C284" s="1" t="n">
        <v>45995</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38644-2021</t>
        </is>
      </c>
      <c r="B285" s="1" t="n">
        <v>44410.35376157407</v>
      </c>
      <c r="C285" s="1" t="n">
        <v>45995</v>
      </c>
      <c r="D285" t="inlineStr">
        <is>
          <t>JÄMTLANDS LÄN</t>
        </is>
      </c>
      <c r="E285" t="inlineStr">
        <is>
          <t>ÖSTERSUND</t>
        </is>
      </c>
      <c r="G285" t="n">
        <v>1</v>
      </c>
      <c r="H285" t="n">
        <v>0</v>
      </c>
      <c r="I285" t="n">
        <v>0</v>
      </c>
      <c r="J285" t="n">
        <v>0</v>
      </c>
      <c r="K285" t="n">
        <v>0</v>
      </c>
      <c r="L285" t="n">
        <v>0</v>
      </c>
      <c r="M285" t="n">
        <v>0</v>
      </c>
      <c r="N285" t="n">
        <v>0</v>
      </c>
      <c r="O285" t="n">
        <v>0</v>
      </c>
      <c r="P285" t="n">
        <v>0</v>
      </c>
      <c r="Q285" t="n">
        <v>0</v>
      </c>
      <c r="R285" s="2" t="inlineStr"/>
    </row>
    <row r="286" ht="15" customHeight="1">
      <c r="A286" t="inlineStr">
        <is>
          <t>A 39103-2025</t>
        </is>
      </c>
      <c r="B286" s="1" t="n">
        <v>45888.52440972222</v>
      </c>
      <c r="C286" s="1" t="n">
        <v>45995</v>
      </c>
      <c r="D286" t="inlineStr">
        <is>
          <t>JÄMTLANDS LÄN</t>
        </is>
      </c>
      <c r="E286" t="inlineStr">
        <is>
          <t>ÖSTERSUND</t>
        </is>
      </c>
      <c r="G286" t="n">
        <v>23.9</v>
      </c>
      <c r="H286" t="n">
        <v>0</v>
      </c>
      <c r="I286" t="n">
        <v>0</v>
      </c>
      <c r="J286" t="n">
        <v>0</v>
      </c>
      <c r="K286" t="n">
        <v>0</v>
      </c>
      <c r="L286" t="n">
        <v>0</v>
      </c>
      <c r="M286" t="n">
        <v>0</v>
      </c>
      <c r="N286" t="n">
        <v>0</v>
      </c>
      <c r="O286" t="n">
        <v>0</v>
      </c>
      <c r="P286" t="n">
        <v>0</v>
      </c>
      <c r="Q286" t="n">
        <v>0</v>
      </c>
      <c r="R286" s="2" t="inlineStr"/>
    </row>
    <row r="287" ht="15" customHeight="1">
      <c r="A287" t="inlineStr">
        <is>
          <t>A 19581-2025</t>
        </is>
      </c>
      <c r="B287" s="1" t="n">
        <v>45770.56363425926</v>
      </c>
      <c r="C287" s="1" t="n">
        <v>45995</v>
      </c>
      <c r="D287" t="inlineStr">
        <is>
          <t>JÄMTLANDS LÄN</t>
        </is>
      </c>
      <c r="E287" t="inlineStr">
        <is>
          <t>ÖSTERSUND</t>
        </is>
      </c>
      <c r="G287" t="n">
        <v>17.2</v>
      </c>
      <c r="H287" t="n">
        <v>0</v>
      </c>
      <c r="I287" t="n">
        <v>0</v>
      </c>
      <c r="J287" t="n">
        <v>0</v>
      </c>
      <c r="K287" t="n">
        <v>0</v>
      </c>
      <c r="L287" t="n">
        <v>0</v>
      </c>
      <c r="M287" t="n">
        <v>0</v>
      </c>
      <c r="N287" t="n">
        <v>0</v>
      </c>
      <c r="O287" t="n">
        <v>0</v>
      </c>
      <c r="P287" t="n">
        <v>0</v>
      </c>
      <c r="Q287" t="n">
        <v>0</v>
      </c>
      <c r="R287" s="2" t="inlineStr"/>
    </row>
    <row r="288" ht="15" customHeight="1">
      <c r="A288" t="inlineStr">
        <is>
          <t>A 25221-2025</t>
        </is>
      </c>
      <c r="B288" s="1" t="n">
        <v>45800.47802083333</v>
      </c>
      <c r="C288" s="1" t="n">
        <v>45995</v>
      </c>
      <c r="D288" t="inlineStr">
        <is>
          <t>JÄMTLANDS LÄN</t>
        </is>
      </c>
      <c r="E288" t="inlineStr">
        <is>
          <t>ÖSTERSUND</t>
        </is>
      </c>
      <c r="G288" t="n">
        <v>1.1</v>
      </c>
      <c r="H288" t="n">
        <v>0</v>
      </c>
      <c r="I288" t="n">
        <v>0</v>
      </c>
      <c r="J288" t="n">
        <v>0</v>
      </c>
      <c r="K288" t="n">
        <v>0</v>
      </c>
      <c r="L288" t="n">
        <v>0</v>
      </c>
      <c r="M288" t="n">
        <v>0</v>
      </c>
      <c r="N288" t="n">
        <v>0</v>
      </c>
      <c r="O288" t="n">
        <v>0</v>
      </c>
      <c r="P288" t="n">
        <v>0</v>
      </c>
      <c r="Q288" t="n">
        <v>0</v>
      </c>
      <c r="R288" s="2" t="inlineStr"/>
    </row>
    <row r="289" ht="15" customHeight="1">
      <c r="A289" t="inlineStr">
        <is>
          <t>A 62111-2024</t>
        </is>
      </c>
      <c r="B289" s="1" t="n">
        <v>45656.53215277778</v>
      </c>
      <c r="C289" s="1" t="n">
        <v>45995</v>
      </c>
      <c r="D289" t="inlineStr">
        <is>
          <t>JÄMTLANDS LÄN</t>
        </is>
      </c>
      <c r="E289" t="inlineStr">
        <is>
          <t>ÖSTERSUND</t>
        </is>
      </c>
      <c r="G289" t="n">
        <v>3.4</v>
      </c>
      <c r="H289" t="n">
        <v>0</v>
      </c>
      <c r="I289" t="n">
        <v>0</v>
      </c>
      <c r="J289" t="n">
        <v>0</v>
      </c>
      <c r="K289" t="n">
        <v>0</v>
      </c>
      <c r="L289" t="n">
        <v>0</v>
      </c>
      <c r="M289" t="n">
        <v>0</v>
      </c>
      <c r="N289" t="n">
        <v>0</v>
      </c>
      <c r="O289" t="n">
        <v>0</v>
      </c>
      <c r="P289" t="n">
        <v>0</v>
      </c>
      <c r="Q289" t="n">
        <v>0</v>
      </c>
      <c r="R289" s="2" t="inlineStr"/>
    </row>
    <row r="290" ht="15" customHeight="1">
      <c r="A290" t="inlineStr">
        <is>
          <t>A 22082-2022</t>
        </is>
      </c>
      <c r="B290" s="1" t="n">
        <v>44711.9403587963</v>
      </c>
      <c r="C290" s="1" t="n">
        <v>45995</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43511-2022</t>
        </is>
      </c>
      <c r="B291" s="1" t="n">
        <v>44837.36724537037</v>
      </c>
      <c r="C291" s="1" t="n">
        <v>45995</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25385-2024</t>
        </is>
      </c>
      <c r="B292" s="1" t="n">
        <v>45462.96347222223</v>
      </c>
      <c r="C292" s="1" t="n">
        <v>45995</v>
      </c>
      <c r="D292" t="inlineStr">
        <is>
          <t>JÄMTLANDS LÄN</t>
        </is>
      </c>
      <c r="E292" t="inlineStr">
        <is>
          <t>ÖSTERSUND</t>
        </is>
      </c>
      <c r="F292" t="inlineStr">
        <is>
          <t>SCA</t>
        </is>
      </c>
      <c r="G292" t="n">
        <v>5.2</v>
      </c>
      <c r="H292" t="n">
        <v>0</v>
      </c>
      <c r="I292" t="n">
        <v>0</v>
      </c>
      <c r="J292" t="n">
        <v>0</v>
      </c>
      <c r="K292" t="n">
        <v>0</v>
      </c>
      <c r="L292" t="n">
        <v>0</v>
      </c>
      <c r="M292" t="n">
        <v>0</v>
      </c>
      <c r="N292" t="n">
        <v>0</v>
      </c>
      <c r="O292" t="n">
        <v>0</v>
      </c>
      <c r="P292" t="n">
        <v>0</v>
      </c>
      <c r="Q292" t="n">
        <v>0</v>
      </c>
      <c r="R292" s="2" t="inlineStr"/>
    </row>
    <row r="293" ht="15" customHeight="1">
      <c r="A293" t="inlineStr">
        <is>
          <t>A 41802-2021</t>
        </is>
      </c>
      <c r="B293" s="1" t="n">
        <v>44425</v>
      </c>
      <c r="C293" s="1" t="n">
        <v>45995</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11181-2025</t>
        </is>
      </c>
      <c r="B294" s="1" t="n">
        <v>45725.44039351852</v>
      </c>
      <c r="C294" s="1" t="n">
        <v>45995</v>
      </c>
      <c r="D294" t="inlineStr">
        <is>
          <t>JÄMTLANDS LÄN</t>
        </is>
      </c>
      <c r="E294" t="inlineStr">
        <is>
          <t>ÖSTERSUND</t>
        </is>
      </c>
      <c r="G294" t="n">
        <v>15.4</v>
      </c>
      <c r="H294" t="n">
        <v>0</v>
      </c>
      <c r="I294" t="n">
        <v>0</v>
      </c>
      <c r="J294" t="n">
        <v>0</v>
      </c>
      <c r="K294" t="n">
        <v>0</v>
      </c>
      <c r="L294" t="n">
        <v>0</v>
      </c>
      <c r="M294" t="n">
        <v>0</v>
      </c>
      <c r="N294" t="n">
        <v>0</v>
      </c>
      <c r="O294" t="n">
        <v>0</v>
      </c>
      <c r="P294" t="n">
        <v>0</v>
      </c>
      <c r="Q294" t="n">
        <v>0</v>
      </c>
      <c r="R294" s="2" t="inlineStr"/>
    </row>
    <row r="295" ht="15" customHeight="1">
      <c r="A295" t="inlineStr">
        <is>
          <t>A 33002-2021</t>
        </is>
      </c>
      <c r="B295" s="1" t="n">
        <v>44375</v>
      </c>
      <c r="C295" s="1" t="n">
        <v>45995</v>
      </c>
      <c r="D295" t="inlineStr">
        <is>
          <t>JÄMTLANDS LÄN</t>
        </is>
      </c>
      <c r="E295" t="inlineStr">
        <is>
          <t>ÖSTERSUND</t>
        </is>
      </c>
      <c r="G295" t="n">
        <v>0.2</v>
      </c>
      <c r="H295" t="n">
        <v>0</v>
      </c>
      <c r="I295" t="n">
        <v>0</v>
      </c>
      <c r="J295" t="n">
        <v>0</v>
      </c>
      <c r="K295" t="n">
        <v>0</v>
      </c>
      <c r="L295" t="n">
        <v>0</v>
      </c>
      <c r="M295" t="n">
        <v>0</v>
      </c>
      <c r="N295" t="n">
        <v>0</v>
      </c>
      <c r="O295" t="n">
        <v>0</v>
      </c>
      <c r="P295" t="n">
        <v>0</v>
      </c>
      <c r="Q295" t="n">
        <v>0</v>
      </c>
      <c r="R295" s="2" t="inlineStr"/>
    </row>
    <row r="296" ht="15" customHeight="1">
      <c r="A296" t="inlineStr">
        <is>
          <t>A 2730-2025</t>
        </is>
      </c>
      <c r="B296" s="1" t="n">
        <v>45677.44393518518</v>
      </c>
      <c r="C296" s="1" t="n">
        <v>45995</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7953-2025</t>
        </is>
      </c>
      <c r="B297" s="1" t="n">
        <v>45707.42392361111</v>
      </c>
      <c r="C297" s="1" t="n">
        <v>45995</v>
      </c>
      <c r="D297" t="inlineStr">
        <is>
          <t>JÄMTLANDS LÄN</t>
        </is>
      </c>
      <c r="E297" t="inlineStr">
        <is>
          <t>ÖSTERSUND</t>
        </is>
      </c>
      <c r="G297" t="n">
        <v>1.8</v>
      </c>
      <c r="H297" t="n">
        <v>0</v>
      </c>
      <c r="I297" t="n">
        <v>0</v>
      </c>
      <c r="J297" t="n">
        <v>0</v>
      </c>
      <c r="K297" t="n">
        <v>0</v>
      </c>
      <c r="L297" t="n">
        <v>0</v>
      </c>
      <c r="M297" t="n">
        <v>0</v>
      </c>
      <c r="N297" t="n">
        <v>0</v>
      </c>
      <c r="O297" t="n">
        <v>0</v>
      </c>
      <c r="P297" t="n">
        <v>0</v>
      </c>
      <c r="Q297" t="n">
        <v>0</v>
      </c>
      <c r="R297" s="2" t="inlineStr"/>
    </row>
    <row r="298" ht="15" customHeight="1">
      <c r="A298" t="inlineStr">
        <is>
          <t>A 13738-2025</t>
        </is>
      </c>
      <c r="B298" s="1" t="n">
        <v>45737.40131944444</v>
      </c>
      <c r="C298" s="1" t="n">
        <v>45995</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55365-2024</t>
        </is>
      </c>
      <c r="B299" s="1" t="n">
        <v>45621.86827546296</v>
      </c>
      <c r="C299" s="1" t="n">
        <v>45995</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60349-2024</t>
        </is>
      </c>
      <c r="B300" s="1" t="n">
        <v>45643.42986111111</v>
      </c>
      <c r="C300" s="1" t="n">
        <v>45995</v>
      </c>
      <c r="D300" t="inlineStr">
        <is>
          <t>JÄMTLANDS LÄN</t>
        </is>
      </c>
      <c r="E300" t="inlineStr">
        <is>
          <t>ÖSTERSUND</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42151-2023</t>
        </is>
      </c>
      <c r="B301" s="1" t="n">
        <v>45177.93612268518</v>
      </c>
      <c r="C301" s="1" t="n">
        <v>45995</v>
      </c>
      <c r="D301" t="inlineStr">
        <is>
          <t>JÄMTLANDS LÄN</t>
        </is>
      </c>
      <c r="E301" t="inlineStr">
        <is>
          <t>ÖSTERSUND</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43016-2024</t>
        </is>
      </c>
      <c r="B302" s="1" t="n">
        <v>45567.39192129629</v>
      </c>
      <c r="C302" s="1" t="n">
        <v>45995</v>
      </c>
      <c r="D302" t="inlineStr">
        <is>
          <t>JÄMTLANDS LÄN</t>
        </is>
      </c>
      <c r="E302" t="inlineStr">
        <is>
          <t>ÖSTERSUND</t>
        </is>
      </c>
      <c r="G302" t="n">
        <v>5.3</v>
      </c>
      <c r="H302" t="n">
        <v>0</v>
      </c>
      <c r="I302" t="n">
        <v>0</v>
      </c>
      <c r="J302" t="n">
        <v>0</v>
      </c>
      <c r="K302" t="n">
        <v>0</v>
      </c>
      <c r="L302" t="n">
        <v>0</v>
      </c>
      <c r="M302" t="n">
        <v>0</v>
      </c>
      <c r="N302" t="n">
        <v>0</v>
      </c>
      <c r="O302" t="n">
        <v>0</v>
      </c>
      <c r="P302" t="n">
        <v>0</v>
      </c>
      <c r="Q302" t="n">
        <v>0</v>
      </c>
      <c r="R302" s="2" t="inlineStr"/>
    </row>
    <row r="303" ht="15" customHeight="1">
      <c r="A303" t="inlineStr">
        <is>
          <t>A 19664-2025</t>
        </is>
      </c>
      <c r="B303" s="1" t="n">
        <v>45770.6925462963</v>
      </c>
      <c r="C303" s="1" t="n">
        <v>45995</v>
      </c>
      <c r="D303" t="inlineStr">
        <is>
          <t>JÄMTLANDS LÄN</t>
        </is>
      </c>
      <c r="E303" t="inlineStr">
        <is>
          <t>ÖSTERSUND</t>
        </is>
      </c>
      <c r="G303" t="n">
        <v>8.6</v>
      </c>
      <c r="H303" t="n">
        <v>0</v>
      </c>
      <c r="I303" t="n">
        <v>0</v>
      </c>
      <c r="J303" t="n">
        <v>0</v>
      </c>
      <c r="K303" t="n">
        <v>0</v>
      </c>
      <c r="L303" t="n">
        <v>0</v>
      </c>
      <c r="M303" t="n">
        <v>0</v>
      </c>
      <c r="N303" t="n">
        <v>0</v>
      </c>
      <c r="O303" t="n">
        <v>0</v>
      </c>
      <c r="P303" t="n">
        <v>0</v>
      </c>
      <c r="Q303" t="n">
        <v>0</v>
      </c>
      <c r="R303" s="2" t="inlineStr"/>
    </row>
    <row r="304" ht="15" customHeight="1">
      <c r="A304" t="inlineStr">
        <is>
          <t>A 51865-2024</t>
        </is>
      </c>
      <c r="B304" s="1" t="n">
        <v>45607.55260416667</v>
      </c>
      <c r="C304" s="1" t="n">
        <v>45995</v>
      </c>
      <c r="D304" t="inlineStr">
        <is>
          <t>JÄMTLANDS LÄN</t>
        </is>
      </c>
      <c r="E304" t="inlineStr">
        <is>
          <t>ÖSTERSUND</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31464-2024</t>
        </is>
      </c>
      <c r="B305" s="1" t="n">
        <v>45505.95078703704</v>
      </c>
      <c r="C305" s="1" t="n">
        <v>45995</v>
      </c>
      <c r="D305" t="inlineStr">
        <is>
          <t>JÄMTLANDS LÄN</t>
        </is>
      </c>
      <c r="E305" t="inlineStr">
        <is>
          <t>ÖSTERSUND</t>
        </is>
      </c>
      <c r="F305" t="inlineStr">
        <is>
          <t>SCA</t>
        </is>
      </c>
      <c r="G305" t="n">
        <v>8.1</v>
      </c>
      <c r="H305" t="n">
        <v>0</v>
      </c>
      <c r="I305" t="n">
        <v>0</v>
      </c>
      <c r="J305" t="n">
        <v>0</v>
      </c>
      <c r="K305" t="n">
        <v>0</v>
      </c>
      <c r="L305" t="n">
        <v>0</v>
      </c>
      <c r="M305" t="n">
        <v>0</v>
      </c>
      <c r="N305" t="n">
        <v>0</v>
      </c>
      <c r="O305" t="n">
        <v>0</v>
      </c>
      <c r="P305" t="n">
        <v>0</v>
      </c>
      <c r="Q305" t="n">
        <v>0</v>
      </c>
      <c r="R305" s="2" t="inlineStr"/>
    </row>
    <row r="306" ht="15" customHeight="1">
      <c r="A306" t="inlineStr">
        <is>
          <t>A 58364-2024</t>
        </is>
      </c>
      <c r="B306" s="1" t="n">
        <v>45632.68814814815</v>
      </c>
      <c r="C306" s="1" t="n">
        <v>45995</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21667-2024</t>
        </is>
      </c>
      <c r="B307" s="1" t="n">
        <v>45442.38511574074</v>
      </c>
      <c r="C307" s="1" t="n">
        <v>45995</v>
      </c>
      <c r="D307" t="inlineStr">
        <is>
          <t>JÄMTLANDS LÄN</t>
        </is>
      </c>
      <c r="E307" t="inlineStr">
        <is>
          <t>ÖSTERSUND</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40360-2025</t>
        </is>
      </c>
      <c r="B308" s="1" t="n">
        <v>45895.49024305555</v>
      </c>
      <c r="C308" s="1" t="n">
        <v>45995</v>
      </c>
      <c r="D308" t="inlineStr">
        <is>
          <t>JÄMTLANDS LÄN</t>
        </is>
      </c>
      <c r="E308" t="inlineStr">
        <is>
          <t>ÖSTERSUND</t>
        </is>
      </c>
      <c r="G308" t="n">
        <v>3.7</v>
      </c>
      <c r="H308" t="n">
        <v>0</v>
      </c>
      <c r="I308" t="n">
        <v>0</v>
      </c>
      <c r="J308" t="n">
        <v>0</v>
      </c>
      <c r="K308" t="n">
        <v>0</v>
      </c>
      <c r="L308" t="n">
        <v>0</v>
      </c>
      <c r="M308" t="n">
        <v>0</v>
      </c>
      <c r="N308" t="n">
        <v>0</v>
      </c>
      <c r="O308" t="n">
        <v>0</v>
      </c>
      <c r="P308" t="n">
        <v>0</v>
      </c>
      <c r="Q308" t="n">
        <v>0</v>
      </c>
      <c r="R308" s="2" t="inlineStr"/>
    </row>
    <row r="309" ht="15" customHeight="1">
      <c r="A309" t="inlineStr">
        <is>
          <t>A 40325-2025</t>
        </is>
      </c>
      <c r="B309" s="1" t="n">
        <v>45895.4484837963</v>
      </c>
      <c r="C309" s="1" t="n">
        <v>45995</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44489-2024</t>
        </is>
      </c>
      <c r="B310" s="1" t="n">
        <v>45574.38943287037</v>
      </c>
      <c r="C310" s="1" t="n">
        <v>45995</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56111-2022</t>
        </is>
      </c>
      <c r="B311" s="1" t="n">
        <v>44889</v>
      </c>
      <c r="C311" s="1" t="n">
        <v>45995</v>
      </c>
      <c r="D311" t="inlineStr">
        <is>
          <t>JÄMTLANDS LÄN</t>
        </is>
      </c>
      <c r="E311" t="inlineStr">
        <is>
          <t>ÖSTERSUND</t>
        </is>
      </c>
      <c r="G311" t="n">
        <v>2.5</v>
      </c>
      <c r="H311" t="n">
        <v>0</v>
      </c>
      <c r="I311" t="n">
        <v>0</v>
      </c>
      <c r="J311" t="n">
        <v>0</v>
      </c>
      <c r="K311" t="n">
        <v>0</v>
      </c>
      <c r="L311" t="n">
        <v>0</v>
      </c>
      <c r="M311" t="n">
        <v>0</v>
      </c>
      <c r="N311" t="n">
        <v>0</v>
      </c>
      <c r="O311" t="n">
        <v>0</v>
      </c>
      <c r="P311" t="n">
        <v>0</v>
      </c>
      <c r="Q311" t="n">
        <v>0</v>
      </c>
      <c r="R311" s="2" t="inlineStr"/>
    </row>
    <row r="312" ht="15" customHeight="1">
      <c r="A312" t="inlineStr">
        <is>
          <t>A 40361-2025</t>
        </is>
      </c>
      <c r="B312" s="1" t="n">
        <v>45895.49026620371</v>
      </c>
      <c r="C312" s="1" t="n">
        <v>45995</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40326-2025</t>
        </is>
      </c>
      <c r="B313" s="1" t="n">
        <v>45895.44856481482</v>
      </c>
      <c r="C313" s="1" t="n">
        <v>45995</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14182-2025</t>
        </is>
      </c>
      <c r="B314" s="1" t="n">
        <v>45740.54168981482</v>
      </c>
      <c r="C314" s="1" t="n">
        <v>45995</v>
      </c>
      <c r="D314" t="inlineStr">
        <is>
          <t>JÄMTLANDS LÄN</t>
        </is>
      </c>
      <c r="E314" t="inlineStr">
        <is>
          <t>ÖSTERSUND</t>
        </is>
      </c>
      <c r="F314" t="inlineStr">
        <is>
          <t>Övriga Aktiebolag</t>
        </is>
      </c>
      <c r="G314" t="n">
        <v>20.1</v>
      </c>
      <c r="H314" t="n">
        <v>0</v>
      </c>
      <c r="I314" t="n">
        <v>0</v>
      </c>
      <c r="J314" t="n">
        <v>0</v>
      </c>
      <c r="K314" t="n">
        <v>0</v>
      </c>
      <c r="L314" t="n">
        <v>0</v>
      </c>
      <c r="M314" t="n">
        <v>0</v>
      </c>
      <c r="N314" t="n">
        <v>0</v>
      </c>
      <c r="O314" t="n">
        <v>0</v>
      </c>
      <c r="P314" t="n">
        <v>0</v>
      </c>
      <c r="Q314" t="n">
        <v>0</v>
      </c>
      <c r="R314" s="2" t="inlineStr"/>
    </row>
    <row r="315" ht="15" customHeight="1">
      <c r="A315" t="inlineStr">
        <is>
          <t>A 47022-2024</t>
        </is>
      </c>
      <c r="B315" s="1" t="n">
        <v>45586.40660879629</v>
      </c>
      <c r="C315" s="1" t="n">
        <v>45995</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4521-2025</t>
        </is>
      </c>
      <c r="B316" s="1" t="n">
        <v>45686</v>
      </c>
      <c r="C316" s="1" t="n">
        <v>45995</v>
      </c>
      <c r="D316" t="inlineStr">
        <is>
          <t>JÄMTLANDS LÄN</t>
        </is>
      </c>
      <c r="E316" t="inlineStr">
        <is>
          <t>ÖSTERSUND</t>
        </is>
      </c>
      <c r="G316" t="n">
        <v>28.4</v>
      </c>
      <c r="H316" t="n">
        <v>0</v>
      </c>
      <c r="I316" t="n">
        <v>0</v>
      </c>
      <c r="J316" t="n">
        <v>0</v>
      </c>
      <c r="K316" t="n">
        <v>0</v>
      </c>
      <c r="L316" t="n">
        <v>0</v>
      </c>
      <c r="M316" t="n">
        <v>0</v>
      </c>
      <c r="N316" t="n">
        <v>0</v>
      </c>
      <c r="O316" t="n">
        <v>0</v>
      </c>
      <c r="P316" t="n">
        <v>0</v>
      </c>
      <c r="Q316" t="n">
        <v>0</v>
      </c>
      <c r="R316" s="2" t="inlineStr"/>
    </row>
    <row r="317" ht="15" customHeight="1">
      <c r="A317" t="inlineStr">
        <is>
          <t>A 62225-2022</t>
        </is>
      </c>
      <c r="B317" s="1" t="n">
        <v>44922</v>
      </c>
      <c r="C317" s="1" t="n">
        <v>45995</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9552-2025</t>
        </is>
      </c>
      <c r="B318" s="1" t="n">
        <v>45715.59545138889</v>
      </c>
      <c r="C318" s="1" t="n">
        <v>45995</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4500-2025</t>
        </is>
      </c>
      <c r="B319" s="1" t="n">
        <v>45686.6859375</v>
      </c>
      <c r="C319" s="1" t="n">
        <v>45995</v>
      </c>
      <c r="D319" t="inlineStr">
        <is>
          <t>JÄMTLANDS LÄN</t>
        </is>
      </c>
      <c r="E319" t="inlineStr">
        <is>
          <t>ÖSTERSUND</t>
        </is>
      </c>
      <c r="G319" t="n">
        <v>28.4</v>
      </c>
      <c r="H319" t="n">
        <v>0</v>
      </c>
      <c r="I319" t="n">
        <v>0</v>
      </c>
      <c r="J319" t="n">
        <v>0</v>
      </c>
      <c r="K319" t="n">
        <v>0</v>
      </c>
      <c r="L319" t="n">
        <v>0</v>
      </c>
      <c r="M319" t="n">
        <v>0</v>
      </c>
      <c r="N319" t="n">
        <v>0</v>
      </c>
      <c r="O319" t="n">
        <v>0</v>
      </c>
      <c r="P319" t="n">
        <v>0</v>
      </c>
      <c r="Q319" t="n">
        <v>0</v>
      </c>
      <c r="R319" s="2" t="inlineStr"/>
    </row>
    <row r="320" ht="15" customHeight="1">
      <c r="A320" t="inlineStr">
        <is>
          <t>A 2228-2024</t>
        </is>
      </c>
      <c r="B320" s="1" t="n">
        <v>45309</v>
      </c>
      <c r="C320" s="1" t="n">
        <v>45995</v>
      </c>
      <c r="D320" t="inlineStr">
        <is>
          <t>JÄMTLANDS LÄN</t>
        </is>
      </c>
      <c r="E320" t="inlineStr">
        <is>
          <t>ÖSTERSUND</t>
        </is>
      </c>
      <c r="G320" t="n">
        <v>2.5</v>
      </c>
      <c r="H320" t="n">
        <v>0</v>
      </c>
      <c r="I320" t="n">
        <v>0</v>
      </c>
      <c r="J320" t="n">
        <v>0</v>
      </c>
      <c r="K320" t="n">
        <v>0</v>
      </c>
      <c r="L320" t="n">
        <v>0</v>
      </c>
      <c r="M320" t="n">
        <v>0</v>
      </c>
      <c r="N320" t="n">
        <v>0</v>
      </c>
      <c r="O320" t="n">
        <v>0</v>
      </c>
      <c r="P320" t="n">
        <v>0</v>
      </c>
      <c r="Q320" t="n">
        <v>0</v>
      </c>
      <c r="R320" s="2" t="inlineStr"/>
    </row>
    <row r="321" ht="15" customHeight="1">
      <c r="A321" t="inlineStr">
        <is>
          <t>A 20400-2024</t>
        </is>
      </c>
      <c r="B321" s="1" t="n">
        <v>45435.55372685185</v>
      </c>
      <c r="C321" s="1" t="n">
        <v>45995</v>
      </c>
      <c r="D321" t="inlineStr">
        <is>
          <t>JÄMTLANDS LÄN</t>
        </is>
      </c>
      <c r="E321" t="inlineStr">
        <is>
          <t>ÖSTERSUND</t>
        </is>
      </c>
      <c r="G321" t="n">
        <v>0.9</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45995</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28179-2024</t>
        </is>
      </c>
      <c r="B323" s="1" t="n">
        <v>45477.26746527778</v>
      </c>
      <c r="C323" s="1" t="n">
        <v>45995</v>
      </c>
      <c r="D323" t="inlineStr">
        <is>
          <t>JÄMTLANDS LÄN</t>
        </is>
      </c>
      <c r="E323" t="inlineStr">
        <is>
          <t>ÖSTERSUND</t>
        </is>
      </c>
      <c r="G323" t="n">
        <v>2.2</v>
      </c>
      <c r="H323" t="n">
        <v>0</v>
      </c>
      <c r="I323" t="n">
        <v>0</v>
      </c>
      <c r="J323" t="n">
        <v>0</v>
      </c>
      <c r="K323" t="n">
        <v>0</v>
      </c>
      <c r="L323" t="n">
        <v>0</v>
      </c>
      <c r="M323" t="n">
        <v>0</v>
      </c>
      <c r="N323" t="n">
        <v>0</v>
      </c>
      <c r="O323" t="n">
        <v>0</v>
      </c>
      <c r="P323" t="n">
        <v>0</v>
      </c>
      <c r="Q323" t="n">
        <v>0</v>
      </c>
      <c r="R323" s="2" t="inlineStr"/>
    </row>
    <row r="324" ht="15" customHeight="1">
      <c r="A324" t="inlineStr">
        <is>
          <t>A 44051-2021</t>
        </is>
      </c>
      <c r="B324" s="1" t="n">
        <v>44434</v>
      </c>
      <c r="C324" s="1" t="n">
        <v>45995</v>
      </c>
      <c r="D324" t="inlineStr">
        <is>
          <t>JÄMTLANDS LÄN</t>
        </is>
      </c>
      <c r="E324" t="inlineStr">
        <is>
          <t>ÖSTERSUND</t>
        </is>
      </c>
      <c r="G324" t="n">
        <v>2.9</v>
      </c>
      <c r="H324" t="n">
        <v>0</v>
      </c>
      <c r="I324" t="n">
        <v>0</v>
      </c>
      <c r="J324" t="n">
        <v>0</v>
      </c>
      <c r="K324" t="n">
        <v>0</v>
      </c>
      <c r="L324" t="n">
        <v>0</v>
      </c>
      <c r="M324" t="n">
        <v>0</v>
      </c>
      <c r="N324" t="n">
        <v>0</v>
      </c>
      <c r="O324" t="n">
        <v>0</v>
      </c>
      <c r="P324" t="n">
        <v>0</v>
      </c>
      <c r="Q324" t="n">
        <v>0</v>
      </c>
      <c r="R324" s="2" t="inlineStr"/>
    </row>
    <row r="325" ht="15" customHeight="1">
      <c r="A325" t="inlineStr">
        <is>
          <t>A 14518-2023</t>
        </is>
      </c>
      <c r="B325" s="1" t="n">
        <v>45012</v>
      </c>
      <c r="C325" s="1" t="n">
        <v>45995</v>
      </c>
      <c r="D325" t="inlineStr">
        <is>
          <t>JÄMTLANDS LÄN</t>
        </is>
      </c>
      <c r="E325" t="inlineStr">
        <is>
          <t>ÖSTERSUND</t>
        </is>
      </c>
      <c r="G325" t="n">
        <v>14.4</v>
      </c>
      <c r="H325" t="n">
        <v>0</v>
      </c>
      <c r="I325" t="n">
        <v>0</v>
      </c>
      <c r="J325" t="n">
        <v>0</v>
      </c>
      <c r="K325" t="n">
        <v>0</v>
      </c>
      <c r="L325" t="n">
        <v>0</v>
      </c>
      <c r="M325" t="n">
        <v>0</v>
      </c>
      <c r="N325" t="n">
        <v>0</v>
      </c>
      <c r="O325" t="n">
        <v>0</v>
      </c>
      <c r="P325" t="n">
        <v>0</v>
      </c>
      <c r="Q325" t="n">
        <v>0</v>
      </c>
      <c r="R325" s="2" t="inlineStr"/>
    </row>
    <row r="326" ht="15" customHeight="1">
      <c r="A326" t="inlineStr">
        <is>
          <t>A 51826-2024</t>
        </is>
      </c>
      <c r="B326" s="1" t="n">
        <v>45607.50137731482</v>
      </c>
      <c r="C326" s="1" t="n">
        <v>45995</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17570-2025</t>
        </is>
      </c>
      <c r="B327" s="1" t="n">
        <v>45757.64563657407</v>
      </c>
      <c r="C327" s="1" t="n">
        <v>45995</v>
      </c>
      <c r="D327" t="inlineStr">
        <is>
          <t>JÄMTLANDS LÄN</t>
        </is>
      </c>
      <c r="E327" t="inlineStr">
        <is>
          <t>ÖSTERSUND</t>
        </is>
      </c>
      <c r="G327" t="n">
        <v>2.4</v>
      </c>
      <c r="H327" t="n">
        <v>0</v>
      </c>
      <c r="I327" t="n">
        <v>0</v>
      </c>
      <c r="J327" t="n">
        <v>0</v>
      </c>
      <c r="K327" t="n">
        <v>0</v>
      </c>
      <c r="L327" t="n">
        <v>0</v>
      </c>
      <c r="M327" t="n">
        <v>0</v>
      </c>
      <c r="N327" t="n">
        <v>0</v>
      </c>
      <c r="O327" t="n">
        <v>0</v>
      </c>
      <c r="P327" t="n">
        <v>0</v>
      </c>
      <c r="Q327" t="n">
        <v>0</v>
      </c>
      <c r="R327" s="2" t="inlineStr"/>
    </row>
    <row r="328" ht="15" customHeight="1">
      <c r="A328" t="inlineStr">
        <is>
          <t>A 41675-2025</t>
        </is>
      </c>
      <c r="B328" s="1" t="n">
        <v>45902.36641203704</v>
      </c>
      <c r="C328" s="1" t="n">
        <v>45995</v>
      </c>
      <c r="D328" t="inlineStr">
        <is>
          <t>JÄMTLANDS LÄN</t>
        </is>
      </c>
      <c r="E328" t="inlineStr">
        <is>
          <t>ÖSTERSUND</t>
        </is>
      </c>
      <c r="G328" t="n">
        <v>0.5</v>
      </c>
      <c r="H328" t="n">
        <v>0</v>
      </c>
      <c r="I328" t="n">
        <v>0</v>
      </c>
      <c r="J328" t="n">
        <v>0</v>
      </c>
      <c r="K328" t="n">
        <v>0</v>
      </c>
      <c r="L328" t="n">
        <v>0</v>
      </c>
      <c r="M328" t="n">
        <v>0</v>
      </c>
      <c r="N328" t="n">
        <v>0</v>
      </c>
      <c r="O328" t="n">
        <v>0</v>
      </c>
      <c r="P328" t="n">
        <v>0</v>
      </c>
      <c r="Q328" t="n">
        <v>0</v>
      </c>
      <c r="R328" s="2" t="inlineStr"/>
    </row>
    <row r="329" ht="15" customHeight="1">
      <c r="A329" t="inlineStr">
        <is>
          <t>A 41708-2025</t>
        </is>
      </c>
      <c r="B329" s="1" t="n">
        <v>45902.42280092592</v>
      </c>
      <c r="C329" s="1" t="n">
        <v>45995</v>
      </c>
      <c r="D329" t="inlineStr">
        <is>
          <t>JÄMTLANDS LÄN</t>
        </is>
      </c>
      <c r="E329" t="inlineStr">
        <is>
          <t>ÖSTERSUND</t>
        </is>
      </c>
      <c r="G329" t="n">
        <v>1.2</v>
      </c>
      <c r="H329" t="n">
        <v>0</v>
      </c>
      <c r="I329" t="n">
        <v>0</v>
      </c>
      <c r="J329" t="n">
        <v>0</v>
      </c>
      <c r="K329" t="n">
        <v>0</v>
      </c>
      <c r="L329" t="n">
        <v>0</v>
      </c>
      <c r="M329" t="n">
        <v>0</v>
      </c>
      <c r="N329" t="n">
        <v>0</v>
      </c>
      <c r="O329" t="n">
        <v>0</v>
      </c>
      <c r="P329" t="n">
        <v>0</v>
      </c>
      <c r="Q329" t="n">
        <v>0</v>
      </c>
      <c r="R329" s="2" t="inlineStr"/>
    </row>
    <row r="330" ht="15" customHeight="1">
      <c r="A330" t="inlineStr">
        <is>
          <t>A 27906-2024</t>
        </is>
      </c>
      <c r="B330" s="1" t="n">
        <v>45475.94585648148</v>
      </c>
      <c r="C330" s="1" t="n">
        <v>45995</v>
      </c>
      <c r="D330" t="inlineStr">
        <is>
          <t>JÄMTLANDS LÄN</t>
        </is>
      </c>
      <c r="E330" t="inlineStr">
        <is>
          <t>ÖSTERSUND</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13166-2023</t>
        </is>
      </c>
      <c r="B331" s="1" t="n">
        <v>45002</v>
      </c>
      <c r="C331" s="1" t="n">
        <v>45995</v>
      </c>
      <c r="D331" t="inlineStr">
        <is>
          <t>JÄMTLANDS LÄN</t>
        </is>
      </c>
      <c r="E331" t="inlineStr">
        <is>
          <t>ÖSTERSUND</t>
        </is>
      </c>
      <c r="F331" t="inlineStr">
        <is>
          <t>Övriga statliga verk och myndigheter</t>
        </is>
      </c>
      <c r="G331" t="n">
        <v>1</v>
      </c>
      <c r="H331" t="n">
        <v>0</v>
      </c>
      <c r="I331" t="n">
        <v>0</v>
      </c>
      <c r="J331" t="n">
        <v>0</v>
      </c>
      <c r="K331" t="n">
        <v>0</v>
      </c>
      <c r="L331" t="n">
        <v>0</v>
      </c>
      <c r="M331" t="n">
        <v>0</v>
      </c>
      <c r="N331" t="n">
        <v>0</v>
      </c>
      <c r="O331" t="n">
        <v>0</v>
      </c>
      <c r="P331" t="n">
        <v>0</v>
      </c>
      <c r="Q331" t="n">
        <v>0</v>
      </c>
      <c r="R331" s="2" t="inlineStr"/>
    </row>
    <row r="332" ht="15" customHeight="1">
      <c r="A332" t="inlineStr">
        <is>
          <t>A 41582-2025</t>
        </is>
      </c>
      <c r="B332" s="1" t="n">
        <v>45901</v>
      </c>
      <c r="C332" s="1" t="n">
        <v>45995</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60681-2022</t>
        </is>
      </c>
      <c r="B333" s="1" t="n">
        <v>44911.93994212963</v>
      </c>
      <c r="C333" s="1" t="n">
        <v>45995</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42129-2025</t>
        </is>
      </c>
      <c r="B334" s="1" t="n">
        <v>45904.3452662037</v>
      </c>
      <c r="C334" s="1" t="n">
        <v>45995</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9109-2024</t>
        </is>
      </c>
      <c r="B335" s="1" t="n">
        <v>45357.96106481482</v>
      </c>
      <c r="C335" s="1" t="n">
        <v>45995</v>
      </c>
      <c r="D335" t="inlineStr">
        <is>
          <t>JÄMTLANDS LÄN</t>
        </is>
      </c>
      <c r="E335" t="inlineStr">
        <is>
          <t>ÖSTERSUND</t>
        </is>
      </c>
      <c r="G335" t="n">
        <v>17.1</v>
      </c>
      <c r="H335" t="n">
        <v>0</v>
      </c>
      <c r="I335" t="n">
        <v>0</v>
      </c>
      <c r="J335" t="n">
        <v>0</v>
      </c>
      <c r="K335" t="n">
        <v>0</v>
      </c>
      <c r="L335" t="n">
        <v>0</v>
      </c>
      <c r="M335" t="n">
        <v>0</v>
      </c>
      <c r="N335" t="n">
        <v>0</v>
      </c>
      <c r="O335" t="n">
        <v>0</v>
      </c>
      <c r="P335" t="n">
        <v>0</v>
      </c>
      <c r="Q335" t="n">
        <v>0</v>
      </c>
      <c r="R335" s="2" t="inlineStr"/>
    </row>
    <row r="336" ht="15" customHeight="1">
      <c r="A336" t="inlineStr">
        <is>
          <t>A 25995-2025</t>
        </is>
      </c>
      <c r="B336" s="1" t="n">
        <v>45804.656875</v>
      </c>
      <c r="C336" s="1" t="n">
        <v>45995</v>
      </c>
      <c r="D336" t="inlineStr">
        <is>
          <t>JÄMTLANDS LÄN</t>
        </is>
      </c>
      <c r="E336" t="inlineStr">
        <is>
          <t>ÖSTERSUND</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18627-2024</t>
        </is>
      </c>
      <c r="B337" s="1" t="n">
        <v>45425.96443287037</v>
      </c>
      <c r="C337" s="1" t="n">
        <v>45995</v>
      </c>
      <c r="D337" t="inlineStr">
        <is>
          <t>JÄMTLANDS LÄN</t>
        </is>
      </c>
      <c r="E337" t="inlineStr">
        <is>
          <t>ÖSTERSUND</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61256-2022</t>
        </is>
      </c>
      <c r="B338" s="1" t="n">
        <v>44909</v>
      </c>
      <c r="C338" s="1" t="n">
        <v>45995</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48696-2024</t>
        </is>
      </c>
      <c r="B339" s="1" t="n">
        <v>45593.51123842593</v>
      </c>
      <c r="C339" s="1" t="n">
        <v>45995</v>
      </c>
      <c r="D339" t="inlineStr">
        <is>
          <t>JÄMTLANDS LÄN</t>
        </is>
      </c>
      <c r="E339" t="inlineStr">
        <is>
          <t>ÖSTERSUND</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22126-2021</t>
        </is>
      </c>
      <c r="B340" s="1" t="n">
        <v>44323</v>
      </c>
      <c r="C340" s="1" t="n">
        <v>45995</v>
      </c>
      <c r="D340" t="inlineStr">
        <is>
          <t>JÄMTLANDS LÄN</t>
        </is>
      </c>
      <c r="E340" t="inlineStr">
        <is>
          <t>ÖSTERSUND</t>
        </is>
      </c>
      <c r="G340" t="n">
        <v>1.4</v>
      </c>
      <c r="H340" t="n">
        <v>0</v>
      </c>
      <c r="I340" t="n">
        <v>0</v>
      </c>
      <c r="J340" t="n">
        <v>0</v>
      </c>
      <c r="K340" t="n">
        <v>0</v>
      </c>
      <c r="L340" t="n">
        <v>0</v>
      </c>
      <c r="M340" t="n">
        <v>0</v>
      </c>
      <c r="N340" t="n">
        <v>0</v>
      </c>
      <c r="O340" t="n">
        <v>0</v>
      </c>
      <c r="P340" t="n">
        <v>0</v>
      </c>
      <c r="Q340" t="n">
        <v>0</v>
      </c>
      <c r="R340" s="2" t="inlineStr"/>
    </row>
    <row r="341" ht="15" customHeight="1">
      <c r="A341" t="inlineStr">
        <is>
          <t>A 60560-2022</t>
        </is>
      </c>
      <c r="B341" s="1" t="n">
        <v>44911.54984953703</v>
      </c>
      <c r="C341" s="1" t="n">
        <v>45995</v>
      </c>
      <c r="D341" t="inlineStr">
        <is>
          <t>JÄMTLANDS LÄN</t>
        </is>
      </c>
      <c r="E341" t="inlineStr">
        <is>
          <t>ÖSTERSUND</t>
        </is>
      </c>
      <c r="G341" t="n">
        <v>0.9</v>
      </c>
      <c r="H341" t="n">
        <v>0</v>
      </c>
      <c r="I341" t="n">
        <v>0</v>
      </c>
      <c r="J341" t="n">
        <v>0</v>
      </c>
      <c r="K341" t="n">
        <v>0</v>
      </c>
      <c r="L341" t="n">
        <v>0</v>
      </c>
      <c r="M341" t="n">
        <v>0</v>
      </c>
      <c r="N341" t="n">
        <v>0</v>
      </c>
      <c r="O341" t="n">
        <v>0</v>
      </c>
      <c r="P341" t="n">
        <v>0</v>
      </c>
      <c r="Q341" t="n">
        <v>0</v>
      </c>
      <c r="R341" s="2" t="inlineStr"/>
    </row>
    <row r="342" ht="15" customHeight="1">
      <c r="A342" t="inlineStr">
        <is>
          <t>A 16753-2025</t>
        </is>
      </c>
      <c r="B342" s="1" t="n">
        <v>45754.56839120371</v>
      </c>
      <c r="C342" s="1" t="n">
        <v>45995</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25187-2024</t>
        </is>
      </c>
      <c r="B343" s="1" t="n">
        <v>45462.56172453704</v>
      </c>
      <c r="C343" s="1" t="n">
        <v>45995</v>
      </c>
      <c r="D343" t="inlineStr">
        <is>
          <t>JÄMTLANDS LÄN</t>
        </is>
      </c>
      <c r="E343" t="inlineStr">
        <is>
          <t>ÖSTERSUND</t>
        </is>
      </c>
      <c r="G343" t="n">
        <v>2.4</v>
      </c>
      <c r="H343" t="n">
        <v>0</v>
      </c>
      <c r="I343" t="n">
        <v>0</v>
      </c>
      <c r="J343" t="n">
        <v>0</v>
      </c>
      <c r="K343" t="n">
        <v>0</v>
      </c>
      <c r="L343" t="n">
        <v>0</v>
      </c>
      <c r="M343" t="n">
        <v>0</v>
      </c>
      <c r="N343" t="n">
        <v>0</v>
      </c>
      <c r="O343" t="n">
        <v>0</v>
      </c>
      <c r="P343" t="n">
        <v>0</v>
      </c>
      <c r="Q343" t="n">
        <v>0</v>
      </c>
      <c r="R343" s="2" t="inlineStr"/>
    </row>
    <row r="344" ht="15" customHeight="1">
      <c r="A344" t="inlineStr">
        <is>
          <t>A 36099-2025</t>
        </is>
      </c>
      <c r="B344" s="1" t="n">
        <v>45866.51630787037</v>
      </c>
      <c r="C344" s="1" t="n">
        <v>45995</v>
      </c>
      <c r="D344" t="inlineStr">
        <is>
          <t>JÄMTLANDS LÄN</t>
        </is>
      </c>
      <c r="E344" t="inlineStr">
        <is>
          <t>ÖSTERSUND</t>
        </is>
      </c>
      <c r="G344" t="n">
        <v>1.9</v>
      </c>
      <c r="H344" t="n">
        <v>0</v>
      </c>
      <c r="I344" t="n">
        <v>0</v>
      </c>
      <c r="J344" t="n">
        <v>0</v>
      </c>
      <c r="K344" t="n">
        <v>0</v>
      </c>
      <c r="L344" t="n">
        <v>0</v>
      </c>
      <c r="M344" t="n">
        <v>0</v>
      </c>
      <c r="N344" t="n">
        <v>0</v>
      </c>
      <c r="O344" t="n">
        <v>0</v>
      </c>
      <c r="P344" t="n">
        <v>0</v>
      </c>
      <c r="Q344" t="n">
        <v>0</v>
      </c>
      <c r="R344" s="2" t="inlineStr"/>
    </row>
    <row r="345" ht="15" customHeight="1">
      <c r="A345" t="inlineStr">
        <is>
          <t>A 39975-2024</t>
        </is>
      </c>
      <c r="B345" s="1" t="n">
        <v>45553.60474537037</v>
      </c>
      <c r="C345" s="1" t="n">
        <v>45995</v>
      </c>
      <c r="D345" t="inlineStr">
        <is>
          <t>JÄMTLANDS LÄN</t>
        </is>
      </c>
      <c r="E345" t="inlineStr">
        <is>
          <t>ÖSTERSUND</t>
        </is>
      </c>
      <c r="G345" t="n">
        <v>3.8</v>
      </c>
      <c r="H345" t="n">
        <v>0</v>
      </c>
      <c r="I345" t="n">
        <v>0</v>
      </c>
      <c r="J345" t="n">
        <v>0</v>
      </c>
      <c r="K345" t="n">
        <v>0</v>
      </c>
      <c r="L345" t="n">
        <v>0</v>
      </c>
      <c r="M345" t="n">
        <v>0</v>
      </c>
      <c r="N345" t="n">
        <v>0</v>
      </c>
      <c r="O345" t="n">
        <v>0</v>
      </c>
      <c r="P345" t="n">
        <v>0</v>
      </c>
      <c r="Q345" t="n">
        <v>0</v>
      </c>
      <c r="R345" s="2" t="inlineStr"/>
    </row>
    <row r="346" ht="15" customHeight="1">
      <c r="A346" t="inlineStr">
        <is>
          <t>A 51936-2023</t>
        </is>
      </c>
      <c r="B346" s="1" t="n">
        <v>45223.5036574074</v>
      </c>
      <c r="C346" s="1" t="n">
        <v>45995</v>
      </c>
      <c r="D346" t="inlineStr">
        <is>
          <t>JÄMTLANDS LÄN</t>
        </is>
      </c>
      <c r="E346" t="inlineStr">
        <is>
          <t>ÖSTERSUND</t>
        </is>
      </c>
      <c r="G346" t="n">
        <v>8.4</v>
      </c>
      <c r="H346" t="n">
        <v>0</v>
      </c>
      <c r="I346" t="n">
        <v>0</v>
      </c>
      <c r="J346" t="n">
        <v>0</v>
      </c>
      <c r="K346" t="n">
        <v>0</v>
      </c>
      <c r="L346" t="n">
        <v>0</v>
      </c>
      <c r="M346" t="n">
        <v>0</v>
      </c>
      <c r="N346" t="n">
        <v>0</v>
      </c>
      <c r="O346" t="n">
        <v>0</v>
      </c>
      <c r="P346" t="n">
        <v>0</v>
      </c>
      <c r="Q346" t="n">
        <v>0</v>
      </c>
      <c r="R346" s="2" t="inlineStr"/>
    </row>
    <row r="347" ht="15" customHeight="1">
      <c r="A347" t="inlineStr">
        <is>
          <t>A 51941-2023</t>
        </is>
      </c>
      <c r="B347" s="1" t="n">
        <v>45223</v>
      </c>
      <c r="C347" s="1" t="n">
        <v>45995</v>
      </c>
      <c r="D347" t="inlineStr">
        <is>
          <t>JÄMTLANDS LÄN</t>
        </is>
      </c>
      <c r="E347" t="inlineStr">
        <is>
          <t>ÖSTERSUND</t>
        </is>
      </c>
      <c r="G347" t="n">
        <v>4.6</v>
      </c>
      <c r="H347" t="n">
        <v>0</v>
      </c>
      <c r="I347" t="n">
        <v>0</v>
      </c>
      <c r="J347" t="n">
        <v>0</v>
      </c>
      <c r="K347" t="n">
        <v>0</v>
      </c>
      <c r="L347" t="n">
        <v>0</v>
      </c>
      <c r="M347" t="n">
        <v>0</v>
      </c>
      <c r="N347" t="n">
        <v>0</v>
      </c>
      <c r="O347" t="n">
        <v>0</v>
      </c>
      <c r="P347" t="n">
        <v>0</v>
      </c>
      <c r="Q347" t="n">
        <v>0</v>
      </c>
      <c r="R347" s="2" t="inlineStr"/>
    </row>
    <row r="348" ht="15" customHeight="1">
      <c r="A348" t="inlineStr">
        <is>
          <t>A 14523-2023</t>
        </is>
      </c>
      <c r="B348" s="1" t="n">
        <v>45012</v>
      </c>
      <c r="C348" s="1" t="n">
        <v>45995</v>
      </c>
      <c r="D348" t="inlineStr">
        <is>
          <t>JÄMTLANDS LÄN</t>
        </is>
      </c>
      <c r="E348" t="inlineStr">
        <is>
          <t>ÖSTERSUND</t>
        </is>
      </c>
      <c r="G348" t="n">
        <v>4.5</v>
      </c>
      <c r="H348" t="n">
        <v>0</v>
      </c>
      <c r="I348" t="n">
        <v>0</v>
      </c>
      <c r="J348" t="n">
        <v>0</v>
      </c>
      <c r="K348" t="n">
        <v>0</v>
      </c>
      <c r="L348" t="n">
        <v>0</v>
      </c>
      <c r="M348" t="n">
        <v>0</v>
      </c>
      <c r="N348" t="n">
        <v>0</v>
      </c>
      <c r="O348" t="n">
        <v>0</v>
      </c>
      <c r="P348" t="n">
        <v>0</v>
      </c>
      <c r="Q348" t="n">
        <v>0</v>
      </c>
      <c r="R348" s="2" t="inlineStr"/>
    </row>
    <row r="349" ht="15" customHeight="1">
      <c r="A349" t="inlineStr">
        <is>
          <t>A 13282-2023</t>
        </is>
      </c>
      <c r="B349" s="1" t="n">
        <v>45004</v>
      </c>
      <c r="C349" s="1" t="n">
        <v>45995</v>
      </c>
      <c r="D349" t="inlineStr">
        <is>
          <t>JÄMTLANDS LÄN</t>
        </is>
      </c>
      <c r="E349" t="inlineStr">
        <is>
          <t>ÖSTERSUND</t>
        </is>
      </c>
      <c r="G349" t="n">
        <v>28.5</v>
      </c>
      <c r="H349" t="n">
        <v>0</v>
      </c>
      <c r="I349" t="n">
        <v>0</v>
      </c>
      <c r="J349" t="n">
        <v>0</v>
      </c>
      <c r="K349" t="n">
        <v>0</v>
      </c>
      <c r="L349" t="n">
        <v>0</v>
      </c>
      <c r="M349" t="n">
        <v>0</v>
      </c>
      <c r="N349" t="n">
        <v>0</v>
      </c>
      <c r="O349" t="n">
        <v>0</v>
      </c>
      <c r="P349" t="n">
        <v>0</v>
      </c>
      <c r="Q349" t="n">
        <v>0</v>
      </c>
      <c r="R349" s="2" t="inlineStr"/>
    </row>
    <row r="350" ht="15" customHeight="1">
      <c r="A350" t="inlineStr">
        <is>
          <t>A 54973-2023</t>
        </is>
      </c>
      <c r="B350" s="1" t="n">
        <v>45236.92776620371</v>
      </c>
      <c r="C350" s="1" t="n">
        <v>45995</v>
      </c>
      <c r="D350" t="inlineStr">
        <is>
          <t>JÄMTLANDS LÄN</t>
        </is>
      </c>
      <c r="E350" t="inlineStr">
        <is>
          <t>ÖSTERSUND</t>
        </is>
      </c>
      <c r="G350" t="n">
        <v>15.4</v>
      </c>
      <c r="H350" t="n">
        <v>0</v>
      </c>
      <c r="I350" t="n">
        <v>0</v>
      </c>
      <c r="J350" t="n">
        <v>0</v>
      </c>
      <c r="K350" t="n">
        <v>0</v>
      </c>
      <c r="L350" t="n">
        <v>0</v>
      </c>
      <c r="M350" t="n">
        <v>0</v>
      </c>
      <c r="N350" t="n">
        <v>0</v>
      </c>
      <c r="O350" t="n">
        <v>0</v>
      </c>
      <c r="P350" t="n">
        <v>0</v>
      </c>
      <c r="Q350" t="n">
        <v>0</v>
      </c>
      <c r="R350" s="2" t="inlineStr"/>
    </row>
    <row r="351" ht="15" customHeight="1">
      <c r="A351" t="inlineStr">
        <is>
          <t>A 4901-2025</t>
        </is>
      </c>
      <c r="B351" s="1" t="n">
        <v>45688.67965277778</v>
      </c>
      <c r="C351" s="1" t="n">
        <v>45995</v>
      </c>
      <c r="D351" t="inlineStr">
        <is>
          <t>JÄMTLANDS LÄN</t>
        </is>
      </c>
      <c r="E351" t="inlineStr">
        <is>
          <t>ÖSTERSUND</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18577-2025</t>
        </is>
      </c>
      <c r="B352" s="1" t="n">
        <v>45763</v>
      </c>
      <c r="C352" s="1" t="n">
        <v>45995</v>
      </c>
      <c r="D352" t="inlineStr">
        <is>
          <t>JÄMTLANDS LÄN</t>
        </is>
      </c>
      <c r="E352" t="inlineStr">
        <is>
          <t>ÖSTERSUND</t>
        </is>
      </c>
      <c r="G352" t="n">
        <v>3.5</v>
      </c>
      <c r="H352" t="n">
        <v>0</v>
      </c>
      <c r="I352" t="n">
        <v>0</v>
      </c>
      <c r="J352" t="n">
        <v>0</v>
      </c>
      <c r="K352" t="n">
        <v>0</v>
      </c>
      <c r="L352" t="n">
        <v>0</v>
      </c>
      <c r="M352" t="n">
        <v>0</v>
      </c>
      <c r="N352" t="n">
        <v>0</v>
      </c>
      <c r="O352" t="n">
        <v>0</v>
      </c>
      <c r="P352" t="n">
        <v>0</v>
      </c>
      <c r="Q352" t="n">
        <v>0</v>
      </c>
      <c r="R352" s="2" t="inlineStr"/>
    </row>
    <row r="353" ht="15" customHeight="1">
      <c r="A353" t="inlineStr">
        <is>
          <t>A 60174-2022</t>
        </is>
      </c>
      <c r="B353" s="1" t="n">
        <v>44909.9640162037</v>
      </c>
      <c r="C353" s="1" t="n">
        <v>45995</v>
      </c>
      <c r="D353" t="inlineStr">
        <is>
          <t>JÄMTLANDS LÄN</t>
        </is>
      </c>
      <c r="E353" t="inlineStr">
        <is>
          <t>ÖSTERSUND</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61449-2024</t>
        </is>
      </c>
      <c r="B354" s="1" t="n">
        <v>45646.48988425926</v>
      </c>
      <c r="C354" s="1" t="n">
        <v>45995</v>
      </c>
      <c r="D354" t="inlineStr">
        <is>
          <t>JÄMTLANDS LÄN</t>
        </is>
      </c>
      <c r="E354" t="inlineStr">
        <is>
          <t>ÖSTERSUND</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61450-2024</t>
        </is>
      </c>
      <c r="B355" s="1" t="n">
        <v>45646.49012731481</v>
      </c>
      <c r="C355" s="1" t="n">
        <v>45995</v>
      </c>
      <c r="D355" t="inlineStr">
        <is>
          <t>JÄMTLANDS LÄN</t>
        </is>
      </c>
      <c r="E355" t="inlineStr">
        <is>
          <t>ÖSTERSUND</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61451-2024</t>
        </is>
      </c>
      <c r="B356" s="1" t="n">
        <v>45646.49017361111</v>
      </c>
      <c r="C356" s="1" t="n">
        <v>45995</v>
      </c>
      <c r="D356" t="inlineStr">
        <is>
          <t>JÄMTLANDS LÄN</t>
        </is>
      </c>
      <c r="E356" t="inlineStr">
        <is>
          <t>ÖSTERSUND</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20634-2023</t>
        </is>
      </c>
      <c r="B357" s="1" t="n">
        <v>45057.9441087963</v>
      </c>
      <c r="C357" s="1" t="n">
        <v>45995</v>
      </c>
      <c r="D357" t="inlineStr">
        <is>
          <t>JÄMTLANDS LÄN</t>
        </is>
      </c>
      <c r="E357" t="inlineStr">
        <is>
          <t>ÖSTERSUND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42989-2025</t>
        </is>
      </c>
      <c r="B358" s="1" t="n">
        <v>45909.44971064815</v>
      </c>
      <c r="C358" s="1" t="n">
        <v>45995</v>
      </c>
      <c r="D358" t="inlineStr">
        <is>
          <t>JÄMTLANDS LÄN</t>
        </is>
      </c>
      <c r="E358" t="inlineStr">
        <is>
          <t>ÖSTERSUND</t>
        </is>
      </c>
      <c r="G358" t="n">
        <v>3</v>
      </c>
      <c r="H358" t="n">
        <v>0</v>
      </c>
      <c r="I358" t="n">
        <v>0</v>
      </c>
      <c r="J358" t="n">
        <v>0</v>
      </c>
      <c r="K358" t="n">
        <v>0</v>
      </c>
      <c r="L358" t="n">
        <v>0</v>
      </c>
      <c r="M358" t="n">
        <v>0</v>
      </c>
      <c r="N358" t="n">
        <v>0</v>
      </c>
      <c r="O358" t="n">
        <v>0</v>
      </c>
      <c r="P358" t="n">
        <v>0</v>
      </c>
      <c r="Q358" t="n">
        <v>0</v>
      </c>
      <c r="R358" s="2" t="inlineStr"/>
    </row>
    <row r="359" ht="15" customHeight="1">
      <c r="A359" t="inlineStr">
        <is>
          <t>A 47727-2023</t>
        </is>
      </c>
      <c r="B359" s="1" t="n">
        <v>45203</v>
      </c>
      <c r="C359" s="1" t="n">
        <v>45995</v>
      </c>
      <c r="D359" t="inlineStr">
        <is>
          <t>JÄMTLANDS LÄN</t>
        </is>
      </c>
      <c r="E359" t="inlineStr">
        <is>
          <t>ÖSTERSUND</t>
        </is>
      </c>
      <c r="G359" t="n">
        <v>2.6</v>
      </c>
      <c r="H359" t="n">
        <v>0</v>
      </c>
      <c r="I359" t="n">
        <v>0</v>
      </c>
      <c r="J359" t="n">
        <v>0</v>
      </c>
      <c r="K359" t="n">
        <v>0</v>
      </c>
      <c r="L359" t="n">
        <v>0</v>
      </c>
      <c r="M359" t="n">
        <v>0</v>
      </c>
      <c r="N359" t="n">
        <v>0</v>
      </c>
      <c r="O359" t="n">
        <v>0</v>
      </c>
      <c r="P359" t="n">
        <v>0</v>
      </c>
      <c r="Q359" t="n">
        <v>0</v>
      </c>
      <c r="R359" s="2" t="inlineStr"/>
    </row>
    <row r="360" ht="15" customHeight="1">
      <c r="A360" t="inlineStr">
        <is>
          <t>A 28181-2024</t>
        </is>
      </c>
      <c r="B360" s="1" t="n">
        <v>45477.28482638889</v>
      </c>
      <c r="C360" s="1" t="n">
        <v>45995</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55302-2021</t>
        </is>
      </c>
      <c r="B361" s="1" t="n">
        <v>44475</v>
      </c>
      <c r="C361" s="1" t="n">
        <v>45995</v>
      </c>
      <c r="D361" t="inlineStr">
        <is>
          <t>JÄMTLANDS LÄN</t>
        </is>
      </c>
      <c r="E361" t="inlineStr">
        <is>
          <t>ÖSTERSUND</t>
        </is>
      </c>
      <c r="G361" t="n">
        <v>0.3</v>
      </c>
      <c r="H361" t="n">
        <v>0</v>
      </c>
      <c r="I361" t="n">
        <v>0</v>
      </c>
      <c r="J361" t="n">
        <v>0</v>
      </c>
      <c r="K361" t="n">
        <v>0</v>
      </c>
      <c r="L361" t="n">
        <v>0</v>
      </c>
      <c r="M361" t="n">
        <v>0</v>
      </c>
      <c r="N361" t="n">
        <v>0</v>
      </c>
      <c r="O361" t="n">
        <v>0</v>
      </c>
      <c r="P361" t="n">
        <v>0</v>
      </c>
      <c r="Q361" t="n">
        <v>0</v>
      </c>
      <c r="R361" s="2" t="inlineStr"/>
    </row>
    <row r="362" ht="15" customHeight="1">
      <c r="A362" t="inlineStr">
        <is>
          <t>A 43225-2025</t>
        </is>
      </c>
      <c r="B362" s="1" t="n">
        <v>45910.4900462963</v>
      </c>
      <c r="C362" s="1" t="n">
        <v>45995</v>
      </c>
      <c r="D362" t="inlineStr">
        <is>
          <t>JÄMTLANDS LÄN</t>
        </is>
      </c>
      <c r="E362" t="inlineStr">
        <is>
          <t>ÖSTERSUND</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846-2024</t>
        </is>
      </c>
      <c r="B363" s="1" t="n">
        <v>45300</v>
      </c>
      <c r="C363" s="1" t="n">
        <v>45995</v>
      </c>
      <c r="D363" t="inlineStr">
        <is>
          <t>JÄMTLANDS LÄN</t>
        </is>
      </c>
      <c r="E363" t="inlineStr">
        <is>
          <t>ÖSTERSUND</t>
        </is>
      </c>
      <c r="G363" t="n">
        <v>2.8</v>
      </c>
      <c r="H363" t="n">
        <v>0</v>
      </c>
      <c r="I363" t="n">
        <v>0</v>
      </c>
      <c r="J363" t="n">
        <v>0</v>
      </c>
      <c r="K363" t="n">
        <v>0</v>
      </c>
      <c r="L363" t="n">
        <v>0</v>
      </c>
      <c r="M363" t="n">
        <v>0</v>
      </c>
      <c r="N363" t="n">
        <v>0</v>
      </c>
      <c r="O363" t="n">
        <v>0</v>
      </c>
      <c r="P363" t="n">
        <v>0</v>
      </c>
      <c r="Q363" t="n">
        <v>0</v>
      </c>
      <c r="R363" s="2" t="inlineStr"/>
    </row>
    <row r="364" ht="15" customHeight="1">
      <c r="A364" t="inlineStr">
        <is>
          <t>A 64309-2023</t>
        </is>
      </c>
      <c r="B364" s="1" t="n">
        <v>45280</v>
      </c>
      <c r="C364" s="1" t="n">
        <v>45995</v>
      </c>
      <c r="D364" t="inlineStr">
        <is>
          <t>JÄMTLANDS LÄN</t>
        </is>
      </c>
      <c r="E364" t="inlineStr">
        <is>
          <t>ÖSTERSUND</t>
        </is>
      </c>
      <c r="G364" t="n">
        <v>0.8</v>
      </c>
      <c r="H364" t="n">
        <v>0</v>
      </c>
      <c r="I364" t="n">
        <v>0</v>
      </c>
      <c r="J364" t="n">
        <v>0</v>
      </c>
      <c r="K364" t="n">
        <v>0</v>
      </c>
      <c r="L364" t="n">
        <v>0</v>
      </c>
      <c r="M364" t="n">
        <v>0</v>
      </c>
      <c r="N364" t="n">
        <v>0</v>
      </c>
      <c r="O364" t="n">
        <v>0</v>
      </c>
      <c r="P364" t="n">
        <v>0</v>
      </c>
      <c r="Q364" t="n">
        <v>0</v>
      </c>
      <c r="R364" s="2" t="inlineStr"/>
    </row>
    <row r="365" ht="15" customHeight="1">
      <c r="A365" t="inlineStr">
        <is>
          <t>A 47804-2024</t>
        </is>
      </c>
      <c r="B365" s="1" t="n">
        <v>45588.61498842593</v>
      </c>
      <c r="C365" s="1" t="n">
        <v>45995</v>
      </c>
      <c r="D365" t="inlineStr">
        <is>
          <t>JÄMTLANDS LÄN</t>
        </is>
      </c>
      <c r="E365" t="inlineStr">
        <is>
          <t>ÖSTERSUND</t>
        </is>
      </c>
      <c r="F365" t="inlineStr">
        <is>
          <t>SCA</t>
        </is>
      </c>
      <c r="G365" t="n">
        <v>7.3</v>
      </c>
      <c r="H365" t="n">
        <v>0</v>
      </c>
      <c r="I365" t="n">
        <v>0</v>
      </c>
      <c r="J365" t="n">
        <v>0</v>
      </c>
      <c r="K365" t="n">
        <v>0</v>
      </c>
      <c r="L365" t="n">
        <v>0</v>
      </c>
      <c r="M365" t="n">
        <v>0</v>
      </c>
      <c r="N365" t="n">
        <v>0</v>
      </c>
      <c r="O365" t="n">
        <v>0</v>
      </c>
      <c r="P365" t="n">
        <v>0</v>
      </c>
      <c r="Q365" t="n">
        <v>0</v>
      </c>
      <c r="R365" s="2" t="inlineStr"/>
    </row>
    <row r="366" ht="15" customHeight="1">
      <c r="A366" t="inlineStr">
        <is>
          <t>A 27124-2023</t>
        </is>
      </c>
      <c r="B366" s="1" t="n">
        <v>45096</v>
      </c>
      <c r="C366" s="1" t="n">
        <v>45995</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53714-2022</t>
        </is>
      </c>
      <c r="B367" s="1" t="n">
        <v>44880</v>
      </c>
      <c r="C367" s="1" t="n">
        <v>45995</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52286-2025</t>
        </is>
      </c>
      <c r="B368" s="1" t="n">
        <v>45953.58497685185</v>
      </c>
      <c r="C368" s="1" t="n">
        <v>45995</v>
      </c>
      <c r="D368" t="inlineStr">
        <is>
          <t>JÄMTLANDS LÄN</t>
        </is>
      </c>
      <c r="E368" t="inlineStr">
        <is>
          <t>ÖSTERSUND</t>
        </is>
      </c>
      <c r="G368" t="n">
        <v>1.2</v>
      </c>
      <c r="H368" t="n">
        <v>0</v>
      </c>
      <c r="I368" t="n">
        <v>0</v>
      </c>
      <c r="J368" t="n">
        <v>0</v>
      </c>
      <c r="K368" t="n">
        <v>0</v>
      </c>
      <c r="L368" t="n">
        <v>0</v>
      </c>
      <c r="M368" t="n">
        <v>0</v>
      </c>
      <c r="N368" t="n">
        <v>0</v>
      </c>
      <c r="O368" t="n">
        <v>0</v>
      </c>
      <c r="P368" t="n">
        <v>0</v>
      </c>
      <c r="Q368" t="n">
        <v>0</v>
      </c>
      <c r="R368" s="2" t="inlineStr"/>
    </row>
    <row r="369" ht="15" customHeight="1">
      <c r="A369" t="inlineStr">
        <is>
          <t>A 53060-2024</t>
        </is>
      </c>
      <c r="B369" s="1" t="n">
        <v>45611.46912037037</v>
      </c>
      <c r="C369" s="1" t="n">
        <v>45995</v>
      </c>
      <c r="D369" t="inlineStr">
        <is>
          <t>JÄMTLANDS LÄN</t>
        </is>
      </c>
      <c r="E369" t="inlineStr">
        <is>
          <t>ÖSTERSUND</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6013-2022</t>
        </is>
      </c>
      <c r="B370" s="1" t="n">
        <v>44599.45850694444</v>
      </c>
      <c r="C370" s="1" t="n">
        <v>45995</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60767-2022</t>
        </is>
      </c>
      <c r="B371" s="1" t="n">
        <v>44914.35599537037</v>
      </c>
      <c r="C371" s="1" t="n">
        <v>45995</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52247-2025</t>
        </is>
      </c>
      <c r="B372" s="1" t="n">
        <v>45953.47575231481</v>
      </c>
      <c r="C372" s="1" t="n">
        <v>45995</v>
      </c>
      <c r="D372" t="inlineStr">
        <is>
          <t>JÄMTLANDS LÄN</t>
        </is>
      </c>
      <c r="E372" t="inlineStr">
        <is>
          <t>ÖSTERSUND</t>
        </is>
      </c>
      <c r="G372" t="n">
        <v>8.4</v>
      </c>
      <c r="H372" t="n">
        <v>0</v>
      </c>
      <c r="I372" t="n">
        <v>0</v>
      </c>
      <c r="J372" t="n">
        <v>0</v>
      </c>
      <c r="K372" t="n">
        <v>0</v>
      </c>
      <c r="L372" t="n">
        <v>0</v>
      </c>
      <c r="M372" t="n">
        <v>0</v>
      </c>
      <c r="N372" t="n">
        <v>0</v>
      </c>
      <c r="O372" t="n">
        <v>0</v>
      </c>
      <c r="P372" t="n">
        <v>0</v>
      </c>
      <c r="Q372" t="n">
        <v>0</v>
      </c>
      <c r="R372" s="2" t="inlineStr"/>
    </row>
    <row r="373" ht="15" customHeight="1">
      <c r="A373" t="inlineStr">
        <is>
          <t>A 10306-2023</t>
        </is>
      </c>
      <c r="B373" s="1" t="n">
        <v>44986.94196759259</v>
      </c>
      <c r="C373" s="1" t="n">
        <v>45995</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43411-2025</t>
        </is>
      </c>
      <c r="B374" s="1" t="n">
        <v>45911.40074074074</v>
      </c>
      <c r="C374" s="1" t="n">
        <v>45995</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52280-2025</t>
        </is>
      </c>
      <c r="B375" s="1" t="n">
        <v>45953.56976851852</v>
      </c>
      <c r="C375" s="1" t="n">
        <v>45995</v>
      </c>
      <c r="D375" t="inlineStr">
        <is>
          <t>JÄMTLANDS LÄN</t>
        </is>
      </c>
      <c r="E375" t="inlineStr">
        <is>
          <t>ÖSTERSUND</t>
        </is>
      </c>
      <c r="G375" t="n">
        <v>1.6</v>
      </c>
      <c r="H375" t="n">
        <v>0</v>
      </c>
      <c r="I375" t="n">
        <v>0</v>
      </c>
      <c r="J375" t="n">
        <v>0</v>
      </c>
      <c r="K375" t="n">
        <v>0</v>
      </c>
      <c r="L375" t="n">
        <v>0</v>
      </c>
      <c r="M375" t="n">
        <v>0</v>
      </c>
      <c r="N375" t="n">
        <v>0</v>
      </c>
      <c r="O375" t="n">
        <v>0</v>
      </c>
      <c r="P375" t="n">
        <v>0</v>
      </c>
      <c r="Q375" t="n">
        <v>0</v>
      </c>
      <c r="R375" s="2" t="inlineStr"/>
    </row>
    <row r="376" ht="15" customHeight="1">
      <c r="A376" t="inlineStr">
        <is>
          <t>A 43548-2025</t>
        </is>
      </c>
      <c r="B376" s="1" t="n">
        <v>45911.61579861111</v>
      </c>
      <c r="C376" s="1" t="n">
        <v>45995</v>
      </c>
      <c r="D376" t="inlineStr">
        <is>
          <t>JÄMTLANDS LÄN</t>
        </is>
      </c>
      <c r="E376" t="inlineStr">
        <is>
          <t>ÖSTERSUND</t>
        </is>
      </c>
      <c r="F376" t="inlineStr">
        <is>
          <t>SCA</t>
        </is>
      </c>
      <c r="G376" t="n">
        <v>17.3</v>
      </c>
      <c r="H376" t="n">
        <v>0</v>
      </c>
      <c r="I376" t="n">
        <v>0</v>
      </c>
      <c r="J376" t="n">
        <v>0</v>
      </c>
      <c r="K376" t="n">
        <v>0</v>
      </c>
      <c r="L376" t="n">
        <v>0</v>
      </c>
      <c r="M376" t="n">
        <v>0</v>
      </c>
      <c r="N376" t="n">
        <v>0</v>
      </c>
      <c r="O376" t="n">
        <v>0</v>
      </c>
      <c r="P376" t="n">
        <v>0</v>
      </c>
      <c r="Q376" t="n">
        <v>0</v>
      </c>
      <c r="R376" s="2" t="inlineStr"/>
    </row>
    <row r="377" ht="15" customHeight="1">
      <c r="A377" t="inlineStr">
        <is>
          <t>A 61530-2023</t>
        </is>
      </c>
      <c r="B377" s="1" t="n">
        <v>45261</v>
      </c>
      <c r="C377" s="1" t="n">
        <v>45995</v>
      </c>
      <c r="D377" t="inlineStr">
        <is>
          <t>JÄMTLANDS LÄN</t>
        </is>
      </c>
      <c r="E377" t="inlineStr">
        <is>
          <t>ÖSTERSUND</t>
        </is>
      </c>
      <c r="F377" t="inlineStr">
        <is>
          <t>Övriga statliga verk och myndigheter</t>
        </is>
      </c>
      <c r="G377" t="n">
        <v>1</v>
      </c>
      <c r="H377" t="n">
        <v>0</v>
      </c>
      <c r="I377" t="n">
        <v>0</v>
      </c>
      <c r="J377" t="n">
        <v>0</v>
      </c>
      <c r="K377" t="n">
        <v>0</v>
      </c>
      <c r="L377" t="n">
        <v>0</v>
      </c>
      <c r="M377" t="n">
        <v>0</v>
      </c>
      <c r="N377" t="n">
        <v>0</v>
      </c>
      <c r="O377" t="n">
        <v>0</v>
      </c>
      <c r="P377" t="n">
        <v>0</v>
      </c>
      <c r="Q377" t="n">
        <v>0</v>
      </c>
      <c r="R377" s="2" t="inlineStr"/>
    </row>
    <row r="378" ht="15" customHeight="1">
      <c r="A378" t="inlineStr">
        <is>
          <t>A 43519-2025</t>
        </is>
      </c>
      <c r="B378" s="1" t="n">
        <v>45911.57349537037</v>
      </c>
      <c r="C378" s="1" t="n">
        <v>45995</v>
      </c>
      <c r="D378" t="inlineStr">
        <is>
          <t>JÄMTLANDS LÄN</t>
        </is>
      </c>
      <c r="E378" t="inlineStr">
        <is>
          <t>ÖSTERSUND</t>
        </is>
      </c>
      <c r="F378" t="inlineStr">
        <is>
          <t>SCA</t>
        </is>
      </c>
      <c r="G378" t="n">
        <v>14.4</v>
      </c>
      <c r="H378" t="n">
        <v>0</v>
      </c>
      <c r="I378" t="n">
        <v>0</v>
      </c>
      <c r="J378" t="n">
        <v>0</v>
      </c>
      <c r="K378" t="n">
        <v>0</v>
      </c>
      <c r="L378" t="n">
        <v>0</v>
      </c>
      <c r="M378" t="n">
        <v>0</v>
      </c>
      <c r="N378" t="n">
        <v>0</v>
      </c>
      <c r="O378" t="n">
        <v>0</v>
      </c>
      <c r="P378" t="n">
        <v>0</v>
      </c>
      <c r="Q378" t="n">
        <v>0</v>
      </c>
      <c r="R378" s="2" t="inlineStr"/>
    </row>
    <row r="379" ht="15" customHeight="1">
      <c r="A379" t="inlineStr">
        <is>
          <t>A 52620-2025</t>
        </is>
      </c>
      <c r="B379" s="1" t="n">
        <v>45954.68207175926</v>
      </c>
      <c r="C379" s="1" t="n">
        <v>45995</v>
      </c>
      <c r="D379" t="inlineStr">
        <is>
          <t>JÄMTLANDS LÄN</t>
        </is>
      </c>
      <c r="E379" t="inlineStr">
        <is>
          <t>ÖSTERSUND</t>
        </is>
      </c>
      <c r="G379" t="n">
        <v>4.6</v>
      </c>
      <c r="H379" t="n">
        <v>0</v>
      </c>
      <c r="I379" t="n">
        <v>0</v>
      </c>
      <c r="J379" t="n">
        <v>0</v>
      </c>
      <c r="K379" t="n">
        <v>0</v>
      </c>
      <c r="L379" t="n">
        <v>0</v>
      </c>
      <c r="M379" t="n">
        <v>0</v>
      </c>
      <c r="N379" t="n">
        <v>0</v>
      </c>
      <c r="O379" t="n">
        <v>0</v>
      </c>
      <c r="P379" t="n">
        <v>0</v>
      </c>
      <c r="Q379" t="n">
        <v>0</v>
      </c>
      <c r="R379" s="2" t="inlineStr"/>
    </row>
    <row r="380" ht="15" customHeight="1">
      <c r="A380" t="inlineStr">
        <is>
          <t>A 52975-2025</t>
        </is>
      </c>
      <c r="B380" s="1" t="n">
        <v>45957.67876157408</v>
      </c>
      <c r="C380" s="1" t="n">
        <v>45995</v>
      </c>
      <c r="D380" t="inlineStr">
        <is>
          <t>JÄMTLANDS LÄN</t>
        </is>
      </c>
      <c r="E380" t="inlineStr">
        <is>
          <t>ÖSTERSUND</t>
        </is>
      </c>
      <c r="F380" t="inlineStr">
        <is>
          <t>SCA</t>
        </is>
      </c>
      <c r="G380" t="n">
        <v>7.5</v>
      </c>
      <c r="H380" t="n">
        <v>0</v>
      </c>
      <c r="I380" t="n">
        <v>0</v>
      </c>
      <c r="J380" t="n">
        <v>0</v>
      </c>
      <c r="K380" t="n">
        <v>0</v>
      </c>
      <c r="L380" t="n">
        <v>0</v>
      </c>
      <c r="M380" t="n">
        <v>0</v>
      </c>
      <c r="N380" t="n">
        <v>0</v>
      </c>
      <c r="O380" t="n">
        <v>0</v>
      </c>
      <c r="P380" t="n">
        <v>0</v>
      </c>
      <c r="Q380" t="n">
        <v>0</v>
      </c>
      <c r="R380" s="2" t="inlineStr"/>
    </row>
    <row r="381" ht="15" customHeight="1">
      <c r="A381" t="inlineStr">
        <is>
          <t>A 1322-2021</t>
        </is>
      </c>
      <c r="B381" s="1" t="n">
        <v>44208</v>
      </c>
      <c r="C381" s="1" t="n">
        <v>45995</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44446-2025</t>
        </is>
      </c>
      <c r="B382" s="1" t="n">
        <v>45916.59773148148</v>
      </c>
      <c r="C382" s="1" t="n">
        <v>45995</v>
      </c>
      <c r="D382" t="inlineStr">
        <is>
          <t>JÄMTLANDS LÄN</t>
        </is>
      </c>
      <c r="E382" t="inlineStr">
        <is>
          <t>ÖSTERSUND</t>
        </is>
      </c>
      <c r="G382" t="n">
        <v>1.9</v>
      </c>
      <c r="H382" t="n">
        <v>0</v>
      </c>
      <c r="I382" t="n">
        <v>0</v>
      </c>
      <c r="J382" t="n">
        <v>0</v>
      </c>
      <c r="K382" t="n">
        <v>0</v>
      </c>
      <c r="L382" t="n">
        <v>0</v>
      </c>
      <c r="M382" t="n">
        <v>0</v>
      </c>
      <c r="N382" t="n">
        <v>0</v>
      </c>
      <c r="O382" t="n">
        <v>0</v>
      </c>
      <c r="P382" t="n">
        <v>0</v>
      </c>
      <c r="Q382" t="n">
        <v>0</v>
      </c>
      <c r="R382" s="2" t="inlineStr"/>
    </row>
    <row r="383" ht="15" customHeight="1">
      <c r="A383" t="inlineStr">
        <is>
          <t>A 14118-2025</t>
        </is>
      </c>
      <c r="B383" s="1" t="n">
        <v>45740.46325231482</v>
      </c>
      <c r="C383" s="1" t="n">
        <v>45995</v>
      </c>
      <c r="D383" t="inlineStr">
        <is>
          <t>JÄMTLANDS LÄN</t>
        </is>
      </c>
      <c r="E383" t="inlineStr">
        <is>
          <t>ÖSTERSUND</t>
        </is>
      </c>
      <c r="G383" t="n">
        <v>3.6</v>
      </c>
      <c r="H383" t="n">
        <v>0</v>
      </c>
      <c r="I383" t="n">
        <v>0</v>
      </c>
      <c r="J383" t="n">
        <v>0</v>
      </c>
      <c r="K383" t="n">
        <v>0</v>
      </c>
      <c r="L383" t="n">
        <v>0</v>
      </c>
      <c r="M383" t="n">
        <v>0</v>
      </c>
      <c r="N383" t="n">
        <v>0</v>
      </c>
      <c r="O383" t="n">
        <v>0</v>
      </c>
      <c r="P383" t="n">
        <v>0</v>
      </c>
      <c r="Q383" t="n">
        <v>0</v>
      </c>
      <c r="R383" s="2" t="inlineStr"/>
    </row>
    <row r="384" ht="15" customHeight="1">
      <c r="A384" t="inlineStr">
        <is>
          <t>A 52935-2025</t>
        </is>
      </c>
      <c r="B384" s="1" t="n">
        <v>45957.62978009259</v>
      </c>
      <c r="C384" s="1" t="n">
        <v>45995</v>
      </c>
      <c r="D384" t="inlineStr">
        <is>
          <t>JÄMTLANDS LÄN</t>
        </is>
      </c>
      <c r="E384" t="inlineStr">
        <is>
          <t>ÖSTERSUND</t>
        </is>
      </c>
      <c r="G384" t="n">
        <v>0.8</v>
      </c>
      <c r="H384" t="n">
        <v>0</v>
      </c>
      <c r="I384" t="n">
        <v>0</v>
      </c>
      <c r="J384" t="n">
        <v>0</v>
      </c>
      <c r="K384" t="n">
        <v>0</v>
      </c>
      <c r="L384" t="n">
        <v>0</v>
      </c>
      <c r="M384" t="n">
        <v>0</v>
      </c>
      <c r="N384" t="n">
        <v>0</v>
      </c>
      <c r="O384" t="n">
        <v>0</v>
      </c>
      <c r="P384" t="n">
        <v>0</v>
      </c>
      <c r="Q384" t="n">
        <v>0</v>
      </c>
      <c r="R384" s="2" t="inlineStr"/>
    </row>
    <row r="385" ht="15" customHeight="1">
      <c r="A385" t="inlineStr">
        <is>
          <t>A 58952-2024</t>
        </is>
      </c>
      <c r="B385" s="1" t="n">
        <v>45636.5674537037</v>
      </c>
      <c r="C385" s="1" t="n">
        <v>45995</v>
      </c>
      <c r="D385" t="inlineStr">
        <is>
          <t>JÄMTLANDS LÄN</t>
        </is>
      </c>
      <c r="E385" t="inlineStr">
        <is>
          <t>ÖSTERSUND</t>
        </is>
      </c>
      <c r="G385" t="n">
        <v>3.7</v>
      </c>
      <c r="H385" t="n">
        <v>0</v>
      </c>
      <c r="I385" t="n">
        <v>0</v>
      </c>
      <c r="J385" t="n">
        <v>0</v>
      </c>
      <c r="K385" t="n">
        <v>0</v>
      </c>
      <c r="L385" t="n">
        <v>0</v>
      </c>
      <c r="M385" t="n">
        <v>0</v>
      </c>
      <c r="N385" t="n">
        <v>0</v>
      </c>
      <c r="O385" t="n">
        <v>0</v>
      </c>
      <c r="P385" t="n">
        <v>0</v>
      </c>
      <c r="Q385" t="n">
        <v>0</v>
      </c>
      <c r="R385" s="2" t="inlineStr"/>
    </row>
    <row r="386" ht="15" customHeight="1">
      <c r="A386" t="inlineStr">
        <is>
          <t>A 44429-2025</t>
        </is>
      </c>
      <c r="B386" s="1" t="n">
        <v>45916.57010416667</v>
      </c>
      <c r="C386" s="1" t="n">
        <v>45995</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53054-2025</t>
        </is>
      </c>
      <c r="B387" s="1" t="n">
        <v>45958.36498842593</v>
      </c>
      <c r="C387" s="1" t="n">
        <v>45995</v>
      </c>
      <c r="D387" t="inlineStr">
        <is>
          <t>JÄMTLANDS LÄN</t>
        </is>
      </c>
      <c r="E387" t="inlineStr">
        <is>
          <t>ÖSTERSUND</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43082-2024</t>
        </is>
      </c>
      <c r="B388" s="1" t="n">
        <v>45567.51068287037</v>
      </c>
      <c r="C388" s="1" t="n">
        <v>45995</v>
      </c>
      <c r="D388" t="inlineStr">
        <is>
          <t>JÄMTLANDS LÄN</t>
        </is>
      </c>
      <c r="E388" t="inlineStr">
        <is>
          <t>ÖSTERSUND</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53057-2025</t>
        </is>
      </c>
      <c r="B389" s="1" t="n">
        <v>45958.36537037037</v>
      </c>
      <c r="C389" s="1" t="n">
        <v>45995</v>
      </c>
      <c r="D389" t="inlineStr">
        <is>
          <t>JÄMTLANDS LÄN</t>
        </is>
      </c>
      <c r="E389" t="inlineStr">
        <is>
          <t>ÖSTERSUND</t>
        </is>
      </c>
      <c r="F389" t="inlineStr">
        <is>
          <t>SCA</t>
        </is>
      </c>
      <c r="G389" t="n">
        <v>47.8</v>
      </c>
      <c r="H389" t="n">
        <v>0</v>
      </c>
      <c r="I389" t="n">
        <v>0</v>
      </c>
      <c r="J389" t="n">
        <v>0</v>
      </c>
      <c r="K389" t="n">
        <v>0</v>
      </c>
      <c r="L389" t="n">
        <v>0</v>
      </c>
      <c r="M389" t="n">
        <v>0</v>
      </c>
      <c r="N389" t="n">
        <v>0</v>
      </c>
      <c r="O389" t="n">
        <v>0</v>
      </c>
      <c r="P389" t="n">
        <v>0</v>
      </c>
      <c r="Q389" t="n">
        <v>0</v>
      </c>
      <c r="R389" s="2" t="inlineStr"/>
    </row>
    <row r="390" ht="15" customHeight="1">
      <c r="A390" t="inlineStr">
        <is>
          <t>A 5544-2025</t>
        </is>
      </c>
      <c r="B390" s="1" t="n">
        <v>45693</v>
      </c>
      <c r="C390" s="1" t="n">
        <v>45995</v>
      </c>
      <c r="D390" t="inlineStr">
        <is>
          <t>JÄMTLANDS LÄN</t>
        </is>
      </c>
      <c r="E390" t="inlineStr">
        <is>
          <t>ÖSTERSUND</t>
        </is>
      </c>
      <c r="G390" t="n">
        <v>5.8</v>
      </c>
      <c r="H390" t="n">
        <v>0</v>
      </c>
      <c r="I390" t="n">
        <v>0</v>
      </c>
      <c r="J390" t="n">
        <v>0</v>
      </c>
      <c r="K390" t="n">
        <v>0</v>
      </c>
      <c r="L390" t="n">
        <v>0</v>
      </c>
      <c r="M390" t="n">
        <v>0</v>
      </c>
      <c r="N390" t="n">
        <v>0</v>
      </c>
      <c r="O390" t="n">
        <v>0</v>
      </c>
      <c r="P390" t="n">
        <v>0</v>
      </c>
      <c r="Q390" t="n">
        <v>0</v>
      </c>
      <c r="R390" s="2" t="inlineStr"/>
    </row>
    <row r="391" ht="15" customHeight="1">
      <c r="A391" t="inlineStr">
        <is>
          <t>A 58407-2024</t>
        </is>
      </c>
      <c r="B391" s="1" t="n">
        <v>45634.72633101852</v>
      </c>
      <c r="C391" s="1" t="n">
        <v>45995</v>
      </c>
      <c r="D391" t="inlineStr">
        <is>
          <t>JÄMTLANDS LÄN</t>
        </is>
      </c>
      <c r="E391" t="inlineStr">
        <is>
          <t>ÖSTERSUND</t>
        </is>
      </c>
      <c r="G391" t="n">
        <v>2.8</v>
      </c>
      <c r="H391" t="n">
        <v>0</v>
      </c>
      <c r="I391" t="n">
        <v>0</v>
      </c>
      <c r="J391" t="n">
        <v>0</v>
      </c>
      <c r="K391" t="n">
        <v>0</v>
      </c>
      <c r="L391" t="n">
        <v>0</v>
      </c>
      <c r="M391" t="n">
        <v>0</v>
      </c>
      <c r="N391" t="n">
        <v>0</v>
      </c>
      <c r="O391" t="n">
        <v>0</v>
      </c>
      <c r="P391" t="n">
        <v>0</v>
      </c>
      <c r="Q391" t="n">
        <v>0</v>
      </c>
      <c r="R391" s="2" t="inlineStr"/>
    </row>
    <row r="392" ht="15" customHeight="1">
      <c r="A392" t="inlineStr">
        <is>
          <t>A 25535-2023</t>
        </is>
      </c>
      <c r="B392" s="1" t="n">
        <v>45089.54944444444</v>
      </c>
      <c r="C392" s="1" t="n">
        <v>45995</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6048-2024</t>
        </is>
      </c>
      <c r="B393" s="1" t="n">
        <v>45336</v>
      </c>
      <c r="C393" s="1" t="n">
        <v>45995</v>
      </c>
      <c r="D393" t="inlineStr">
        <is>
          <t>JÄMTLANDS LÄN</t>
        </is>
      </c>
      <c r="E393" t="inlineStr">
        <is>
          <t>ÖSTERSUND</t>
        </is>
      </c>
      <c r="G393" t="n">
        <v>0.7</v>
      </c>
      <c r="H393" t="n">
        <v>0</v>
      </c>
      <c r="I393" t="n">
        <v>0</v>
      </c>
      <c r="J393" t="n">
        <v>0</v>
      </c>
      <c r="K393" t="n">
        <v>0</v>
      </c>
      <c r="L393" t="n">
        <v>0</v>
      </c>
      <c r="M393" t="n">
        <v>0</v>
      </c>
      <c r="N393" t="n">
        <v>0</v>
      </c>
      <c r="O393" t="n">
        <v>0</v>
      </c>
      <c r="P393" t="n">
        <v>0</v>
      </c>
      <c r="Q393" t="n">
        <v>0</v>
      </c>
      <c r="R393" s="2" t="inlineStr"/>
    </row>
    <row r="394" ht="15" customHeight="1">
      <c r="A394" t="inlineStr">
        <is>
          <t>A 17732-2022</t>
        </is>
      </c>
      <c r="B394" s="1" t="n">
        <v>44680.92873842592</v>
      </c>
      <c r="C394" s="1" t="n">
        <v>45995</v>
      </c>
      <c r="D394" t="inlineStr">
        <is>
          <t>JÄMTLANDS LÄN</t>
        </is>
      </c>
      <c r="E394" t="inlineStr">
        <is>
          <t>ÖSTERSUND</t>
        </is>
      </c>
      <c r="G394" t="n">
        <v>5.4</v>
      </c>
      <c r="H394" t="n">
        <v>0</v>
      </c>
      <c r="I394" t="n">
        <v>0</v>
      </c>
      <c r="J394" t="n">
        <v>0</v>
      </c>
      <c r="K394" t="n">
        <v>0</v>
      </c>
      <c r="L394" t="n">
        <v>0</v>
      </c>
      <c r="M394" t="n">
        <v>0</v>
      </c>
      <c r="N394" t="n">
        <v>0</v>
      </c>
      <c r="O394" t="n">
        <v>0</v>
      </c>
      <c r="P394" t="n">
        <v>0</v>
      </c>
      <c r="Q394" t="n">
        <v>0</v>
      </c>
      <c r="R394" s="2" t="inlineStr"/>
    </row>
    <row r="395" ht="15" customHeight="1">
      <c r="A395" t="inlineStr">
        <is>
          <t>A 8261-2025</t>
        </is>
      </c>
      <c r="B395" s="1" t="n">
        <v>45708.50256944444</v>
      </c>
      <c r="C395" s="1" t="n">
        <v>45995</v>
      </c>
      <c r="D395" t="inlineStr">
        <is>
          <t>JÄMTLANDS LÄN</t>
        </is>
      </c>
      <c r="E395" t="inlineStr">
        <is>
          <t>ÖSTERSUND</t>
        </is>
      </c>
      <c r="G395" t="n">
        <v>5.4</v>
      </c>
      <c r="H395" t="n">
        <v>0</v>
      </c>
      <c r="I395" t="n">
        <v>0</v>
      </c>
      <c r="J395" t="n">
        <v>0</v>
      </c>
      <c r="K395" t="n">
        <v>0</v>
      </c>
      <c r="L395" t="n">
        <v>0</v>
      </c>
      <c r="M395" t="n">
        <v>0</v>
      </c>
      <c r="N395" t="n">
        <v>0</v>
      </c>
      <c r="O395" t="n">
        <v>0</v>
      </c>
      <c r="P395" t="n">
        <v>0</v>
      </c>
      <c r="Q395" t="n">
        <v>0</v>
      </c>
      <c r="R395" s="2" t="inlineStr"/>
    </row>
    <row r="396" ht="15" customHeight="1">
      <c r="A396" t="inlineStr">
        <is>
          <t>A 52913-2021</t>
        </is>
      </c>
      <c r="B396" s="1" t="n">
        <v>44466</v>
      </c>
      <c r="C396" s="1" t="n">
        <v>45995</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12352-2025</t>
        </is>
      </c>
      <c r="B397" s="1" t="n">
        <v>45730.36263888889</v>
      </c>
      <c r="C397" s="1" t="n">
        <v>45995</v>
      </c>
      <c r="D397" t="inlineStr">
        <is>
          <t>JÄMTLANDS LÄN</t>
        </is>
      </c>
      <c r="E397" t="inlineStr">
        <is>
          <t>ÖSTERSUND</t>
        </is>
      </c>
      <c r="G397" t="n">
        <v>7.8</v>
      </c>
      <c r="H397" t="n">
        <v>0</v>
      </c>
      <c r="I397" t="n">
        <v>0</v>
      </c>
      <c r="J397" t="n">
        <v>0</v>
      </c>
      <c r="K397" t="n">
        <v>0</v>
      </c>
      <c r="L397" t="n">
        <v>0</v>
      </c>
      <c r="M397" t="n">
        <v>0</v>
      </c>
      <c r="N397" t="n">
        <v>0</v>
      </c>
      <c r="O397" t="n">
        <v>0</v>
      </c>
      <c r="P397" t="n">
        <v>0</v>
      </c>
      <c r="Q397" t="n">
        <v>0</v>
      </c>
      <c r="R397" s="2" t="inlineStr"/>
    </row>
    <row r="398" ht="15" customHeight="1">
      <c r="A398" t="inlineStr">
        <is>
          <t>A 296-2023</t>
        </is>
      </c>
      <c r="B398" s="1" t="n">
        <v>44922</v>
      </c>
      <c r="C398" s="1" t="n">
        <v>45995</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54883-2023</t>
        </is>
      </c>
      <c r="B399" s="1" t="n">
        <v>45236.62300925926</v>
      </c>
      <c r="C399" s="1" t="n">
        <v>45995</v>
      </c>
      <c r="D399" t="inlineStr">
        <is>
          <t>JÄMTLANDS LÄN</t>
        </is>
      </c>
      <c r="E399" t="inlineStr">
        <is>
          <t>ÖSTERSUND</t>
        </is>
      </c>
      <c r="F399" t="inlineStr">
        <is>
          <t>Övriga Aktiebolag</t>
        </is>
      </c>
      <c r="G399" t="n">
        <v>3.2</v>
      </c>
      <c r="H399" t="n">
        <v>0</v>
      </c>
      <c r="I399" t="n">
        <v>0</v>
      </c>
      <c r="J399" t="n">
        <v>0</v>
      </c>
      <c r="K399" t="n">
        <v>0</v>
      </c>
      <c r="L399" t="n">
        <v>0</v>
      </c>
      <c r="M399" t="n">
        <v>0</v>
      </c>
      <c r="N399" t="n">
        <v>0</v>
      </c>
      <c r="O399" t="n">
        <v>0</v>
      </c>
      <c r="P399" t="n">
        <v>0</v>
      </c>
      <c r="Q399" t="n">
        <v>0</v>
      </c>
      <c r="R399" s="2" t="inlineStr"/>
    </row>
    <row r="400" ht="15" customHeight="1">
      <c r="A400" t="inlineStr">
        <is>
          <t>A 3122-2025</t>
        </is>
      </c>
      <c r="B400" s="1" t="n">
        <v>45678</v>
      </c>
      <c r="C400" s="1" t="n">
        <v>45995</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62222-2022</t>
        </is>
      </c>
      <c r="B401" s="1" t="n">
        <v>44922</v>
      </c>
      <c r="C401" s="1" t="n">
        <v>45995</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45391-2025</t>
        </is>
      </c>
      <c r="B402" s="1" t="n">
        <v>45922.4077662037</v>
      </c>
      <c r="C402" s="1" t="n">
        <v>45995</v>
      </c>
      <c r="D402" t="inlineStr">
        <is>
          <t>JÄMTLANDS LÄN</t>
        </is>
      </c>
      <c r="E402" t="inlineStr">
        <is>
          <t>ÖSTERSUND</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45389-2025</t>
        </is>
      </c>
      <c r="B403" s="1" t="n">
        <v>45922.4075</v>
      </c>
      <c r="C403" s="1" t="n">
        <v>45995</v>
      </c>
      <c r="D403" t="inlineStr">
        <is>
          <t>JÄMTLANDS LÄN</t>
        </is>
      </c>
      <c r="E403" t="inlineStr">
        <is>
          <t>ÖSTERSUND</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5553-2025</t>
        </is>
      </c>
      <c r="B404" s="1" t="n">
        <v>45693</v>
      </c>
      <c r="C404" s="1" t="n">
        <v>45995</v>
      </c>
      <c r="D404" t="inlineStr">
        <is>
          <t>JÄMTLANDS LÄN</t>
        </is>
      </c>
      <c r="E404" t="inlineStr">
        <is>
          <t>ÖSTERSUND</t>
        </is>
      </c>
      <c r="G404" t="n">
        <v>0.7</v>
      </c>
      <c r="H404" t="n">
        <v>0</v>
      </c>
      <c r="I404" t="n">
        <v>0</v>
      </c>
      <c r="J404" t="n">
        <v>0</v>
      </c>
      <c r="K404" t="n">
        <v>0</v>
      </c>
      <c r="L404" t="n">
        <v>0</v>
      </c>
      <c r="M404" t="n">
        <v>0</v>
      </c>
      <c r="N404" t="n">
        <v>0</v>
      </c>
      <c r="O404" t="n">
        <v>0</v>
      </c>
      <c r="P404" t="n">
        <v>0</v>
      </c>
      <c r="Q404" t="n">
        <v>0</v>
      </c>
      <c r="R404" s="2" t="inlineStr"/>
    </row>
    <row r="405" ht="15" customHeight="1">
      <c r="A405" t="inlineStr">
        <is>
          <t>A 41280-2024</t>
        </is>
      </c>
      <c r="B405" s="1" t="n">
        <v>45559.59476851852</v>
      </c>
      <c r="C405" s="1" t="n">
        <v>45995</v>
      </c>
      <c r="D405" t="inlineStr">
        <is>
          <t>JÄMTLANDS LÄN</t>
        </is>
      </c>
      <c r="E405" t="inlineStr">
        <is>
          <t>ÖSTERSUND</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7224-2024</t>
        </is>
      </c>
      <c r="B406" s="1" t="n">
        <v>45344</v>
      </c>
      <c r="C406" s="1" t="n">
        <v>45995</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7233-2024</t>
        </is>
      </c>
      <c r="B407" s="1" t="n">
        <v>45344</v>
      </c>
      <c r="C407" s="1" t="n">
        <v>45995</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8675-2023</t>
        </is>
      </c>
      <c r="B408" s="1" t="n">
        <v>44977.98629629629</v>
      </c>
      <c r="C408" s="1" t="n">
        <v>45995</v>
      </c>
      <c r="D408" t="inlineStr">
        <is>
          <t>JÄMTLANDS LÄN</t>
        </is>
      </c>
      <c r="E408" t="inlineStr">
        <is>
          <t>ÖSTERSUND</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48737-2024</t>
        </is>
      </c>
      <c r="B409" s="1" t="n">
        <v>45593.57327546296</v>
      </c>
      <c r="C409" s="1" t="n">
        <v>45995</v>
      </c>
      <c r="D409" t="inlineStr">
        <is>
          <t>JÄMTLANDS LÄN</t>
        </is>
      </c>
      <c r="E409" t="inlineStr">
        <is>
          <t>ÖSTERSUND</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12-2023</t>
        </is>
      </c>
      <c r="B410" s="1" t="n">
        <v>44927.88021990741</v>
      </c>
      <c r="C410" s="1" t="n">
        <v>45995</v>
      </c>
      <c r="D410" t="inlineStr">
        <is>
          <t>JÄMTLANDS LÄN</t>
        </is>
      </c>
      <c r="E410" t="inlineStr">
        <is>
          <t>ÖSTERSUND</t>
        </is>
      </c>
      <c r="G410" t="n">
        <v>4.7</v>
      </c>
      <c r="H410" t="n">
        <v>0</v>
      </c>
      <c r="I410" t="n">
        <v>0</v>
      </c>
      <c r="J410" t="n">
        <v>0</v>
      </c>
      <c r="K410" t="n">
        <v>0</v>
      </c>
      <c r="L410" t="n">
        <v>0</v>
      </c>
      <c r="M410" t="n">
        <v>0</v>
      </c>
      <c r="N410" t="n">
        <v>0</v>
      </c>
      <c r="O410" t="n">
        <v>0</v>
      </c>
      <c r="P410" t="n">
        <v>0</v>
      </c>
      <c r="Q410" t="n">
        <v>0</v>
      </c>
      <c r="R410" s="2" t="inlineStr"/>
    </row>
    <row r="411" ht="15" customHeight="1">
      <c r="A411" t="inlineStr">
        <is>
          <t>A 27118-2023</t>
        </is>
      </c>
      <c r="B411" s="1" t="n">
        <v>45096</v>
      </c>
      <c r="C411" s="1" t="n">
        <v>45995</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54133-2025</t>
        </is>
      </c>
      <c r="B412" s="1" t="n">
        <v>45964.46944444445</v>
      </c>
      <c r="C412" s="1" t="n">
        <v>45995</v>
      </c>
      <c r="D412" t="inlineStr">
        <is>
          <t>JÄMTLANDS LÄN</t>
        </is>
      </c>
      <c r="E412" t="inlineStr">
        <is>
          <t>ÖSTERSUND</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55666-2023</t>
        </is>
      </c>
      <c r="B413" s="1" t="n">
        <v>45238.96770833333</v>
      </c>
      <c r="C413" s="1" t="n">
        <v>45995</v>
      </c>
      <c r="D413" t="inlineStr">
        <is>
          <t>JÄMTLANDS LÄN</t>
        </is>
      </c>
      <c r="E413" t="inlineStr">
        <is>
          <t>ÖSTERSUND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45558-2025</t>
        </is>
      </c>
      <c r="B414" s="1" t="n">
        <v>45922</v>
      </c>
      <c r="C414" s="1" t="n">
        <v>45995</v>
      </c>
      <c r="D414" t="inlineStr">
        <is>
          <t>JÄMTLANDS LÄN</t>
        </is>
      </c>
      <c r="E414" t="inlineStr">
        <is>
          <t>ÖSTERSUND</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51481-2023</t>
        </is>
      </c>
      <c r="B415" s="1" t="n">
        <v>45221.92440972223</v>
      </c>
      <c r="C415" s="1" t="n">
        <v>45995</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39493-2023</t>
        </is>
      </c>
      <c r="B416" s="1" t="n">
        <v>45166.9569675926</v>
      </c>
      <c r="C416" s="1" t="n">
        <v>45995</v>
      </c>
      <c r="D416" t="inlineStr">
        <is>
          <t>JÄMTLANDS LÄN</t>
        </is>
      </c>
      <c r="E416" t="inlineStr">
        <is>
          <t>ÖSTERSUND</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45297-2025</t>
        </is>
      </c>
      <c r="B417" s="1" t="n">
        <v>45920.8446412037</v>
      </c>
      <c r="C417" s="1" t="n">
        <v>45995</v>
      </c>
      <c r="D417" t="inlineStr">
        <is>
          <t>JÄMTLANDS LÄN</t>
        </is>
      </c>
      <c r="E417" t="inlineStr">
        <is>
          <t>ÖSTERSUND</t>
        </is>
      </c>
      <c r="G417" t="n">
        <v>1.8</v>
      </c>
      <c r="H417" t="n">
        <v>0</v>
      </c>
      <c r="I417" t="n">
        <v>0</v>
      </c>
      <c r="J417" t="n">
        <v>0</v>
      </c>
      <c r="K417" t="n">
        <v>0</v>
      </c>
      <c r="L417" t="n">
        <v>0</v>
      </c>
      <c r="M417" t="n">
        <v>0</v>
      </c>
      <c r="N417" t="n">
        <v>0</v>
      </c>
      <c r="O417" t="n">
        <v>0</v>
      </c>
      <c r="P417" t="n">
        <v>0</v>
      </c>
      <c r="Q417" t="n">
        <v>0</v>
      </c>
      <c r="R417" s="2" t="inlineStr"/>
    </row>
    <row r="418" ht="15" customHeight="1">
      <c r="A418" t="inlineStr">
        <is>
          <t>A 55140-2023</t>
        </is>
      </c>
      <c r="B418" s="1" t="n">
        <v>45237.50966435186</v>
      </c>
      <c r="C418" s="1" t="n">
        <v>45995</v>
      </c>
      <c r="D418" t="inlineStr">
        <is>
          <t>JÄMTLANDS LÄN</t>
        </is>
      </c>
      <c r="E418" t="inlineStr">
        <is>
          <t>ÖSTERSUND</t>
        </is>
      </c>
      <c r="G418" t="n">
        <v>1.8</v>
      </c>
      <c r="H418" t="n">
        <v>0</v>
      </c>
      <c r="I418" t="n">
        <v>0</v>
      </c>
      <c r="J418" t="n">
        <v>0</v>
      </c>
      <c r="K418" t="n">
        <v>0</v>
      </c>
      <c r="L418" t="n">
        <v>0</v>
      </c>
      <c r="M418" t="n">
        <v>0</v>
      </c>
      <c r="N418" t="n">
        <v>0</v>
      </c>
      <c r="O418" t="n">
        <v>0</v>
      </c>
      <c r="P418" t="n">
        <v>0</v>
      </c>
      <c r="Q418" t="n">
        <v>0</v>
      </c>
      <c r="R418" s="2" t="inlineStr"/>
    </row>
    <row r="419" ht="15" customHeight="1">
      <c r="A419" t="inlineStr">
        <is>
          <t>A 16306-2025</t>
        </is>
      </c>
      <c r="B419" s="1" t="n">
        <v>45751.34664351852</v>
      </c>
      <c r="C419" s="1" t="n">
        <v>45995</v>
      </c>
      <c r="D419" t="inlineStr">
        <is>
          <t>JÄMTLANDS LÄN</t>
        </is>
      </c>
      <c r="E419" t="inlineStr">
        <is>
          <t>ÖSTERSUND</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60623-2022</t>
        </is>
      </c>
      <c r="B420" s="1" t="n">
        <v>44911.6459837963</v>
      </c>
      <c r="C420" s="1" t="n">
        <v>45995</v>
      </c>
      <c r="D420" t="inlineStr">
        <is>
          <t>JÄMTLANDS LÄN</t>
        </is>
      </c>
      <c r="E420" t="inlineStr">
        <is>
          <t>ÖSTERSUND</t>
        </is>
      </c>
      <c r="G420" t="n">
        <v>10.9</v>
      </c>
      <c r="H420" t="n">
        <v>0</v>
      </c>
      <c r="I420" t="n">
        <v>0</v>
      </c>
      <c r="J420" t="n">
        <v>0</v>
      </c>
      <c r="K420" t="n">
        <v>0</v>
      </c>
      <c r="L420" t="n">
        <v>0</v>
      </c>
      <c r="M420" t="n">
        <v>0</v>
      </c>
      <c r="N420" t="n">
        <v>0</v>
      </c>
      <c r="O420" t="n">
        <v>0</v>
      </c>
      <c r="P420" t="n">
        <v>0</v>
      </c>
      <c r="Q420" t="n">
        <v>0</v>
      </c>
      <c r="R420" s="2" t="inlineStr"/>
    </row>
    <row r="421" ht="15" customHeight="1">
      <c r="A421" t="inlineStr">
        <is>
          <t>A 45386-2025</t>
        </is>
      </c>
      <c r="B421" s="1" t="n">
        <v>45922.40697916667</v>
      </c>
      <c r="C421" s="1" t="n">
        <v>45995</v>
      </c>
      <c r="D421" t="inlineStr">
        <is>
          <t>JÄMTLANDS LÄN</t>
        </is>
      </c>
      <c r="E421" t="inlineStr">
        <is>
          <t>ÖSTERSUND</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45388-2025</t>
        </is>
      </c>
      <c r="B422" s="1" t="n">
        <v>45922.4074537037</v>
      </c>
      <c r="C422" s="1" t="n">
        <v>45995</v>
      </c>
      <c r="D422" t="inlineStr">
        <is>
          <t>JÄMTLANDS LÄN</t>
        </is>
      </c>
      <c r="E422" t="inlineStr">
        <is>
          <t>ÖSTERSUND</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45385-2025</t>
        </is>
      </c>
      <c r="B423" s="1" t="n">
        <v>45922.40680555555</v>
      </c>
      <c r="C423" s="1" t="n">
        <v>45995</v>
      </c>
      <c r="D423" t="inlineStr">
        <is>
          <t>JÄMTLANDS LÄN</t>
        </is>
      </c>
      <c r="E423" t="inlineStr">
        <is>
          <t>ÖSTERSUND</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45481-2025</t>
        </is>
      </c>
      <c r="B424" s="1" t="n">
        <v>45922.53217592592</v>
      </c>
      <c r="C424" s="1" t="n">
        <v>45995</v>
      </c>
      <c r="D424" t="inlineStr">
        <is>
          <t>JÄMTLANDS LÄN</t>
        </is>
      </c>
      <c r="E424" t="inlineStr">
        <is>
          <t>ÖSTERSUND</t>
        </is>
      </c>
      <c r="G424" t="n">
        <v>3</v>
      </c>
      <c r="H424" t="n">
        <v>0</v>
      </c>
      <c r="I424" t="n">
        <v>0</v>
      </c>
      <c r="J424" t="n">
        <v>0</v>
      </c>
      <c r="K424" t="n">
        <v>0</v>
      </c>
      <c r="L424" t="n">
        <v>0</v>
      </c>
      <c r="M424" t="n">
        <v>0</v>
      </c>
      <c r="N424" t="n">
        <v>0</v>
      </c>
      <c r="O424" t="n">
        <v>0</v>
      </c>
      <c r="P424" t="n">
        <v>0</v>
      </c>
      <c r="Q424" t="n">
        <v>0</v>
      </c>
      <c r="R424" s="2" t="inlineStr"/>
    </row>
    <row r="425" ht="15" customHeight="1">
      <c r="A425" t="inlineStr">
        <is>
          <t>A 51818-2024</t>
        </is>
      </c>
      <c r="B425" s="1" t="n">
        <v>45607.49265046296</v>
      </c>
      <c r="C425" s="1" t="n">
        <v>45995</v>
      </c>
      <c r="D425" t="inlineStr">
        <is>
          <t>JÄMTLANDS LÄN</t>
        </is>
      </c>
      <c r="E425" t="inlineStr">
        <is>
          <t>ÖSTERSUND</t>
        </is>
      </c>
      <c r="G425" t="n">
        <v>4.6</v>
      </c>
      <c r="H425" t="n">
        <v>0</v>
      </c>
      <c r="I425" t="n">
        <v>0</v>
      </c>
      <c r="J425" t="n">
        <v>0</v>
      </c>
      <c r="K425" t="n">
        <v>0</v>
      </c>
      <c r="L425" t="n">
        <v>0</v>
      </c>
      <c r="M425" t="n">
        <v>0</v>
      </c>
      <c r="N425" t="n">
        <v>0</v>
      </c>
      <c r="O425" t="n">
        <v>0</v>
      </c>
      <c r="P425" t="n">
        <v>0</v>
      </c>
      <c r="Q425" t="n">
        <v>0</v>
      </c>
      <c r="R425" s="2" t="inlineStr"/>
    </row>
    <row r="426" ht="15" customHeight="1">
      <c r="A426" t="inlineStr">
        <is>
          <t>A 64314-2023</t>
        </is>
      </c>
      <c r="B426" s="1" t="n">
        <v>45280</v>
      </c>
      <c r="C426" s="1" t="n">
        <v>45995</v>
      </c>
      <c r="D426" t="inlineStr">
        <is>
          <t>JÄMTLANDS LÄN</t>
        </is>
      </c>
      <c r="E426" t="inlineStr">
        <is>
          <t>ÖSTERSUND</t>
        </is>
      </c>
      <c r="G426" t="n">
        <v>0.6</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44655.69303240741</v>
      </c>
      <c r="C427" s="1" t="n">
        <v>45995</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48106-2024</t>
        </is>
      </c>
      <c r="B428" s="1" t="n">
        <v>45589.62625</v>
      </c>
      <c r="C428" s="1" t="n">
        <v>45995</v>
      </c>
      <c r="D428" t="inlineStr">
        <is>
          <t>JÄMTLANDS LÄN</t>
        </is>
      </c>
      <c r="E428" t="inlineStr">
        <is>
          <t>ÖSTERSUND</t>
        </is>
      </c>
      <c r="G428" t="n">
        <v>3.5</v>
      </c>
      <c r="H428" t="n">
        <v>0</v>
      </c>
      <c r="I428" t="n">
        <v>0</v>
      </c>
      <c r="J428" t="n">
        <v>0</v>
      </c>
      <c r="K428" t="n">
        <v>0</v>
      </c>
      <c r="L428" t="n">
        <v>0</v>
      </c>
      <c r="M428" t="n">
        <v>0</v>
      </c>
      <c r="N428" t="n">
        <v>0</v>
      </c>
      <c r="O428" t="n">
        <v>0</v>
      </c>
      <c r="P428" t="n">
        <v>0</v>
      </c>
      <c r="Q428" t="n">
        <v>0</v>
      </c>
      <c r="R428" s="2" t="inlineStr"/>
    </row>
    <row r="429" ht="15" customHeight="1">
      <c r="A429" t="inlineStr">
        <is>
          <t>A 20960-2022</t>
        </is>
      </c>
      <c r="B429" s="1" t="n">
        <v>44701.94034722223</v>
      </c>
      <c r="C429" s="1" t="n">
        <v>45995</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46152-2025</t>
        </is>
      </c>
      <c r="B430" s="1" t="n">
        <v>45924.61512731481</v>
      </c>
      <c r="C430" s="1" t="n">
        <v>45995</v>
      </c>
      <c r="D430" t="inlineStr">
        <is>
          <t>JÄMTLANDS LÄN</t>
        </is>
      </c>
      <c r="E430" t="inlineStr">
        <is>
          <t>ÖSTERSUND</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60780-2023</t>
        </is>
      </c>
      <c r="B431" s="1" t="n">
        <v>45260</v>
      </c>
      <c r="C431" s="1" t="n">
        <v>45995</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54528-2025</t>
        </is>
      </c>
      <c r="B432" s="1" t="n">
        <v>45965.63496527778</v>
      </c>
      <c r="C432" s="1" t="n">
        <v>45995</v>
      </c>
      <c r="D432" t="inlineStr">
        <is>
          <t>JÄMTLANDS LÄN</t>
        </is>
      </c>
      <c r="E432" t="inlineStr">
        <is>
          <t>ÖSTERSUND</t>
        </is>
      </c>
      <c r="G432" t="n">
        <v>1.7</v>
      </c>
      <c r="H432" t="n">
        <v>0</v>
      </c>
      <c r="I432" t="n">
        <v>0</v>
      </c>
      <c r="J432" t="n">
        <v>0</v>
      </c>
      <c r="K432" t="n">
        <v>0</v>
      </c>
      <c r="L432" t="n">
        <v>0</v>
      </c>
      <c r="M432" t="n">
        <v>0</v>
      </c>
      <c r="N432" t="n">
        <v>0</v>
      </c>
      <c r="O432" t="n">
        <v>0</v>
      </c>
      <c r="P432" t="n">
        <v>0</v>
      </c>
      <c r="Q432" t="n">
        <v>0</v>
      </c>
      <c r="R432" s="2" t="inlineStr"/>
    </row>
    <row r="433" ht="15" customHeight="1">
      <c r="A433" t="inlineStr">
        <is>
          <t>A 57589-2024</t>
        </is>
      </c>
      <c r="B433" s="1" t="n">
        <v>45630.49710648148</v>
      </c>
      <c r="C433" s="1" t="n">
        <v>45995</v>
      </c>
      <c r="D433" t="inlineStr">
        <is>
          <t>JÄMTLANDS LÄN</t>
        </is>
      </c>
      <c r="E433" t="inlineStr">
        <is>
          <t>ÖSTERSUND</t>
        </is>
      </c>
      <c r="G433" t="n">
        <v>1.8</v>
      </c>
      <c r="H433" t="n">
        <v>0</v>
      </c>
      <c r="I433" t="n">
        <v>0</v>
      </c>
      <c r="J433" t="n">
        <v>0</v>
      </c>
      <c r="K433" t="n">
        <v>0</v>
      </c>
      <c r="L433" t="n">
        <v>0</v>
      </c>
      <c r="M433" t="n">
        <v>0</v>
      </c>
      <c r="N433" t="n">
        <v>0</v>
      </c>
      <c r="O433" t="n">
        <v>0</v>
      </c>
      <c r="P433" t="n">
        <v>0</v>
      </c>
      <c r="Q433" t="n">
        <v>0</v>
      </c>
      <c r="R433" s="2" t="inlineStr"/>
    </row>
    <row r="434" ht="15" customHeight="1">
      <c r="A434" t="inlineStr">
        <is>
          <t>A 13655-2025</t>
        </is>
      </c>
      <c r="B434" s="1" t="n">
        <v>45736.71956018519</v>
      </c>
      <c r="C434" s="1" t="n">
        <v>45995</v>
      </c>
      <c r="D434" t="inlineStr">
        <is>
          <t>JÄMTLANDS LÄN</t>
        </is>
      </c>
      <c r="E434" t="inlineStr">
        <is>
          <t>ÖSTERSUND</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46202-2025</t>
        </is>
      </c>
      <c r="B435" s="1" t="n">
        <v>45924.70346064815</v>
      </c>
      <c r="C435" s="1" t="n">
        <v>45995</v>
      </c>
      <c r="D435" t="inlineStr">
        <is>
          <t>JÄMTLANDS LÄN</t>
        </is>
      </c>
      <c r="E435" t="inlineStr">
        <is>
          <t>ÖSTERSUND</t>
        </is>
      </c>
      <c r="G435" t="n">
        <v>1</v>
      </c>
      <c r="H435" t="n">
        <v>0</v>
      </c>
      <c r="I435" t="n">
        <v>0</v>
      </c>
      <c r="J435" t="n">
        <v>0</v>
      </c>
      <c r="K435" t="n">
        <v>0</v>
      </c>
      <c r="L435" t="n">
        <v>0</v>
      </c>
      <c r="M435" t="n">
        <v>0</v>
      </c>
      <c r="N435" t="n">
        <v>0</v>
      </c>
      <c r="O435" t="n">
        <v>0</v>
      </c>
      <c r="P435" t="n">
        <v>0</v>
      </c>
      <c r="Q435" t="n">
        <v>0</v>
      </c>
      <c r="R435" s="2" t="inlineStr"/>
    </row>
    <row r="436" ht="15" customHeight="1">
      <c r="A436" t="inlineStr">
        <is>
          <t>A 11740-2022</t>
        </is>
      </c>
      <c r="B436" s="1" t="n">
        <v>44634.52982638889</v>
      </c>
      <c r="C436" s="1" t="n">
        <v>45995</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2756-2024</t>
        </is>
      </c>
      <c r="B437" s="1" t="n">
        <v>45314.58785879629</v>
      </c>
      <c r="C437" s="1" t="n">
        <v>45995</v>
      </c>
      <c r="D437" t="inlineStr">
        <is>
          <t>JÄMTLANDS LÄN</t>
        </is>
      </c>
      <c r="E437" t="inlineStr">
        <is>
          <t>ÖSTERSUND</t>
        </is>
      </c>
      <c r="G437" t="n">
        <v>15</v>
      </c>
      <c r="H437" t="n">
        <v>0</v>
      </c>
      <c r="I437" t="n">
        <v>0</v>
      </c>
      <c r="J437" t="n">
        <v>0</v>
      </c>
      <c r="K437" t="n">
        <v>0</v>
      </c>
      <c r="L437" t="n">
        <v>0</v>
      </c>
      <c r="M437" t="n">
        <v>0</v>
      </c>
      <c r="N437" t="n">
        <v>0</v>
      </c>
      <c r="O437" t="n">
        <v>0</v>
      </c>
      <c r="P437" t="n">
        <v>0</v>
      </c>
      <c r="Q437" t="n">
        <v>0</v>
      </c>
      <c r="R437" s="2" t="inlineStr"/>
    </row>
    <row r="438" ht="15" customHeight="1">
      <c r="A438" t="inlineStr">
        <is>
          <t>A 38926-2024</t>
        </is>
      </c>
      <c r="B438" s="1" t="n">
        <v>45547.90777777778</v>
      </c>
      <c r="C438" s="1" t="n">
        <v>45995</v>
      </c>
      <c r="D438" t="inlineStr">
        <is>
          <t>JÄMTLANDS LÄN</t>
        </is>
      </c>
      <c r="E438" t="inlineStr">
        <is>
          <t>ÖSTERSUND</t>
        </is>
      </c>
      <c r="G438" t="n">
        <v>0.4</v>
      </c>
      <c r="H438" t="n">
        <v>0</v>
      </c>
      <c r="I438" t="n">
        <v>0</v>
      </c>
      <c r="J438" t="n">
        <v>0</v>
      </c>
      <c r="K438" t="n">
        <v>0</v>
      </c>
      <c r="L438" t="n">
        <v>0</v>
      </c>
      <c r="M438" t="n">
        <v>0</v>
      </c>
      <c r="N438" t="n">
        <v>0</v>
      </c>
      <c r="O438" t="n">
        <v>0</v>
      </c>
      <c r="P438" t="n">
        <v>0</v>
      </c>
      <c r="Q438" t="n">
        <v>0</v>
      </c>
      <c r="R438" s="2" t="inlineStr"/>
    </row>
    <row r="439" ht="15" customHeight="1">
      <c r="A439" t="inlineStr">
        <is>
          <t>A 46132-2025</t>
        </is>
      </c>
      <c r="B439" s="1" t="n">
        <v>45924.59484953704</v>
      </c>
      <c r="C439" s="1" t="n">
        <v>45995</v>
      </c>
      <c r="D439" t="inlineStr">
        <is>
          <t>JÄMTLANDS LÄN</t>
        </is>
      </c>
      <c r="E439" t="inlineStr">
        <is>
          <t>ÖSTERSUND</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20588-2023</t>
        </is>
      </c>
      <c r="B440" s="1" t="n">
        <v>45057</v>
      </c>
      <c r="C440" s="1" t="n">
        <v>45995</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54667-2025</t>
        </is>
      </c>
      <c r="B441" s="1" t="n">
        <v>45966.4077662037</v>
      </c>
      <c r="C441" s="1" t="n">
        <v>45995</v>
      </c>
      <c r="D441" t="inlineStr">
        <is>
          <t>JÄMTLANDS LÄN</t>
        </is>
      </c>
      <c r="E441" t="inlineStr">
        <is>
          <t>ÖSTERSUND</t>
        </is>
      </c>
      <c r="G441" t="n">
        <v>6.8</v>
      </c>
      <c r="H441" t="n">
        <v>0</v>
      </c>
      <c r="I441" t="n">
        <v>0</v>
      </c>
      <c r="J441" t="n">
        <v>0</v>
      </c>
      <c r="K441" t="n">
        <v>0</v>
      </c>
      <c r="L441" t="n">
        <v>0</v>
      </c>
      <c r="M441" t="n">
        <v>0</v>
      </c>
      <c r="N441" t="n">
        <v>0</v>
      </c>
      <c r="O441" t="n">
        <v>0</v>
      </c>
      <c r="P441" t="n">
        <v>0</v>
      </c>
      <c r="Q441" t="n">
        <v>0</v>
      </c>
      <c r="R441" s="2" t="inlineStr"/>
    </row>
    <row r="442" ht="15" customHeight="1">
      <c r="A442" t="inlineStr">
        <is>
          <t>A 32998-2021</t>
        </is>
      </c>
      <c r="B442" s="1" t="n">
        <v>44375</v>
      </c>
      <c r="C442" s="1" t="n">
        <v>45995</v>
      </c>
      <c r="D442" t="inlineStr">
        <is>
          <t>JÄMTLANDS LÄN</t>
        </is>
      </c>
      <c r="E442" t="inlineStr">
        <is>
          <t>ÖSTERSUND</t>
        </is>
      </c>
      <c r="G442" t="n">
        <v>0.1</v>
      </c>
      <c r="H442" t="n">
        <v>0</v>
      </c>
      <c r="I442" t="n">
        <v>0</v>
      </c>
      <c r="J442" t="n">
        <v>0</v>
      </c>
      <c r="K442" t="n">
        <v>0</v>
      </c>
      <c r="L442" t="n">
        <v>0</v>
      </c>
      <c r="M442" t="n">
        <v>0</v>
      </c>
      <c r="N442" t="n">
        <v>0</v>
      </c>
      <c r="O442" t="n">
        <v>0</v>
      </c>
      <c r="P442" t="n">
        <v>0</v>
      </c>
      <c r="Q442" t="n">
        <v>0</v>
      </c>
      <c r="R442" s="2" t="inlineStr"/>
    </row>
    <row r="443" ht="15" customHeight="1">
      <c r="A443" t="inlineStr">
        <is>
          <t>A 26321-2022</t>
        </is>
      </c>
      <c r="B443" s="1" t="n">
        <v>44735</v>
      </c>
      <c r="C443" s="1" t="n">
        <v>45995</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14542-2025</t>
        </is>
      </c>
      <c r="B444" s="1" t="n">
        <v>45741.68631944444</v>
      </c>
      <c r="C444" s="1" t="n">
        <v>45995</v>
      </c>
      <c r="D444" t="inlineStr">
        <is>
          <t>JÄMTLANDS LÄN</t>
        </is>
      </c>
      <c r="E444" t="inlineStr">
        <is>
          <t>ÖSTERSUND</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55039-2025</t>
        </is>
      </c>
      <c r="B445" s="1" t="n">
        <v>45967.65594907408</v>
      </c>
      <c r="C445" s="1" t="n">
        <v>45995</v>
      </c>
      <c r="D445" t="inlineStr">
        <is>
          <t>JÄMTLANDS LÄN</t>
        </is>
      </c>
      <c r="E445" t="inlineStr">
        <is>
          <t>ÖSTERSUND</t>
        </is>
      </c>
      <c r="G445" t="n">
        <v>19.6</v>
      </c>
      <c r="H445" t="n">
        <v>0</v>
      </c>
      <c r="I445" t="n">
        <v>0</v>
      </c>
      <c r="J445" t="n">
        <v>0</v>
      </c>
      <c r="K445" t="n">
        <v>0</v>
      </c>
      <c r="L445" t="n">
        <v>0</v>
      </c>
      <c r="M445" t="n">
        <v>0</v>
      </c>
      <c r="N445" t="n">
        <v>0</v>
      </c>
      <c r="O445" t="n">
        <v>0</v>
      </c>
      <c r="P445" t="n">
        <v>0</v>
      </c>
      <c r="Q445" t="n">
        <v>0</v>
      </c>
      <c r="R445" s="2" t="inlineStr"/>
    </row>
    <row r="446" ht="15" customHeight="1">
      <c r="A446" t="inlineStr">
        <is>
          <t>A 60575-2022</t>
        </is>
      </c>
      <c r="B446" s="1" t="n">
        <v>44911.5662037037</v>
      </c>
      <c r="C446" s="1" t="n">
        <v>45995</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27294-2023</t>
        </is>
      </c>
      <c r="B447" s="1" t="n">
        <v>45092</v>
      </c>
      <c r="C447" s="1" t="n">
        <v>45995</v>
      </c>
      <c r="D447" t="inlineStr">
        <is>
          <t>JÄMTLANDS LÄN</t>
        </is>
      </c>
      <c r="E447" t="inlineStr">
        <is>
          <t>ÖSTERSUND</t>
        </is>
      </c>
      <c r="G447" t="n">
        <v>2.8</v>
      </c>
      <c r="H447" t="n">
        <v>0</v>
      </c>
      <c r="I447" t="n">
        <v>0</v>
      </c>
      <c r="J447" t="n">
        <v>0</v>
      </c>
      <c r="K447" t="n">
        <v>0</v>
      </c>
      <c r="L447" t="n">
        <v>0</v>
      </c>
      <c r="M447" t="n">
        <v>0</v>
      </c>
      <c r="N447" t="n">
        <v>0</v>
      </c>
      <c r="O447" t="n">
        <v>0</v>
      </c>
      <c r="P447" t="n">
        <v>0</v>
      </c>
      <c r="Q447" t="n">
        <v>0</v>
      </c>
      <c r="R447" s="2" t="inlineStr"/>
    </row>
    <row r="448" ht="15" customHeight="1">
      <c r="A448" t="inlineStr">
        <is>
          <t>A 24246-2024</t>
        </is>
      </c>
      <c r="B448" s="1" t="n">
        <v>45457.37893518519</v>
      </c>
      <c r="C448" s="1" t="n">
        <v>45995</v>
      </c>
      <c r="D448" t="inlineStr">
        <is>
          <t>JÄMTLANDS LÄN</t>
        </is>
      </c>
      <c r="E448" t="inlineStr">
        <is>
          <t>ÖSTERSUND</t>
        </is>
      </c>
      <c r="G448" t="n">
        <v>5.3</v>
      </c>
      <c r="H448" t="n">
        <v>0</v>
      </c>
      <c r="I448" t="n">
        <v>0</v>
      </c>
      <c r="J448" t="n">
        <v>0</v>
      </c>
      <c r="K448" t="n">
        <v>0</v>
      </c>
      <c r="L448" t="n">
        <v>0</v>
      </c>
      <c r="M448" t="n">
        <v>0</v>
      </c>
      <c r="N448" t="n">
        <v>0</v>
      </c>
      <c r="O448" t="n">
        <v>0</v>
      </c>
      <c r="P448" t="n">
        <v>0</v>
      </c>
      <c r="Q448" t="n">
        <v>0</v>
      </c>
      <c r="R448" s="2" t="inlineStr"/>
    </row>
    <row r="449" ht="15" customHeight="1">
      <c r="A449" t="inlineStr">
        <is>
          <t>A 4936-2025</t>
        </is>
      </c>
      <c r="B449" s="1" t="n">
        <v>45688.69356481481</v>
      </c>
      <c r="C449" s="1" t="n">
        <v>45995</v>
      </c>
      <c r="D449" t="inlineStr">
        <is>
          <t>JÄMTLANDS LÄN</t>
        </is>
      </c>
      <c r="E449" t="inlineStr">
        <is>
          <t>ÖSTERSUND</t>
        </is>
      </c>
      <c r="G449" t="n">
        <v>8.1</v>
      </c>
      <c r="H449" t="n">
        <v>0</v>
      </c>
      <c r="I449" t="n">
        <v>0</v>
      </c>
      <c r="J449" t="n">
        <v>0</v>
      </c>
      <c r="K449" t="n">
        <v>0</v>
      </c>
      <c r="L449" t="n">
        <v>0</v>
      </c>
      <c r="M449" t="n">
        <v>0</v>
      </c>
      <c r="N449" t="n">
        <v>0</v>
      </c>
      <c r="O449" t="n">
        <v>0</v>
      </c>
      <c r="P449" t="n">
        <v>0</v>
      </c>
      <c r="Q449" t="n">
        <v>0</v>
      </c>
      <c r="R449" s="2" t="inlineStr"/>
    </row>
    <row r="450" ht="15" customHeight="1">
      <c r="A450" t="inlineStr">
        <is>
          <t>A 1670-2024</t>
        </is>
      </c>
      <c r="B450" s="1" t="n">
        <v>45306</v>
      </c>
      <c r="C450" s="1" t="n">
        <v>45995</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54965-2025</t>
        </is>
      </c>
      <c r="B451" s="1" t="n">
        <v>45967.49037037037</v>
      </c>
      <c r="C451" s="1" t="n">
        <v>45995</v>
      </c>
      <c r="D451" t="inlineStr">
        <is>
          <t>JÄMTLANDS LÄN</t>
        </is>
      </c>
      <c r="E451" t="inlineStr">
        <is>
          <t>ÖSTERSUND</t>
        </is>
      </c>
      <c r="G451" t="n">
        <v>4.3</v>
      </c>
      <c r="H451" t="n">
        <v>0</v>
      </c>
      <c r="I451" t="n">
        <v>0</v>
      </c>
      <c r="J451" t="n">
        <v>0</v>
      </c>
      <c r="K451" t="n">
        <v>0</v>
      </c>
      <c r="L451" t="n">
        <v>0</v>
      </c>
      <c r="M451" t="n">
        <v>0</v>
      </c>
      <c r="N451" t="n">
        <v>0</v>
      </c>
      <c r="O451" t="n">
        <v>0</v>
      </c>
      <c r="P451" t="n">
        <v>0</v>
      </c>
      <c r="Q451" t="n">
        <v>0</v>
      </c>
      <c r="R451" s="2" t="inlineStr"/>
    </row>
    <row r="452" ht="15" customHeight="1">
      <c r="A452" t="inlineStr">
        <is>
          <t>A 49192-2024</t>
        </is>
      </c>
      <c r="B452" s="1" t="n">
        <v>45595.34762731481</v>
      </c>
      <c r="C452" s="1" t="n">
        <v>45995</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54931-2025</t>
        </is>
      </c>
      <c r="B453" s="1" t="n">
        <v>45967.42462962963</v>
      </c>
      <c r="C453" s="1" t="n">
        <v>45995</v>
      </c>
      <c r="D453" t="inlineStr">
        <is>
          <t>JÄMTLANDS LÄN</t>
        </is>
      </c>
      <c r="E453" t="inlineStr">
        <is>
          <t>ÖSTERSUND</t>
        </is>
      </c>
      <c r="G453" t="n">
        <v>7.1</v>
      </c>
      <c r="H453" t="n">
        <v>0</v>
      </c>
      <c r="I453" t="n">
        <v>0</v>
      </c>
      <c r="J453" t="n">
        <v>0</v>
      </c>
      <c r="K453" t="n">
        <v>0</v>
      </c>
      <c r="L453" t="n">
        <v>0</v>
      </c>
      <c r="M453" t="n">
        <v>0</v>
      </c>
      <c r="N453" t="n">
        <v>0</v>
      </c>
      <c r="O453" t="n">
        <v>0</v>
      </c>
      <c r="P453" t="n">
        <v>0</v>
      </c>
      <c r="Q453" t="n">
        <v>0</v>
      </c>
      <c r="R453" s="2" t="inlineStr"/>
    </row>
    <row r="454" ht="15" customHeight="1">
      <c r="A454" t="inlineStr">
        <is>
          <t>A 54237-2024</t>
        </is>
      </c>
      <c r="B454" s="1" t="n">
        <v>45616.67833333334</v>
      </c>
      <c r="C454" s="1" t="n">
        <v>45995</v>
      </c>
      <c r="D454" t="inlineStr">
        <is>
          <t>JÄMTLANDS LÄN</t>
        </is>
      </c>
      <c r="E454" t="inlineStr">
        <is>
          <t>ÖSTERSUND</t>
        </is>
      </c>
      <c r="F454" t="inlineStr">
        <is>
          <t>SCA</t>
        </is>
      </c>
      <c r="G454" t="n">
        <v>8.9</v>
      </c>
      <c r="H454" t="n">
        <v>0</v>
      </c>
      <c r="I454" t="n">
        <v>0</v>
      </c>
      <c r="J454" t="n">
        <v>0</v>
      </c>
      <c r="K454" t="n">
        <v>0</v>
      </c>
      <c r="L454" t="n">
        <v>0</v>
      </c>
      <c r="M454" t="n">
        <v>0</v>
      </c>
      <c r="N454" t="n">
        <v>0</v>
      </c>
      <c r="O454" t="n">
        <v>0</v>
      </c>
      <c r="P454" t="n">
        <v>0</v>
      </c>
      <c r="Q454" t="n">
        <v>0</v>
      </c>
      <c r="R454" s="2" t="inlineStr"/>
    </row>
    <row r="455" ht="15" customHeight="1">
      <c r="A455" t="inlineStr">
        <is>
          <t>A 1211-2025</t>
        </is>
      </c>
      <c r="B455" s="1" t="n">
        <v>45667.40662037037</v>
      </c>
      <c r="C455" s="1" t="n">
        <v>45995</v>
      </c>
      <c r="D455" t="inlineStr">
        <is>
          <t>JÄMTLANDS LÄN</t>
        </is>
      </c>
      <c r="E455" t="inlineStr">
        <is>
          <t>ÖSTERSUND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69190-2021</t>
        </is>
      </c>
      <c r="B456" s="1" t="n">
        <v>44529</v>
      </c>
      <c r="C456" s="1" t="n">
        <v>45995</v>
      </c>
      <c r="D456" t="inlineStr">
        <is>
          <t>JÄMTLANDS LÄN</t>
        </is>
      </c>
      <c r="E456" t="inlineStr">
        <is>
          <t>ÖSTERSUND</t>
        </is>
      </c>
      <c r="G456" t="n">
        <v>4.2</v>
      </c>
      <c r="H456" t="n">
        <v>0</v>
      </c>
      <c r="I456" t="n">
        <v>0</v>
      </c>
      <c r="J456" t="n">
        <v>0</v>
      </c>
      <c r="K456" t="n">
        <v>0</v>
      </c>
      <c r="L456" t="n">
        <v>0</v>
      </c>
      <c r="M456" t="n">
        <v>0</v>
      </c>
      <c r="N456" t="n">
        <v>0</v>
      </c>
      <c r="O456" t="n">
        <v>0</v>
      </c>
      <c r="P456" t="n">
        <v>0</v>
      </c>
      <c r="Q456" t="n">
        <v>0</v>
      </c>
      <c r="R456" s="2" t="inlineStr"/>
    </row>
    <row r="457" ht="15" customHeight="1">
      <c r="A457" t="inlineStr">
        <is>
          <t>A 4707-2024</t>
        </is>
      </c>
      <c r="B457" s="1" t="n">
        <v>45328</v>
      </c>
      <c r="C457" s="1" t="n">
        <v>45995</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37597-2023</t>
        </is>
      </c>
      <c r="B458" s="1" t="n">
        <v>45159.42180555555</v>
      </c>
      <c r="C458" s="1" t="n">
        <v>45995</v>
      </c>
      <c r="D458" t="inlineStr">
        <is>
          <t>JÄMTLANDS LÄN</t>
        </is>
      </c>
      <c r="E458" t="inlineStr">
        <is>
          <t>ÖSTERSUND</t>
        </is>
      </c>
      <c r="G458" t="n">
        <v>4.7</v>
      </c>
      <c r="H458" t="n">
        <v>0</v>
      </c>
      <c r="I458" t="n">
        <v>0</v>
      </c>
      <c r="J458" t="n">
        <v>0</v>
      </c>
      <c r="K458" t="n">
        <v>0</v>
      </c>
      <c r="L458" t="n">
        <v>0</v>
      </c>
      <c r="M458" t="n">
        <v>0</v>
      </c>
      <c r="N458" t="n">
        <v>0</v>
      </c>
      <c r="O458" t="n">
        <v>0</v>
      </c>
      <c r="P458" t="n">
        <v>0</v>
      </c>
      <c r="Q458" t="n">
        <v>0</v>
      </c>
      <c r="R458" s="2" t="inlineStr"/>
    </row>
    <row r="459" ht="15" customHeight="1">
      <c r="A459" t="inlineStr">
        <is>
          <t>A 55179-2025</t>
        </is>
      </c>
      <c r="B459" s="1" t="n">
        <v>45968.53167824074</v>
      </c>
      <c r="C459" s="1" t="n">
        <v>45995</v>
      </c>
      <c r="D459" t="inlineStr">
        <is>
          <t>JÄMTLANDS LÄN</t>
        </is>
      </c>
      <c r="E459" t="inlineStr">
        <is>
          <t>ÖSTERSUND</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47575-2025</t>
        </is>
      </c>
      <c r="B460" s="1" t="n">
        <v>45931.40100694444</v>
      </c>
      <c r="C460" s="1" t="n">
        <v>45995</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3997-2025</t>
        </is>
      </c>
      <c r="B461" s="1" t="n">
        <v>45684.56725694444</v>
      </c>
      <c r="C461" s="1" t="n">
        <v>45995</v>
      </c>
      <c r="D461" t="inlineStr">
        <is>
          <t>JÄMTLANDS LÄN</t>
        </is>
      </c>
      <c r="E461" t="inlineStr">
        <is>
          <t>ÖSTERSUND</t>
        </is>
      </c>
      <c r="G461" t="n">
        <v>1.9</v>
      </c>
      <c r="H461" t="n">
        <v>0</v>
      </c>
      <c r="I461" t="n">
        <v>0</v>
      </c>
      <c r="J461" t="n">
        <v>0</v>
      </c>
      <c r="K461" t="n">
        <v>0</v>
      </c>
      <c r="L461" t="n">
        <v>0</v>
      </c>
      <c r="M461" t="n">
        <v>0</v>
      </c>
      <c r="N461" t="n">
        <v>0</v>
      </c>
      <c r="O461" t="n">
        <v>0</v>
      </c>
      <c r="P461" t="n">
        <v>0</v>
      </c>
      <c r="Q461" t="n">
        <v>0</v>
      </c>
      <c r="R461" s="2" t="inlineStr"/>
    </row>
    <row r="462" ht="15" customHeight="1">
      <c r="A462" t="inlineStr">
        <is>
          <t>A 47805-2024</t>
        </is>
      </c>
      <c r="B462" s="1" t="n">
        <v>45588.61512731481</v>
      </c>
      <c r="C462" s="1" t="n">
        <v>45995</v>
      </c>
      <c r="D462" t="inlineStr">
        <is>
          <t>JÄMTLANDS LÄN</t>
        </is>
      </c>
      <c r="E462" t="inlineStr">
        <is>
          <t>ÖSTERSUND</t>
        </is>
      </c>
      <c r="G462" t="n">
        <v>7.4</v>
      </c>
      <c r="H462" t="n">
        <v>0</v>
      </c>
      <c r="I462" t="n">
        <v>0</v>
      </c>
      <c r="J462" t="n">
        <v>0</v>
      </c>
      <c r="K462" t="n">
        <v>0</v>
      </c>
      <c r="L462" t="n">
        <v>0</v>
      </c>
      <c r="M462" t="n">
        <v>0</v>
      </c>
      <c r="N462" t="n">
        <v>0</v>
      </c>
      <c r="O462" t="n">
        <v>0</v>
      </c>
      <c r="P462" t="n">
        <v>0</v>
      </c>
      <c r="Q462" t="n">
        <v>0</v>
      </c>
      <c r="R462" s="2" t="inlineStr"/>
    </row>
    <row r="463" ht="15" customHeight="1">
      <c r="A463" t="inlineStr">
        <is>
          <t>A 26373-2025</t>
        </is>
      </c>
      <c r="B463" s="1" t="n">
        <v>45806.40677083333</v>
      </c>
      <c r="C463" s="1" t="n">
        <v>45995</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2763-2022</t>
        </is>
      </c>
      <c r="B464" s="1" t="n">
        <v>44580</v>
      </c>
      <c r="C464" s="1" t="n">
        <v>45995</v>
      </c>
      <c r="D464" t="inlineStr">
        <is>
          <t>JÄMTLANDS LÄN</t>
        </is>
      </c>
      <c r="E464" t="inlineStr">
        <is>
          <t>ÖSTERSUND</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54587-2024</t>
        </is>
      </c>
      <c r="B465" s="1" t="n">
        <v>45617.65800925926</v>
      </c>
      <c r="C465" s="1" t="n">
        <v>45995</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61506-2023</t>
        </is>
      </c>
      <c r="B466" s="1" t="n">
        <v>45264</v>
      </c>
      <c r="C466" s="1" t="n">
        <v>45995</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16336-2025</t>
        </is>
      </c>
      <c r="B467" s="1" t="n">
        <v>45751.36519675926</v>
      </c>
      <c r="C467" s="1" t="n">
        <v>45995</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47563-2025</t>
        </is>
      </c>
      <c r="B468" s="1" t="n">
        <v>45931.38956018518</v>
      </c>
      <c r="C468" s="1" t="n">
        <v>45995</v>
      </c>
      <c r="D468" t="inlineStr">
        <is>
          <t>JÄMTLANDS LÄN</t>
        </is>
      </c>
      <c r="E468" t="inlineStr">
        <is>
          <t>ÖSTERSUND</t>
        </is>
      </c>
      <c r="G468" t="n">
        <v>2.3</v>
      </c>
      <c r="H468" t="n">
        <v>0</v>
      </c>
      <c r="I468" t="n">
        <v>0</v>
      </c>
      <c r="J468" t="n">
        <v>0</v>
      </c>
      <c r="K468" t="n">
        <v>0</v>
      </c>
      <c r="L468" t="n">
        <v>0</v>
      </c>
      <c r="M468" t="n">
        <v>0</v>
      </c>
      <c r="N468" t="n">
        <v>0</v>
      </c>
      <c r="O468" t="n">
        <v>0</v>
      </c>
      <c r="P468" t="n">
        <v>0</v>
      </c>
      <c r="Q468" t="n">
        <v>0</v>
      </c>
      <c r="R468" s="2" t="inlineStr"/>
    </row>
    <row r="469" ht="15" customHeight="1">
      <c r="A469" t="inlineStr">
        <is>
          <t>A 55064-2024</t>
        </is>
      </c>
      <c r="B469" s="1" t="n">
        <v>45621.41050925926</v>
      </c>
      <c r="C469" s="1" t="n">
        <v>45995</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207-2025</t>
        </is>
      </c>
      <c r="B470" s="1" t="n">
        <v>45660.32672453704</v>
      </c>
      <c r="C470" s="1" t="n">
        <v>45995</v>
      </c>
      <c r="D470" t="inlineStr">
        <is>
          <t>JÄMTLANDS LÄN</t>
        </is>
      </c>
      <c r="E470" t="inlineStr">
        <is>
          <t>ÖSTERSUND</t>
        </is>
      </c>
      <c r="G470" t="n">
        <v>4</v>
      </c>
      <c r="H470" t="n">
        <v>0</v>
      </c>
      <c r="I470" t="n">
        <v>0</v>
      </c>
      <c r="J470" t="n">
        <v>0</v>
      </c>
      <c r="K470" t="n">
        <v>0</v>
      </c>
      <c r="L470" t="n">
        <v>0</v>
      </c>
      <c r="M470" t="n">
        <v>0</v>
      </c>
      <c r="N470" t="n">
        <v>0</v>
      </c>
      <c r="O470" t="n">
        <v>0</v>
      </c>
      <c r="P470" t="n">
        <v>0</v>
      </c>
      <c r="Q470" t="n">
        <v>0</v>
      </c>
      <c r="R470" s="2" t="inlineStr"/>
    </row>
    <row r="471" ht="15" customHeight="1">
      <c r="A471" t="inlineStr">
        <is>
          <t>A 61332-2024</t>
        </is>
      </c>
      <c r="B471" s="1" t="n">
        <v>45646.35685185185</v>
      </c>
      <c r="C471" s="1" t="n">
        <v>45995</v>
      </c>
      <c r="D471" t="inlineStr">
        <is>
          <t>JÄMTLANDS LÄN</t>
        </is>
      </c>
      <c r="E471" t="inlineStr">
        <is>
          <t>ÖSTERSUND</t>
        </is>
      </c>
      <c r="G471" t="n">
        <v>3.2</v>
      </c>
      <c r="H471" t="n">
        <v>0</v>
      </c>
      <c r="I471" t="n">
        <v>0</v>
      </c>
      <c r="J471" t="n">
        <v>0</v>
      </c>
      <c r="K471" t="n">
        <v>0</v>
      </c>
      <c r="L471" t="n">
        <v>0</v>
      </c>
      <c r="M471" t="n">
        <v>0</v>
      </c>
      <c r="N471" t="n">
        <v>0</v>
      </c>
      <c r="O471" t="n">
        <v>0</v>
      </c>
      <c r="P471" t="n">
        <v>0</v>
      </c>
      <c r="Q471" t="n">
        <v>0</v>
      </c>
      <c r="R471" s="2" t="inlineStr"/>
    </row>
    <row r="472" ht="15" customHeight="1">
      <c r="A472" t="inlineStr">
        <is>
          <t>A 17709-2024</t>
        </is>
      </c>
      <c r="B472" s="1" t="n">
        <v>45418.4843287037</v>
      </c>
      <c r="C472" s="1" t="n">
        <v>45995</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56165-2025</t>
        </is>
      </c>
      <c r="B473" s="1" t="n">
        <v>45974.38310185185</v>
      </c>
      <c r="C473" s="1" t="n">
        <v>45995</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10116-2025</t>
        </is>
      </c>
      <c r="B474" s="1" t="n">
        <v>45719.59836805556</v>
      </c>
      <c r="C474" s="1" t="n">
        <v>45995</v>
      </c>
      <c r="D474" t="inlineStr">
        <is>
          <t>JÄMTLANDS LÄN</t>
        </is>
      </c>
      <c r="E474" t="inlineStr">
        <is>
          <t>ÖSTERSUND</t>
        </is>
      </c>
      <c r="G474" t="n">
        <v>11.1</v>
      </c>
      <c r="H474" t="n">
        <v>0</v>
      </c>
      <c r="I474" t="n">
        <v>0</v>
      </c>
      <c r="J474" t="n">
        <v>0</v>
      </c>
      <c r="K474" t="n">
        <v>0</v>
      </c>
      <c r="L474" t="n">
        <v>0</v>
      </c>
      <c r="M474" t="n">
        <v>0</v>
      </c>
      <c r="N474" t="n">
        <v>0</v>
      </c>
      <c r="O474" t="n">
        <v>0</v>
      </c>
      <c r="P474" t="n">
        <v>0</v>
      </c>
      <c r="Q474" t="n">
        <v>0</v>
      </c>
      <c r="R474" s="2" t="inlineStr"/>
    </row>
    <row r="475" ht="15" customHeight="1">
      <c r="A475" t="inlineStr">
        <is>
          <t>A 47759-2025</t>
        </is>
      </c>
      <c r="B475" s="1" t="n">
        <v>45931.67381944445</v>
      </c>
      <c r="C475" s="1" t="n">
        <v>45995</v>
      </c>
      <c r="D475" t="inlineStr">
        <is>
          <t>JÄMTLANDS LÄN</t>
        </is>
      </c>
      <c r="E475" t="inlineStr">
        <is>
          <t>ÖSTERSUND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21060-2025</t>
        </is>
      </c>
      <c r="B476" s="1" t="n">
        <v>45777.58025462963</v>
      </c>
      <c r="C476" s="1" t="n">
        <v>45995</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46732-2024</t>
        </is>
      </c>
      <c r="B477" s="1" t="n">
        <v>45583.46936342592</v>
      </c>
      <c r="C477" s="1" t="n">
        <v>45995</v>
      </c>
      <c r="D477" t="inlineStr">
        <is>
          <t>JÄMTLANDS LÄN</t>
        </is>
      </c>
      <c r="E477" t="inlineStr">
        <is>
          <t>ÖSTERSUND</t>
        </is>
      </c>
      <c r="G477" t="n">
        <v>3.3</v>
      </c>
      <c r="H477" t="n">
        <v>0</v>
      </c>
      <c r="I477" t="n">
        <v>0</v>
      </c>
      <c r="J477" t="n">
        <v>0</v>
      </c>
      <c r="K477" t="n">
        <v>0</v>
      </c>
      <c r="L477" t="n">
        <v>0</v>
      </c>
      <c r="M477" t="n">
        <v>0</v>
      </c>
      <c r="N477" t="n">
        <v>0</v>
      </c>
      <c r="O477" t="n">
        <v>0</v>
      </c>
      <c r="P477" t="n">
        <v>0</v>
      </c>
      <c r="Q477" t="n">
        <v>0</v>
      </c>
      <c r="R477" s="2" t="inlineStr"/>
    </row>
    <row r="478" ht="15" customHeight="1">
      <c r="A478" t="inlineStr">
        <is>
          <t>A 21094-2025</t>
        </is>
      </c>
      <c r="B478" s="1" t="n">
        <v>45777.62665509259</v>
      </c>
      <c r="C478" s="1" t="n">
        <v>45995</v>
      </c>
      <c r="D478" t="inlineStr">
        <is>
          <t>JÄMTLANDS LÄN</t>
        </is>
      </c>
      <c r="E478" t="inlineStr">
        <is>
          <t>ÖSTERSUND</t>
        </is>
      </c>
      <c r="G478" t="n">
        <v>3.3</v>
      </c>
      <c r="H478" t="n">
        <v>0</v>
      </c>
      <c r="I478" t="n">
        <v>0</v>
      </c>
      <c r="J478" t="n">
        <v>0</v>
      </c>
      <c r="K478" t="n">
        <v>0</v>
      </c>
      <c r="L478" t="n">
        <v>0</v>
      </c>
      <c r="M478" t="n">
        <v>0</v>
      </c>
      <c r="N478" t="n">
        <v>0</v>
      </c>
      <c r="O478" t="n">
        <v>0</v>
      </c>
      <c r="P478" t="n">
        <v>0</v>
      </c>
      <c r="Q478" t="n">
        <v>0</v>
      </c>
      <c r="R478" s="2" t="inlineStr"/>
    </row>
    <row r="479" ht="15" customHeight="1">
      <c r="A479" t="inlineStr">
        <is>
          <t>A 21237-2025</t>
        </is>
      </c>
      <c r="B479" s="1" t="n">
        <v>45779</v>
      </c>
      <c r="C479" s="1" t="n">
        <v>45995</v>
      </c>
      <c r="D479" t="inlineStr">
        <is>
          <t>JÄMTLANDS LÄN</t>
        </is>
      </c>
      <c r="E479" t="inlineStr">
        <is>
          <t>ÖSTERSUND</t>
        </is>
      </c>
      <c r="G479" t="n">
        <v>0.4</v>
      </c>
      <c r="H479" t="n">
        <v>0</v>
      </c>
      <c r="I479" t="n">
        <v>0</v>
      </c>
      <c r="J479" t="n">
        <v>0</v>
      </c>
      <c r="K479" t="n">
        <v>0</v>
      </c>
      <c r="L479" t="n">
        <v>0</v>
      </c>
      <c r="M479" t="n">
        <v>0</v>
      </c>
      <c r="N479" t="n">
        <v>0</v>
      </c>
      <c r="O479" t="n">
        <v>0</v>
      </c>
      <c r="P479" t="n">
        <v>0</v>
      </c>
      <c r="Q479" t="n">
        <v>0</v>
      </c>
      <c r="R479" s="2" t="inlineStr"/>
    </row>
    <row r="480" ht="15" customHeight="1">
      <c r="A480" t="inlineStr">
        <is>
          <t>A 47579-2025</t>
        </is>
      </c>
      <c r="B480" s="1" t="n">
        <v>45931.40671296296</v>
      </c>
      <c r="C480" s="1" t="n">
        <v>45995</v>
      </c>
      <c r="D480" t="inlineStr">
        <is>
          <t>JÄMTLANDS LÄN</t>
        </is>
      </c>
      <c r="E480" t="inlineStr">
        <is>
          <t>ÖSTERSUND</t>
        </is>
      </c>
      <c r="G480" t="n">
        <v>5.8</v>
      </c>
      <c r="H480" t="n">
        <v>0</v>
      </c>
      <c r="I480" t="n">
        <v>0</v>
      </c>
      <c r="J480" t="n">
        <v>0</v>
      </c>
      <c r="K480" t="n">
        <v>0</v>
      </c>
      <c r="L480" t="n">
        <v>0</v>
      </c>
      <c r="M480" t="n">
        <v>0</v>
      </c>
      <c r="N480" t="n">
        <v>0</v>
      </c>
      <c r="O480" t="n">
        <v>0</v>
      </c>
      <c r="P480" t="n">
        <v>0</v>
      </c>
      <c r="Q480" t="n">
        <v>0</v>
      </c>
      <c r="R480" s="2" t="inlineStr"/>
    </row>
    <row r="481" ht="15" customHeight="1">
      <c r="A481" t="inlineStr">
        <is>
          <t>A 14848-2025</t>
        </is>
      </c>
      <c r="B481" s="1" t="n">
        <v>45743.39528935185</v>
      </c>
      <c r="C481" s="1" t="n">
        <v>45995</v>
      </c>
      <c r="D481" t="inlineStr">
        <is>
          <t>JÄMTLANDS LÄN</t>
        </is>
      </c>
      <c r="E481" t="inlineStr">
        <is>
          <t>ÖSTERSUND</t>
        </is>
      </c>
      <c r="G481" t="n">
        <v>12.1</v>
      </c>
      <c r="H481" t="n">
        <v>0</v>
      </c>
      <c r="I481" t="n">
        <v>0</v>
      </c>
      <c r="J481" t="n">
        <v>0</v>
      </c>
      <c r="K481" t="n">
        <v>0</v>
      </c>
      <c r="L481" t="n">
        <v>0</v>
      </c>
      <c r="M481" t="n">
        <v>0</v>
      </c>
      <c r="N481" t="n">
        <v>0</v>
      </c>
      <c r="O481" t="n">
        <v>0</v>
      </c>
      <c r="P481" t="n">
        <v>0</v>
      </c>
      <c r="Q481" t="n">
        <v>0</v>
      </c>
      <c r="R481" s="2" t="inlineStr"/>
    </row>
    <row r="482" ht="15" customHeight="1">
      <c r="A482" t="inlineStr">
        <is>
          <t>A 45338-2024</t>
        </is>
      </c>
      <c r="B482" s="1" t="n">
        <v>45576.46905092592</v>
      </c>
      <c r="C482" s="1" t="n">
        <v>45995</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45895-2024</t>
        </is>
      </c>
      <c r="B483" s="1" t="n">
        <v>45580.42736111111</v>
      </c>
      <c r="C483" s="1" t="n">
        <v>45995</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16812-2025</t>
        </is>
      </c>
      <c r="B484" s="1" t="n">
        <v>45754</v>
      </c>
      <c r="C484" s="1" t="n">
        <v>45995</v>
      </c>
      <c r="D484" t="inlineStr">
        <is>
          <t>JÄMTLANDS LÄN</t>
        </is>
      </c>
      <c r="E484" t="inlineStr">
        <is>
          <t>ÖSTERSUND</t>
        </is>
      </c>
      <c r="F484" t="inlineStr">
        <is>
          <t>Övriga statliga verk och myndigheter</t>
        </is>
      </c>
      <c r="G484" t="n">
        <v>3.7</v>
      </c>
      <c r="H484" t="n">
        <v>0</v>
      </c>
      <c r="I484" t="n">
        <v>0</v>
      </c>
      <c r="J484" t="n">
        <v>0</v>
      </c>
      <c r="K484" t="n">
        <v>0</v>
      </c>
      <c r="L484" t="n">
        <v>0</v>
      </c>
      <c r="M484" t="n">
        <v>0</v>
      </c>
      <c r="N484" t="n">
        <v>0</v>
      </c>
      <c r="O484" t="n">
        <v>0</v>
      </c>
      <c r="P484" t="n">
        <v>0</v>
      </c>
      <c r="Q484" t="n">
        <v>0</v>
      </c>
      <c r="R484" s="2" t="inlineStr"/>
    </row>
    <row r="485" ht="15" customHeight="1">
      <c r="A485" t="inlineStr">
        <is>
          <t>A 2686-2021</t>
        </is>
      </c>
      <c r="B485" s="1" t="n">
        <v>44214</v>
      </c>
      <c r="C485" s="1" t="n">
        <v>45995</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16725-2025</t>
        </is>
      </c>
      <c r="B486" s="1" t="n">
        <v>45754</v>
      </c>
      <c r="C486" s="1" t="n">
        <v>45995</v>
      </c>
      <c r="D486" t="inlineStr">
        <is>
          <t>JÄMTLANDS LÄN</t>
        </is>
      </c>
      <c r="E486" t="inlineStr">
        <is>
          <t>ÖSTERSUND</t>
        </is>
      </c>
      <c r="F486" t="inlineStr">
        <is>
          <t>Övriga statliga verk och myndigheter</t>
        </is>
      </c>
      <c r="G486" t="n">
        <v>3.7</v>
      </c>
      <c r="H486" t="n">
        <v>0</v>
      </c>
      <c r="I486" t="n">
        <v>0</v>
      </c>
      <c r="J486" t="n">
        <v>0</v>
      </c>
      <c r="K486" t="n">
        <v>0</v>
      </c>
      <c r="L486" t="n">
        <v>0</v>
      </c>
      <c r="M486" t="n">
        <v>0</v>
      </c>
      <c r="N486" t="n">
        <v>0</v>
      </c>
      <c r="O486" t="n">
        <v>0</v>
      </c>
      <c r="P486" t="n">
        <v>0</v>
      </c>
      <c r="Q486" t="n">
        <v>0</v>
      </c>
      <c r="R486" s="2" t="inlineStr"/>
    </row>
    <row r="487" ht="15" customHeight="1">
      <c r="A487" t="inlineStr">
        <is>
          <t>A 56557-2025</t>
        </is>
      </c>
      <c r="B487" s="1" t="n">
        <v>45975.49049768518</v>
      </c>
      <c r="C487" s="1" t="n">
        <v>45995</v>
      </c>
      <c r="D487" t="inlineStr">
        <is>
          <t>JÄMTLANDS LÄN</t>
        </is>
      </c>
      <c r="E487" t="inlineStr">
        <is>
          <t>ÖSTERSUND</t>
        </is>
      </c>
      <c r="G487" t="n">
        <v>13.9</v>
      </c>
      <c r="H487" t="n">
        <v>0</v>
      </c>
      <c r="I487" t="n">
        <v>0</v>
      </c>
      <c r="J487" t="n">
        <v>0</v>
      </c>
      <c r="K487" t="n">
        <v>0</v>
      </c>
      <c r="L487" t="n">
        <v>0</v>
      </c>
      <c r="M487" t="n">
        <v>0</v>
      </c>
      <c r="N487" t="n">
        <v>0</v>
      </c>
      <c r="O487" t="n">
        <v>0</v>
      </c>
      <c r="P487" t="n">
        <v>0</v>
      </c>
      <c r="Q487" t="n">
        <v>0</v>
      </c>
      <c r="R487" s="2" t="inlineStr"/>
    </row>
    <row r="488" ht="15" customHeight="1">
      <c r="A488" t="inlineStr">
        <is>
          <t>A 56899-2025</t>
        </is>
      </c>
      <c r="B488" s="1" t="n">
        <v>45978.57238425926</v>
      </c>
      <c r="C488" s="1" t="n">
        <v>45995</v>
      </c>
      <c r="D488" t="inlineStr">
        <is>
          <t>JÄMTLANDS LÄN</t>
        </is>
      </c>
      <c r="E488" t="inlineStr">
        <is>
          <t>ÖSTERSUND</t>
        </is>
      </c>
      <c r="G488" t="n">
        <v>23.2</v>
      </c>
      <c r="H488" t="n">
        <v>0</v>
      </c>
      <c r="I488" t="n">
        <v>0</v>
      </c>
      <c r="J488" t="n">
        <v>0</v>
      </c>
      <c r="K488" t="n">
        <v>0</v>
      </c>
      <c r="L488" t="n">
        <v>0</v>
      </c>
      <c r="M488" t="n">
        <v>0</v>
      </c>
      <c r="N488" t="n">
        <v>0</v>
      </c>
      <c r="O488" t="n">
        <v>0</v>
      </c>
      <c r="P488" t="n">
        <v>0</v>
      </c>
      <c r="Q488" t="n">
        <v>0</v>
      </c>
      <c r="R488" s="2" t="inlineStr"/>
    </row>
    <row r="489" ht="15" customHeight="1">
      <c r="A489" t="inlineStr">
        <is>
          <t>A 56811-2025</t>
        </is>
      </c>
      <c r="B489" s="1" t="n">
        <v>45978.45540509259</v>
      </c>
      <c r="C489" s="1" t="n">
        <v>45995</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8027-2022</t>
        </is>
      </c>
      <c r="B490" s="1" t="n">
        <v>44609</v>
      </c>
      <c r="C490" s="1" t="n">
        <v>45995</v>
      </c>
      <c r="D490" t="inlineStr">
        <is>
          <t>JÄMTLANDS LÄN</t>
        </is>
      </c>
      <c r="E490" t="inlineStr">
        <is>
          <t>ÖSTERSUND</t>
        </is>
      </c>
      <c r="G490" t="n">
        <v>1.6</v>
      </c>
      <c r="H490" t="n">
        <v>0</v>
      </c>
      <c r="I490" t="n">
        <v>0</v>
      </c>
      <c r="J490" t="n">
        <v>0</v>
      </c>
      <c r="K490" t="n">
        <v>0</v>
      </c>
      <c r="L490" t="n">
        <v>0</v>
      </c>
      <c r="M490" t="n">
        <v>0</v>
      </c>
      <c r="N490" t="n">
        <v>0</v>
      </c>
      <c r="O490" t="n">
        <v>0</v>
      </c>
      <c r="P490" t="n">
        <v>0</v>
      </c>
      <c r="Q490" t="n">
        <v>0</v>
      </c>
      <c r="R490" s="2" t="inlineStr"/>
    </row>
    <row r="491" ht="15" customHeight="1">
      <c r="A491" t="inlineStr">
        <is>
          <t>A 4480-2025</t>
        </is>
      </c>
      <c r="B491" s="1" t="n">
        <v>45686.64175925926</v>
      </c>
      <c r="C491" s="1" t="n">
        <v>45995</v>
      </c>
      <c r="D491" t="inlineStr">
        <is>
          <t>JÄMTLANDS LÄN</t>
        </is>
      </c>
      <c r="E491" t="inlineStr">
        <is>
          <t>ÖSTERSUND</t>
        </is>
      </c>
      <c r="G491" t="n">
        <v>27.7</v>
      </c>
      <c r="H491" t="n">
        <v>0</v>
      </c>
      <c r="I491" t="n">
        <v>0</v>
      </c>
      <c r="J491" t="n">
        <v>0</v>
      </c>
      <c r="K491" t="n">
        <v>0</v>
      </c>
      <c r="L491" t="n">
        <v>0</v>
      </c>
      <c r="M491" t="n">
        <v>0</v>
      </c>
      <c r="N491" t="n">
        <v>0</v>
      </c>
      <c r="O491" t="n">
        <v>0</v>
      </c>
      <c r="P491" t="n">
        <v>0</v>
      </c>
      <c r="Q491" t="n">
        <v>0</v>
      </c>
      <c r="R491" s="2" t="inlineStr"/>
    </row>
    <row r="492" ht="15" customHeight="1">
      <c r="A492" t="inlineStr">
        <is>
          <t>A 56903-2025</t>
        </is>
      </c>
      <c r="B492" s="1" t="n">
        <v>45978.57414351852</v>
      </c>
      <c r="C492" s="1" t="n">
        <v>45995</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19323-2024</t>
        </is>
      </c>
      <c r="B493" s="1" t="n">
        <v>45428.92486111111</v>
      </c>
      <c r="C493" s="1" t="n">
        <v>45995</v>
      </c>
      <c r="D493" t="inlineStr">
        <is>
          <t>JÄMTLANDS LÄN</t>
        </is>
      </c>
      <c r="E493" t="inlineStr">
        <is>
          <t>ÖSTERSUND</t>
        </is>
      </c>
      <c r="F493" t="inlineStr">
        <is>
          <t>Kommuner</t>
        </is>
      </c>
      <c r="G493" t="n">
        <v>0.2</v>
      </c>
      <c r="H493" t="n">
        <v>0</v>
      </c>
      <c r="I493" t="n">
        <v>0</v>
      </c>
      <c r="J493" t="n">
        <v>0</v>
      </c>
      <c r="K493" t="n">
        <v>0</v>
      </c>
      <c r="L493" t="n">
        <v>0</v>
      </c>
      <c r="M493" t="n">
        <v>0</v>
      </c>
      <c r="N493" t="n">
        <v>0</v>
      </c>
      <c r="O493" t="n">
        <v>0</v>
      </c>
      <c r="P493" t="n">
        <v>0</v>
      </c>
      <c r="Q493" t="n">
        <v>0</v>
      </c>
      <c r="R493" s="2" t="inlineStr"/>
    </row>
    <row r="494" ht="15" customHeight="1">
      <c r="A494" t="inlineStr">
        <is>
          <t>A 14831-2025</t>
        </is>
      </c>
      <c r="B494" s="1" t="n">
        <v>45743.37109953703</v>
      </c>
      <c r="C494" s="1" t="n">
        <v>45995</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49592-2024</t>
        </is>
      </c>
      <c r="B495" s="1" t="n">
        <v>45596.55266203704</v>
      </c>
      <c r="C495" s="1" t="n">
        <v>45995</v>
      </c>
      <c r="D495" t="inlineStr">
        <is>
          <t>JÄMTLANDS LÄN</t>
        </is>
      </c>
      <c r="E495" t="inlineStr">
        <is>
          <t>ÖSTERSUND</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56847-2024</t>
        </is>
      </c>
      <c r="B496" s="1" t="n">
        <v>45628.53381944444</v>
      </c>
      <c r="C496" s="1" t="n">
        <v>45995</v>
      </c>
      <c r="D496" t="inlineStr">
        <is>
          <t>JÄMTLANDS LÄN</t>
        </is>
      </c>
      <c r="E496" t="inlineStr">
        <is>
          <t>ÖSTERSUND</t>
        </is>
      </c>
      <c r="G496" t="n">
        <v>1.4</v>
      </c>
      <c r="H496" t="n">
        <v>0</v>
      </c>
      <c r="I496" t="n">
        <v>0</v>
      </c>
      <c r="J496" t="n">
        <v>0</v>
      </c>
      <c r="K496" t="n">
        <v>0</v>
      </c>
      <c r="L496" t="n">
        <v>0</v>
      </c>
      <c r="M496" t="n">
        <v>0</v>
      </c>
      <c r="N496" t="n">
        <v>0</v>
      </c>
      <c r="O496" t="n">
        <v>0</v>
      </c>
      <c r="P496" t="n">
        <v>0</v>
      </c>
      <c r="Q496" t="n">
        <v>0</v>
      </c>
      <c r="R496" s="2" t="inlineStr"/>
    </row>
    <row r="497" ht="15" customHeight="1">
      <c r="A497" t="inlineStr">
        <is>
          <t>A 44798-2023</t>
        </is>
      </c>
      <c r="B497" s="1" t="n">
        <v>45190</v>
      </c>
      <c r="C497" s="1" t="n">
        <v>45995</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61376-2024</t>
        </is>
      </c>
      <c r="B498" s="1" t="n">
        <v>45646.39434027778</v>
      </c>
      <c r="C498" s="1" t="n">
        <v>45995</v>
      </c>
      <c r="D498" t="inlineStr">
        <is>
          <t>JÄMTLANDS LÄN</t>
        </is>
      </c>
      <c r="E498" t="inlineStr">
        <is>
          <t>ÖSTERSUND</t>
        </is>
      </c>
      <c r="G498" t="n">
        <v>4.6</v>
      </c>
      <c r="H498" t="n">
        <v>0</v>
      </c>
      <c r="I498" t="n">
        <v>0</v>
      </c>
      <c r="J498" t="n">
        <v>0</v>
      </c>
      <c r="K498" t="n">
        <v>0</v>
      </c>
      <c r="L498" t="n">
        <v>0</v>
      </c>
      <c r="M498" t="n">
        <v>0</v>
      </c>
      <c r="N498" t="n">
        <v>0</v>
      </c>
      <c r="O498" t="n">
        <v>0</v>
      </c>
      <c r="P498" t="n">
        <v>0</v>
      </c>
      <c r="Q498" t="n">
        <v>0</v>
      </c>
      <c r="R498" s="2" t="inlineStr"/>
    </row>
    <row r="499" ht="15" customHeight="1">
      <c r="A499" t="inlineStr">
        <is>
          <t>A 49788-2024</t>
        </is>
      </c>
      <c r="B499" s="1" t="n">
        <v>45597.36623842592</v>
      </c>
      <c r="C499" s="1" t="n">
        <v>45995</v>
      </c>
      <c r="D499" t="inlineStr">
        <is>
          <t>JÄMTLANDS LÄN</t>
        </is>
      </c>
      <c r="E499" t="inlineStr">
        <is>
          <t>ÖSTERSUND</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56539-2025</t>
        </is>
      </c>
      <c r="B500" s="1" t="n">
        <v>45975.47357638889</v>
      </c>
      <c r="C500" s="1" t="n">
        <v>45995</v>
      </c>
      <c r="D500" t="inlineStr">
        <is>
          <t>JÄMTLANDS LÄN</t>
        </is>
      </c>
      <c r="E500" t="inlineStr">
        <is>
          <t>ÖSTERSUND</t>
        </is>
      </c>
      <c r="G500" t="n">
        <v>7.5</v>
      </c>
      <c r="H500" t="n">
        <v>0</v>
      </c>
      <c r="I500" t="n">
        <v>0</v>
      </c>
      <c r="J500" t="n">
        <v>0</v>
      </c>
      <c r="K500" t="n">
        <v>0</v>
      </c>
      <c r="L500" t="n">
        <v>0</v>
      </c>
      <c r="M500" t="n">
        <v>0</v>
      </c>
      <c r="N500" t="n">
        <v>0</v>
      </c>
      <c r="O500" t="n">
        <v>0</v>
      </c>
      <c r="P500" t="n">
        <v>0</v>
      </c>
      <c r="Q500" t="n">
        <v>0</v>
      </c>
      <c r="R500" s="2" t="inlineStr"/>
    </row>
    <row r="501" ht="15" customHeight="1">
      <c r="A501" t="inlineStr">
        <is>
          <t>A 56750-2025</t>
        </is>
      </c>
      <c r="B501" s="1" t="n">
        <v>45975</v>
      </c>
      <c r="C501" s="1" t="n">
        <v>45995</v>
      </c>
      <c r="D501" t="inlineStr">
        <is>
          <t>JÄMTLANDS LÄN</t>
        </is>
      </c>
      <c r="E501" t="inlineStr">
        <is>
          <t>ÖSTERSUND</t>
        </is>
      </c>
      <c r="G501" t="n">
        <v>5.1</v>
      </c>
      <c r="H501" t="n">
        <v>0</v>
      </c>
      <c r="I501" t="n">
        <v>0</v>
      </c>
      <c r="J501" t="n">
        <v>0</v>
      </c>
      <c r="K501" t="n">
        <v>0</v>
      </c>
      <c r="L501" t="n">
        <v>0</v>
      </c>
      <c r="M501" t="n">
        <v>0</v>
      </c>
      <c r="N501" t="n">
        <v>0</v>
      </c>
      <c r="O501" t="n">
        <v>0</v>
      </c>
      <c r="P501" t="n">
        <v>0</v>
      </c>
      <c r="Q501" t="n">
        <v>0</v>
      </c>
      <c r="R501" s="2" t="inlineStr"/>
    </row>
    <row r="502" ht="15" customHeight="1">
      <c r="A502" t="inlineStr">
        <is>
          <t>A 56499-2025</t>
        </is>
      </c>
      <c r="B502" s="1" t="n">
        <v>45975.43427083334</v>
      </c>
      <c r="C502" s="1" t="n">
        <v>45995</v>
      </c>
      <c r="D502" t="inlineStr">
        <is>
          <t>JÄMTLANDS LÄN</t>
        </is>
      </c>
      <c r="E502" t="inlineStr">
        <is>
          <t>ÖSTERSUND</t>
        </is>
      </c>
      <c r="G502" t="n">
        <v>7.4</v>
      </c>
      <c r="H502" t="n">
        <v>0</v>
      </c>
      <c r="I502" t="n">
        <v>0</v>
      </c>
      <c r="J502" t="n">
        <v>0</v>
      </c>
      <c r="K502" t="n">
        <v>0</v>
      </c>
      <c r="L502" t="n">
        <v>0</v>
      </c>
      <c r="M502" t="n">
        <v>0</v>
      </c>
      <c r="N502" t="n">
        <v>0</v>
      </c>
      <c r="O502" t="n">
        <v>0</v>
      </c>
      <c r="P502" t="n">
        <v>0</v>
      </c>
      <c r="Q502" t="n">
        <v>0</v>
      </c>
      <c r="R502" s="2" t="inlineStr"/>
    </row>
    <row r="503" ht="15" customHeight="1">
      <c r="A503" t="inlineStr">
        <is>
          <t>A 22612-2025</t>
        </is>
      </c>
      <c r="B503" s="1" t="n">
        <v>45789.42538194444</v>
      </c>
      <c r="C503" s="1" t="n">
        <v>45995</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58406-2024</t>
        </is>
      </c>
      <c r="B504" s="1" t="n">
        <v>45634.70898148148</v>
      </c>
      <c r="C504" s="1" t="n">
        <v>45995</v>
      </c>
      <c r="D504" t="inlineStr">
        <is>
          <t>JÄMTLANDS LÄN</t>
        </is>
      </c>
      <c r="E504" t="inlineStr">
        <is>
          <t>ÖSTERSUND</t>
        </is>
      </c>
      <c r="G504" t="n">
        <v>3.8</v>
      </c>
      <c r="H504" t="n">
        <v>0</v>
      </c>
      <c r="I504" t="n">
        <v>0</v>
      </c>
      <c r="J504" t="n">
        <v>0</v>
      </c>
      <c r="K504" t="n">
        <v>0</v>
      </c>
      <c r="L504" t="n">
        <v>0</v>
      </c>
      <c r="M504" t="n">
        <v>0</v>
      </c>
      <c r="N504" t="n">
        <v>0</v>
      </c>
      <c r="O504" t="n">
        <v>0</v>
      </c>
      <c r="P504" t="n">
        <v>0</v>
      </c>
      <c r="Q504" t="n">
        <v>0</v>
      </c>
      <c r="R504" s="2" t="inlineStr"/>
    </row>
    <row r="505" ht="15" customHeight="1">
      <c r="A505" t="inlineStr">
        <is>
          <t>A 56690-2025</t>
        </is>
      </c>
      <c r="B505" s="1" t="n">
        <v>45976.58684027778</v>
      </c>
      <c r="C505" s="1" t="n">
        <v>45995</v>
      </c>
      <c r="D505" t="inlineStr">
        <is>
          <t>JÄMTLANDS LÄN</t>
        </is>
      </c>
      <c r="E505" t="inlineStr">
        <is>
          <t>ÖSTERSUND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61002-2024</t>
        </is>
      </c>
      <c r="B506" s="1" t="n">
        <v>45645.44158564815</v>
      </c>
      <c r="C506" s="1" t="n">
        <v>45995</v>
      </c>
      <c r="D506" t="inlineStr">
        <is>
          <t>JÄMTLANDS LÄN</t>
        </is>
      </c>
      <c r="E506" t="inlineStr">
        <is>
          <t>ÖSTERSUND</t>
        </is>
      </c>
      <c r="G506" t="n">
        <v>4.1</v>
      </c>
      <c r="H506" t="n">
        <v>0</v>
      </c>
      <c r="I506" t="n">
        <v>0</v>
      </c>
      <c r="J506" t="n">
        <v>0</v>
      </c>
      <c r="K506" t="n">
        <v>0</v>
      </c>
      <c r="L506" t="n">
        <v>0</v>
      </c>
      <c r="M506" t="n">
        <v>0</v>
      </c>
      <c r="N506" t="n">
        <v>0</v>
      </c>
      <c r="O506" t="n">
        <v>0</v>
      </c>
      <c r="P506" t="n">
        <v>0</v>
      </c>
      <c r="Q506" t="n">
        <v>0</v>
      </c>
      <c r="R506" s="2" t="inlineStr"/>
    </row>
    <row r="507" ht="15" customHeight="1">
      <c r="A507" t="inlineStr">
        <is>
          <t>A 33501-2023</t>
        </is>
      </c>
      <c r="B507" s="1" t="n">
        <v>45118</v>
      </c>
      <c r="C507" s="1" t="n">
        <v>45995</v>
      </c>
      <c r="D507" t="inlineStr">
        <is>
          <t>JÄMTLANDS LÄN</t>
        </is>
      </c>
      <c r="E507" t="inlineStr">
        <is>
          <t>ÖSTERSUND</t>
        </is>
      </c>
      <c r="G507" t="n">
        <v>5.8</v>
      </c>
      <c r="H507" t="n">
        <v>0</v>
      </c>
      <c r="I507" t="n">
        <v>0</v>
      </c>
      <c r="J507" t="n">
        <v>0</v>
      </c>
      <c r="K507" t="n">
        <v>0</v>
      </c>
      <c r="L507" t="n">
        <v>0</v>
      </c>
      <c r="M507" t="n">
        <v>0</v>
      </c>
      <c r="N507" t="n">
        <v>0</v>
      </c>
      <c r="O507" t="n">
        <v>0</v>
      </c>
      <c r="P507" t="n">
        <v>0</v>
      </c>
      <c r="Q507" t="n">
        <v>0</v>
      </c>
      <c r="R507" s="2" t="inlineStr"/>
    </row>
    <row r="508" ht="15" customHeight="1">
      <c r="A508" t="inlineStr">
        <is>
          <t>A 45533-2025</t>
        </is>
      </c>
      <c r="B508" s="1" t="n">
        <v>45922</v>
      </c>
      <c r="C508" s="1" t="n">
        <v>45995</v>
      </c>
      <c r="D508" t="inlineStr">
        <is>
          <t>JÄMTLANDS LÄN</t>
        </is>
      </c>
      <c r="E508" t="inlineStr">
        <is>
          <t>ÖSTERSUND</t>
        </is>
      </c>
      <c r="F508" t="inlineStr">
        <is>
          <t>Övriga statliga verk och myndigheter</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231-2022</t>
        </is>
      </c>
      <c r="B509" s="1" t="n">
        <v>44564.93909722222</v>
      </c>
      <c r="C509" s="1" t="n">
        <v>45995</v>
      </c>
      <c r="D509" t="inlineStr">
        <is>
          <t>JÄMTLANDS LÄN</t>
        </is>
      </c>
      <c r="E509" t="inlineStr">
        <is>
          <t>ÖSTERSUND</t>
        </is>
      </c>
      <c r="G509" t="n">
        <v>1.9</v>
      </c>
      <c r="H509" t="n">
        <v>0</v>
      </c>
      <c r="I509" t="n">
        <v>0</v>
      </c>
      <c r="J509" t="n">
        <v>0</v>
      </c>
      <c r="K509" t="n">
        <v>0</v>
      </c>
      <c r="L509" t="n">
        <v>0</v>
      </c>
      <c r="M509" t="n">
        <v>0</v>
      </c>
      <c r="N509" t="n">
        <v>0</v>
      </c>
      <c r="O509" t="n">
        <v>0</v>
      </c>
      <c r="P509" t="n">
        <v>0</v>
      </c>
      <c r="Q509" t="n">
        <v>0</v>
      </c>
      <c r="R509" s="2" t="inlineStr"/>
    </row>
    <row r="510" ht="15" customHeight="1">
      <c r="A510" t="inlineStr">
        <is>
          <t>A 52854-2024</t>
        </is>
      </c>
      <c r="B510" s="1" t="n">
        <v>45610.61030092592</v>
      </c>
      <c r="C510" s="1" t="n">
        <v>45995</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57513-2025</t>
        </is>
      </c>
      <c r="B511" s="1" t="n">
        <v>45980.61142361111</v>
      </c>
      <c r="C511" s="1" t="n">
        <v>45995</v>
      </c>
      <c r="D511" t="inlineStr">
        <is>
          <t>JÄMTLANDS LÄN</t>
        </is>
      </c>
      <c r="E511" t="inlineStr">
        <is>
          <t>ÖSTERSUND</t>
        </is>
      </c>
      <c r="G511" t="n">
        <v>3.8</v>
      </c>
      <c r="H511" t="n">
        <v>0</v>
      </c>
      <c r="I511" t="n">
        <v>0</v>
      </c>
      <c r="J511" t="n">
        <v>0</v>
      </c>
      <c r="K511" t="n">
        <v>0</v>
      </c>
      <c r="L511" t="n">
        <v>0</v>
      </c>
      <c r="M511" t="n">
        <v>0</v>
      </c>
      <c r="N511" t="n">
        <v>0</v>
      </c>
      <c r="O511" t="n">
        <v>0</v>
      </c>
      <c r="P511" t="n">
        <v>0</v>
      </c>
      <c r="Q511" t="n">
        <v>0</v>
      </c>
      <c r="R511" s="2" t="inlineStr"/>
    </row>
    <row r="512" ht="15" customHeight="1">
      <c r="A512" t="inlineStr">
        <is>
          <t>A 22384-2025</t>
        </is>
      </c>
      <c r="B512" s="1" t="n">
        <v>45786</v>
      </c>
      <c r="C512" s="1" t="n">
        <v>45995</v>
      </c>
      <c r="D512" t="inlineStr">
        <is>
          <t>JÄMTLANDS LÄN</t>
        </is>
      </c>
      <c r="E512" t="inlineStr">
        <is>
          <t>ÖSTERSUND</t>
        </is>
      </c>
      <c r="G512" t="n">
        <v>1.4</v>
      </c>
      <c r="H512" t="n">
        <v>0</v>
      </c>
      <c r="I512" t="n">
        <v>0</v>
      </c>
      <c r="J512" t="n">
        <v>0</v>
      </c>
      <c r="K512" t="n">
        <v>0</v>
      </c>
      <c r="L512" t="n">
        <v>0</v>
      </c>
      <c r="M512" t="n">
        <v>0</v>
      </c>
      <c r="N512" t="n">
        <v>0</v>
      </c>
      <c r="O512" t="n">
        <v>0</v>
      </c>
      <c r="P512" t="n">
        <v>0</v>
      </c>
      <c r="Q512" t="n">
        <v>0</v>
      </c>
      <c r="R512" s="2" t="inlineStr"/>
    </row>
    <row r="513" ht="15" customHeight="1">
      <c r="A513" t="inlineStr">
        <is>
          <t>A 8216-2025</t>
        </is>
      </c>
      <c r="B513" s="1" t="n">
        <v>45708.44947916667</v>
      </c>
      <c r="C513" s="1" t="n">
        <v>45995</v>
      </c>
      <c r="D513" t="inlineStr">
        <is>
          <t>JÄMTLANDS LÄN</t>
        </is>
      </c>
      <c r="E513" t="inlineStr">
        <is>
          <t>ÖSTERSUND</t>
        </is>
      </c>
      <c r="F513" t="inlineStr">
        <is>
          <t>Övriga Aktiebolag</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49039-2025</t>
        </is>
      </c>
      <c r="B514" s="1" t="n">
        <v>45937.63275462963</v>
      </c>
      <c r="C514" s="1" t="n">
        <v>45995</v>
      </c>
      <c r="D514" t="inlineStr">
        <is>
          <t>JÄMTLANDS LÄN</t>
        </is>
      </c>
      <c r="E514" t="inlineStr">
        <is>
          <t>ÖSTERSUND</t>
        </is>
      </c>
      <c r="G514" t="n">
        <v>1.6</v>
      </c>
      <c r="H514" t="n">
        <v>0</v>
      </c>
      <c r="I514" t="n">
        <v>0</v>
      </c>
      <c r="J514" t="n">
        <v>0</v>
      </c>
      <c r="K514" t="n">
        <v>0</v>
      </c>
      <c r="L514" t="n">
        <v>0</v>
      </c>
      <c r="M514" t="n">
        <v>0</v>
      </c>
      <c r="N514" t="n">
        <v>0</v>
      </c>
      <c r="O514" t="n">
        <v>0</v>
      </c>
      <c r="P514" t="n">
        <v>0</v>
      </c>
      <c r="Q514" t="n">
        <v>0</v>
      </c>
      <c r="R514" s="2" t="inlineStr"/>
    </row>
    <row r="515" ht="15" customHeight="1">
      <c r="A515" t="inlineStr">
        <is>
          <t>A 17948-2025</t>
        </is>
      </c>
      <c r="B515" s="1" t="n">
        <v>45760.66995370371</v>
      </c>
      <c r="C515" s="1" t="n">
        <v>45995</v>
      </c>
      <c r="D515" t="inlineStr">
        <is>
          <t>JÄMTLANDS LÄN</t>
        </is>
      </c>
      <c r="E515" t="inlineStr">
        <is>
          <t>ÖSTERSUND</t>
        </is>
      </c>
      <c r="G515" t="n">
        <v>3.9</v>
      </c>
      <c r="H515" t="n">
        <v>0</v>
      </c>
      <c r="I515" t="n">
        <v>0</v>
      </c>
      <c r="J515" t="n">
        <v>0</v>
      </c>
      <c r="K515" t="n">
        <v>0</v>
      </c>
      <c r="L515" t="n">
        <v>0</v>
      </c>
      <c r="M515" t="n">
        <v>0</v>
      </c>
      <c r="N515" t="n">
        <v>0</v>
      </c>
      <c r="O515" t="n">
        <v>0</v>
      </c>
      <c r="P515" t="n">
        <v>0</v>
      </c>
      <c r="Q515" t="n">
        <v>0</v>
      </c>
      <c r="R515" s="2" t="inlineStr"/>
    </row>
    <row r="516" ht="15" customHeight="1">
      <c r="A516" t="inlineStr">
        <is>
          <t>A 3615-2025</t>
        </is>
      </c>
      <c r="B516" s="1" t="n">
        <v>45681.36493055556</v>
      </c>
      <c r="C516" s="1" t="n">
        <v>45995</v>
      </c>
      <c r="D516" t="inlineStr">
        <is>
          <t>JÄMTLANDS LÄN</t>
        </is>
      </c>
      <c r="E516" t="inlineStr">
        <is>
          <t>ÖSTERSUND</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57268-2025</t>
        </is>
      </c>
      <c r="B517" s="1" t="n">
        <v>45979.6756712963</v>
      </c>
      <c r="C517" s="1" t="n">
        <v>45995</v>
      </c>
      <c r="D517" t="inlineStr">
        <is>
          <t>JÄMTLANDS LÄN</t>
        </is>
      </c>
      <c r="E517" t="inlineStr">
        <is>
          <t>ÖSTERSUND</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3651-2025</t>
        </is>
      </c>
      <c r="B518" s="1" t="n">
        <v>45681.40689814815</v>
      </c>
      <c r="C518" s="1" t="n">
        <v>45995</v>
      </c>
      <c r="D518" t="inlineStr">
        <is>
          <t>JÄMTLANDS LÄN</t>
        </is>
      </c>
      <c r="E518" t="inlineStr">
        <is>
          <t>ÖSTERSUND</t>
        </is>
      </c>
      <c r="F518" t="inlineStr">
        <is>
          <t>SCA</t>
        </is>
      </c>
      <c r="G518" t="n">
        <v>9.6</v>
      </c>
      <c r="H518" t="n">
        <v>0</v>
      </c>
      <c r="I518" t="n">
        <v>0</v>
      </c>
      <c r="J518" t="n">
        <v>0</v>
      </c>
      <c r="K518" t="n">
        <v>0</v>
      </c>
      <c r="L518" t="n">
        <v>0</v>
      </c>
      <c r="M518" t="n">
        <v>0</v>
      </c>
      <c r="N518" t="n">
        <v>0</v>
      </c>
      <c r="O518" t="n">
        <v>0</v>
      </c>
      <c r="P518" t="n">
        <v>0</v>
      </c>
      <c r="Q518" t="n">
        <v>0</v>
      </c>
      <c r="R518" s="2" t="inlineStr"/>
    </row>
    <row r="519" ht="15" customHeight="1">
      <c r="A519" t="inlineStr">
        <is>
          <t>A 3664-2025</t>
        </is>
      </c>
      <c r="B519" s="1" t="n">
        <v>45681.4275462963</v>
      </c>
      <c r="C519" s="1" t="n">
        <v>45995</v>
      </c>
      <c r="D519" t="inlineStr">
        <is>
          <t>JÄMTLANDS LÄN</t>
        </is>
      </c>
      <c r="E519" t="inlineStr">
        <is>
          <t>ÖSTERSUND</t>
        </is>
      </c>
      <c r="F519" t="inlineStr">
        <is>
          <t>SCA</t>
        </is>
      </c>
      <c r="G519" t="n">
        <v>10.9</v>
      </c>
      <c r="H519" t="n">
        <v>0</v>
      </c>
      <c r="I519" t="n">
        <v>0</v>
      </c>
      <c r="J519" t="n">
        <v>0</v>
      </c>
      <c r="K519" t="n">
        <v>0</v>
      </c>
      <c r="L519" t="n">
        <v>0</v>
      </c>
      <c r="M519" t="n">
        <v>0</v>
      </c>
      <c r="N519" t="n">
        <v>0</v>
      </c>
      <c r="O519" t="n">
        <v>0</v>
      </c>
      <c r="P519" t="n">
        <v>0</v>
      </c>
      <c r="Q519" t="n">
        <v>0</v>
      </c>
      <c r="R519" s="2" t="inlineStr"/>
    </row>
    <row r="520" ht="15" customHeight="1">
      <c r="A520" t="inlineStr">
        <is>
          <t>A 12429-2025</t>
        </is>
      </c>
      <c r="B520" s="1" t="n">
        <v>45730.45930555555</v>
      </c>
      <c r="C520" s="1" t="n">
        <v>45995</v>
      </c>
      <c r="D520" t="inlineStr">
        <is>
          <t>JÄMTLANDS LÄN</t>
        </is>
      </c>
      <c r="E520" t="inlineStr">
        <is>
          <t>ÖSTERSUND</t>
        </is>
      </c>
      <c r="F520" t="inlineStr">
        <is>
          <t>Övriga Aktiebolag</t>
        </is>
      </c>
      <c r="G520" t="n">
        <v>4.4</v>
      </c>
      <c r="H520" t="n">
        <v>0</v>
      </c>
      <c r="I520" t="n">
        <v>0</v>
      </c>
      <c r="J520" t="n">
        <v>0</v>
      </c>
      <c r="K520" t="n">
        <v>0</v>
      </c>
      <c r="L520" t="n">
        <v>0</v>
      </c>
      <c r="M520" t="n">
        <v>0</v>
      </c>
      <c r="N520" t="n">
        <v>0</v>
      </c>
      <c r="O520" t="n">
        <v>0</v>
      </c>
      <c r="P520" t="n">
        <v>0</v>
      </c>
      <c r="Q520" t="n">
        <v>0</v>
      </c>
      <c r="R520" s="2" t="inlineStr"/>
    </row>
    <row r="521" ht="15" customHeight="1">
      <c r="A521" t="inlineStr">
        <is>
          <t>A 4520-2025</t>
        </is>
      </c>
      <c r="B521" s="1" t="n">
        <v>45686.92384259259</v>
      </c>
      <c r="C521" s="1" t="n">
        <v>45995</v>
      </c>
      <c r="D521" t="inlineStr">
        <is>
          <t>JÄMTLANDS LÄN</t>
        </is>
      </c>
      <c r="E521" t="inlineStr">
        <is>
          <t>ÖSTERSUND</t>
        </is>
      </c>
      <c r="G521" t="n">
        <v>15.2</v>
      </c>
      <c r="H521" t="n">
        <v>0</v>
      </c>
      <c r="I521" t="n">
        <v>0</v>
      </c>
      <c r="J521" t="n">
        <v>0</v>
      </c>
      <c r="K521" t="n">
        <v>0</v>
      </c>
      <c r="L521" t="n">
        <v>0</v>
      </c>
      <c r="M521" t="n">
        <v>0</v>
      </c>
      <c r="N521" t="n">
        <v>0</v>
      </c>
      <c r="O521" t="n">
        <v>0</v>
      </c>
      <c r="P521" t="n">
        <v>0</v>
      </c>
      <c r="Q521" t="n">
        <v>0</v>
      </c>
      <c r="R521" s="2" t="inlineStr"/>
    </row>
    <row r="522" ht="15" customHeight="1">
      <c r="A522" t="inlineStr">
        <is>
          <t>A 4523-2025</t>
        </is>
      </c>
      <c r="B522" s="1" t="n">
        <v>45686.92864583333</v>
      </c>
      <c r="C522" s="1" t="n">
        <v>45995</v>
      </c>
      <c r="D522" t="inlineStr">
        <is>
          <t>JÄMTLANDS LÄN</t>
        </is>
      </c>
      <c r="E522" t="inlineStr">
        <is>
          <t>ÖSTERSUND</t>
        </is>
      </c>
      <c r="G522" t="n">
        <v>15.2</v>
      </c>
      <c r="H522" t="n">
        <v>0</v>
      </c>
      <c r="I522" t="n">
        <v>0</v>
      </c>
      <c r="J522" t="n">
        <v>0</v>
      </c>
      <c r="K522" t="n">
        <v>0</v>
      </c>
      <c r="L522" t="n">
        <v>0</v>
      </c>
      <c r="M522" t="n">
        <v>0</v>
      </c>
      <c r="N522" t="n">
        <v>0</v>
      </c>
      <c r="O522" t="n">
        <v>0</v>
      </c>
      <c r="P522" t="n">
        <v>0</v>
      </c>
      <c r="Q522" t="n">
        <v>0</v>
      </c>
      <c r="R522" s="2" t="inlineStr"/>
    </row>
    <row r="523" ht="15" customHeight="1">
      <c r="A523" t="inlineStr">
        <is>
          <t>A 22713-2025</t>
        </is>
      </c>
      <c r="B523" s="1" t="n">
        <v>45789.56414351852</v>
      </c>
      <c r="C523" s="1" t="n">
        <v>45995</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22822-2025</t>
        </is>
      </c>
      <c r="B524" s="1" t="n">
        <v>45789</v>
      </c>
      <c r="C524" s="1" t="n">
        <v>45995</v>
      </c>
      <c r="D524" t="inlineStr">
        <is>
          <t>JÄMTLANDS LÄN</t>
        </is>
      </c>
      <c r="E524" t="inlineStr">
        <is>
          <t>ÖSTERSUND</t>
        </is>
      </c>
      <c r="G524" t="n">
        <v>2.2</v>
      </c>
      <c r="H524" t="n">
        <v>0</v>
      </c>
      <c r="I524" t="n">
        <v>0</v>
      </c>
      <c r="J524" t="n">
        <v>0</v>
      </c>
      <c r="K524" t="n">
        <v>0</v>
      </c>
      <c r="L524" t="n">
        <v>0</v>
      </c>
      <c r="M524" t="n">
        <v>0</v>
      </c>
      <c r="N524" t="n">
        <v>0</v>
      </c>
      <c r="O524" t="n">
        <v>0</v>
      </c>
      <c r="P524" t="n">
        <v>0</v>
      </c>
      <c r="Q524" t="n">
        <v>0</v>
      </c>
      <c r="R524" s="2" t="inlineStr"/>
    </row>
    <row r="525" ht="15" customHeight="1">
      <c r="A525" t="inlineStr">
        <is>
          <t>A 48893-2025</t>
        </is>
      </c>
      <c r="B525" s="1" t="n">
        <v>45937.47302083333</v>
      </c>
      <c r="C525" s="1" t="n">
        <v>45995</v>
      </c>
      <c r="D525" t="inlineStr">
        <is>
          <t>JÄMTLANDS LÄN</t>
        </is>
      </c>
      <c r="E525" t="inlineStr">
        <is>
          <t>ÖSTERSUND</t>
        </is>
      </c>
      <c r="F525" t="inlineStr">
        <is>
          <t>Sveaskog</t>
        </is>
      </c>
      <c r="G525" t="n">
        <v>4.4</v>
      </c>
      <c r="H525" t="n">
        <v>0</v>
      </c>
      <c r="I525" t="n">
        <v>0</v>
      </c>
      <c r="J525" t="n">
        <v>0</v>
      </c>
      <c r="K525" t="n">
        <v>0</v>
      </c>
      <c r="L525" t="n">
        <v>0</v>
      </c>
      <c r="M525" t="n">
        <v>0</v>
      </c>
      <c r="N525" t="n">
        <v>0</v>
      </c>
      <c r="O525" t="n">
        <v>0</v>
      </c>
      <c r="P525" t="n">
        <v>0</v>
      </c>
      <c r="Q525" t="n">
        <v>0</v>
      </c>
      <c r="R525" s="2" t="inlineStr"/>
    </row>
    <row r="526" ht="15" customHeight="1">
      <c r="A526" t="inlineStr">
        <is>
          <t>A 22920-2025</t>
        </is>
      </c>
      <c r="B526" s="1" t="n">
        <v>45790.43905092592</v>
      </c>
      <c r="C526" s="1" t="n">
        <v>45995</v>
      </c>
      <c r="D526" t="inlineStr">
        <is>
          <t>JÄMTLANDS LÄN</t>
        </is>
      </c>
      <c r="E526" t="inlineStr">
        <is>
          <t>ÖSTERSUND</t>
        </is>
      </c>
      <c r="G526" t="n">
        <v>0.4</v>
      </c>
      <c r="H526" t="n">
        <v>0</v>
      </c>
      <c r="I526" t="n">
        <v>0</v>
      </c>
      <c r="J526" t="n">
        <v>0</v>
      </c>
      <c r="K526" t="n">
        <v>0</v>
      </c>
      <c r="L526" t="n">
        <v>0</v>
      </c>
      <c r="M526" t="n">
        <v>0</v>
      </c>
      <c r="N526" t="n">
        <v>0</v>
      </c>
      <c r="O526" t="n">
        <v>0</v>
      </c>
      <c r="P526" t="n">
        <v>0</v>
      </c>
      <c r="Q526" t="n">
        <v>0</v>
      </c>
      <c r="R526" s="2" t="inlineStr"/>
    </row>
    <row r="527" ht="15" customHeight="1">
      <c r="A527" t="inlineStr">
        <is>
          <t>A 58099-2025</t>
        </is>
      </c>
      <c r="B527" s="1" t="n">
        <v>45982.5862037037</v>
      </c>
      <c r="C527" s="1" t="n">
        <v>45995</v>
      </c>
      <c r="D527" t="inlineStr">
        <is>
          <t>JÄMTLANDS LÄN</t>
        </is>
      </c>
      <c r="E527" t="inlineStr">
        <is>
          <t>ÖSTERSUND</t>
        </is>
      </c>
      <c r="G527" t="n">
        <v>6.1</v>
      </c>
      <c r="H527" t="n">
        <v>0</v>
      </c>
      <c r="I527" t="n">
        <v>0</v>
      </c>
      <c r="J527" t="n">
        <v>0</v>
      </c>
      <c r="K527" t="n">
        <v>0</v>
      </c>
      <c r="L527" t="n">
        <v>0</v>
      </c>
      <c r="M527" t="n">
        <v>0</v>
      </c>
      <c r="N527" t="n">
        <v>0</v>
      </c>
      <c r="O527" t="n">
        <v>0</v>
      </c>
      <c r="P527" t="n">
        <v>0</v>
      </c>
      <c r="Q527" t="n">
        <v>0</v>
      </c>
      <c r="R527" s="2" t="inlineStr"/>
    </row>
    <row r="528" ht="15" customHeight="1">
      <c r="A528" t="inlineStr">
        <is>
          <t>A 49576-2025</t>
        </is>
      </c>
      <c r="B528" s="1" t="n">
        <v>45939</v>
      </c>
      <c r="C528" s="1" t="n">
        <v>45995</v>
      </c>
      <c r="D528" t="inlineStr">
        <is>
          <t>JÄMTLANDS LÄN</t>
        </is>
      </c>
      <c r="E528" t="inlineStr">
        <is>
          <t>ÖSTERSUND</t>
        </is>
      </c>
      <c r="F528" t="inlineStr">
        <is>
          <t>SCA</t>
        </is>
      </c>
      <c r="G528" t="n">
        <v>17.1</v>
      </c>
      <c r="H528" t="n">
        <v>0</v>
      </c>
      <c r="I528" t="n">
        <v>0</v>
      </c>
      <c r="J528" t="n">
        <v>0</v>
      </c>
      <c r="K528" t="n">
        <v>0</v>
      </c>
      <c r="L528" t="n">
        <v>0</v>
      </c>
      <c r="M528" t="n">
        <v>0</v>
      </c>
      <c r="N528" t="n">
        <v>0</v>
      </c>
      <c r="O528" t="n">
        <v>0</v>
      </c>
      <c r="P528" t="n">
        <v>0</v>
      </c>
      <c r="Q528" t="n">
        <v>0</v>
      </c>
      <c r="R528" s="2" t="inlineStr"/>
    </row>
    <row r="529" ht="15" customHeight="1">
      <c r="A529" t="inlineStr">
        <is>
          <t>A 5140-2025</t>
        </is>
      </c>
      <c r="B529" s="1" t="n">
        <v>45691</v>
      </c>
      <c r="C529" s="1" t="n">
        <v>45995</v>
      </c>
      <c r="D529" t="inlineStr">
        <is>
          <t>JÄMTLANDS LÄN</t>
        </is>
      </c>
      <c r="E529" t="inlineStr">
        <is>
          <t>ÖSTERSUND</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29703-2023</t>
        </is>
      </c>
      <c r="B530" s="1" t="n">
        <v>45107</v>
      </c>
      <c r="C530" s="1" t="n">
        <v>45995</v>
      </c>
      <c r="D530" t="inlineStr">
        <is>
          <t>JÄMTLANDS LÄN</t>
        </is>
      </c>
      <c r="E530" t="inlineStr">
        <is>
          <t>ÖSTERSUND</t>
        </is>
      </c>
      <c r="G530" t="n">
        <v>0.3</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45995</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23249-2025</t>
        </is>
      </c>
      <c r="B532" s="1" t="n">
        <v>45791</v>
      </c>
      <c r="C532" s="1" t="n">
        <v>45995</v>
      </c>
      <c r="D532" t="inlineStr">
        <is>
          <t>JÄMTLANDS LÄN</t>
        </is>
      </c>
      <c r="E532" t="inlineStr">
        <is>
          <t>ÖSTERSUND</t>
        </is>
      </c>
      <c r="G532" t="n">
        <v>10</v>
      </c>
      <c r="H532" t="n">
        <v>0</v>
      </c>
      <c r="I532" t="n">
        <v>0</v>
      </c>
      <c r="J532" t="n">
        <v>0</v>
      </c>
      <c r="K532" t="n">
        <v>0</v>
      </c>
      <c r="L532" t="n">
        <v>0</v>
      </c>
      <c r="M532" t="n">
        <v>0</v>
      </c>
      <c r="N532" t="n">
        <v>0</v>
      </c>
      <c r="O532" t="n">
        <v>0</v>
      </c>
      <c r="P532" t="n">
        <v>0</v>
      </c>
      <c r="Q532" t="n">
        <v>0</v>
      </c>
      <c r="R532" s="2" t="inlineStr"/>
    </row>
    <row r="533" ht="15" customHeight="1">
      <c r="A533" t="inlineStr">
        <is>
          <t>A 18429-2025</t>
        </is>
      </c>
      <c r="B533" s="1" t="n">
        <v>45762.63375</v>
      </c>
      <c r="C533" s="1" t="n">
        <v>45995</v>
      </c>
      <c r="D533" t="inlineStr">
        <is>
          <t>JÄMTLANDS LÄN</t>
        </is>
      </c>
      <c r="E533" t="inlineStr">
        <is>
          <t>ÖSTERSUND</t>
        </is>
      </c>
      <c r="F533" t="inlineStr">
        <is>
          <t>Sveaskog</t>
        </is>
      </c>
      <c r="G533" t="n">
        <v>5.5</v>
      </c>
      <c r="H533" t="n">
        <v>0</v>
      </c>
      <c r="I533" t="n">
        <v>0</v>
      </c>
      <c r="J533" t="n">
        <v>0</v>
      </c>
      <c r="K533" t="n">
        <v>0</v>
      </c>
      <c r="L533" t="n">
        <v>0</v>
      </c>
      <c r="M533" t="n">
        <v>0</v>
      </c>
      <c r="N533" t="n">
        <v>0</v>
      </c>
      <c r="O533" t="n">
        <v>0</v>
      </c>
      <c r="P533" t="n">
        <v>0</v>
      </c>
      <c r="Q533" t="n">
        <v>0</v>
      </c>
      <c r="R533" s="2" t="inlineStr"/>
    </row>
    <row r="534" ht="15" customHeight="1">
      <c r="A534" t="inlineStr">
        <is>
          <t>A 51479-2023</t>
        </is>
      </c>
      <c r="B534" s="1" t="n">
        <v>45221.92429398148</v>
      </c>
      <c r="C534" s="1" t="n">
        <v>45995</v>
      </c>
      <c r="D534" t="inlineStr">
        <is>
          <t>JÄMTLANDS LÄN</t>
        </is>
      </c>
      <c r="E534" t="inlineStr">
        <is>
          <t>ÖSTERSUND</t>
        </is>
      </c>
      <c r="G534" t="n">
        <v>1.9</v>
      </c>
      <c r="H534" t="n">
        <v>0</v>
      </c>
      <c r="I534" t="n">
        <v>0</v>
      </c>
      <c r="J534" t="n">
        <v>0</v>
      </c>
      <c r="K534" t="n">
        <v>0</v>
      </c>
      <c r="L534" t="n">
        <v>0</v>
      </c>
      <c r="M534" t="n">
        <v>0</v>
      </c>
      <c r="N534" t="n">
        <v>0</v>
      </c>
      <c r="O534" t="n">
        <v>0</v>
      </c>
      <c r="P534" t="n">
        <v>0</v>
      </c>
      <c r="Q534" t="n">
        <v>0</v>
      </c>
      <c r="R534" s="2" t="inlineStr"/>
    </row>
    <row r="535" ht="15" customHeight="1">
      <c r="A535" t="inlineStr">
        <is>
          <t>A 11933-2022</t>
        </is>
      </c>
      <c r="B535" s="1" t="n">
        <v>44635</v>
      </c>
      <c r="C535" s="1" t="n">
        <v>45995</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49572-2025</t>
        </is>
      </c>
      <c r="B536" s="1" t="n">
        <v>45939.49018518518</v>
      </c>
      <c r="C536" s="1" t="n">
        <v>45995</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23100-2025</t>
        </is>
      </c>
      <c r="B537" s="1" t="n">
        <v>45791.35212962963</v>
      </c>
      <c r="C537" s="1" t="n">
        <v>45995</v>
      </c>
      <c r="D537" t="inlineStr">
        <is>
          <t>JÄMTLANDS LÄN</t>
        </is>
      </c>
      <c r="E537" t="inlineStr">
        <is>
          <t>ÖSTERSUND</t>
        </is>
      </c>
      <c r="G537" t="n">
        <v>4.5</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45995</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45995</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58440-2025</t>
        </is>
      </c>
      <c r="B540" s="1" t="n">
        <v>45985.61524305555</v>
      </c>
      <c r="C540" s="1" t="n">
        <v>45995</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50168-2025</t>
        </is>
      </c>
      <c r="B541" s="1" t="n">
        <v>45943.59442129629</v>
      </c>
      <c r="C541" s="1" t="n">
        <v>45995</v>
      </c>
      <c r="D541" t="inlineStr">
        <is>
          <t>JÄMTLANDS LÄN</t>
        </is>
      </c>
      <c r="E541" t="inlineStr">
        <is>
          <t>ÖSTERSUND</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19566-2024</t>
        </is>
      </c>
      <c r="B542" s="1" t="n">
        <v>45429.92313657407</v>
      </c>
      <c r="C542" s="1" t="n">
        <v>45995</v>
      </c>
      <c r="D542" t="inlineStr">
        <is>
          <t>JÄMTLANDS LÄN</t>
        </is>
      </c>
      <c r="E542" t="inlineStr">
        <is>
          <t>ÖSTERSUND</t>
        </is>
      </c>
      <c r="G542" t="n">
        <v>0</v>
      </c>
      <c r="H542" t="n">
        <v>0</v>
      </c>
      <c r="I542" t="n">
        <v>0</v>
      </c>
      <c r="J542" t="n">
        <v>0</v>
      </c>
      <c r="K542" t="n">
        <v>0</v>
      </c>
      <c r="L542" t="n">
        <v>0</v>
      </c>
      <c r="M542" t="n">
        <v>0</v>
      </c>
      <c r="N542" t="n">
        <v>0</v>
      </c>
      <c r="O542" t="n">
        <v>0</v>
      </c>
      <c r="P542" t="n">
        <v>0</v>
      </c>
      <c r="Q542" t="n">
        <v>0</v>
      </c>
      <c r="R542" s="2" t="inlineStr"/>
    </row>
    <row r="543" ht="15" customHeight="1">
      <c r="A543" t="inlineStr">
        <is>
          <t>A 58353-2025</t>
        </is>
      </c>
      <c r="B543" s="1" t="n">
        <v>45985.51128472222</v>
      </c>
      <c r="C543" s="1" t="n">
        <v>45995</v>
      </c>
      <c r="D543" t="inlineStr">
        <is>
          <t>JÄMTLANDS LÄN</t>
        </is>
      </c>
      <c r="E543" t="inlineStr">
        <is>
          <t>ÖSTERSUND</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58583-2025</t>
        </is>
      </c>
      <c r="B544" s="1" t="n">
        <v>45986.39024305555</v>
      </c>
      <c r="C544" s="1" t="n">
        <v>45995</v>
      </c>
      <c r="D544" t="inlineStr">
        <is>
          <t>JÄMTLANDS LÄN</t>
        </is>
      </c>
      <c r="E544" t="inlineStr">
        <is>
          <t>ÖSTERSUND</t>
        </is>
      </c>
      <c r="G544" t="n">
        <v>43.1</v>
      </c>
      <c r="H544" t="n">
        <v>0</v>
      </c>
      <c r="I544" t="n">
        <v>0</v>
      </c>
      <c r="J544" t="n">
        <v>0</v>
      </c>
      <c r="K544" t="n">
        <v>0</v>
      </c>
      <c r="L544" t="n">
        <v>0</v>
      </c>
      <c r="M544" t="n">
        <v>0</v>
      </c>
      <c r="N544" t="n">
        <v>0</v>
      </c>
      <c r="O544" t="n">
        <v>0</v>
      </c>
      <c r="P544" t="n">
        <v>0</v>
      </c>
      <c r="Q544" t="n">
        <v>0</v>
      </c>
      <c r="R544" s="2" t="inlineStr"/>
    </row>
    <row r="545" ht="15" customHeight="1">
      <c r="A545" t="inlineStr">
        <is>
          <t>A 23078-2025</t>
        </is>
      </c>
      <c r="B545" s="1" t="n">
        <v>45791.27984953704</v>
      </c>
      <c r="C545" s="1" t="n">
        <v>45995</v>
      </c>
      <c r="D545" t="inlineStr">
        <is>
          <t>JÄMTLANDS LÄN</t>
        </is>
      </c>
      <c r="E545" t="inlineStr">
        <is>
          <t>ÖSTERSUND</t>
        </is>
      </c>
      <c r="G545" t="n">
        <v>2.8</v>
      </c>
      <c r="H545" t="n">
        <v>0</v>
      </c>
      <c r="I545" t="n">
        <v>0</v>
      </c>
      <c r="J545" t="n">
        <v>0</v>
      </c>
      <c r="K545" t="n">
        <v>0</v>
      </c>
      <c r="L545" t="n">
        <v>0</v>
      </c>
      <c r="M545" t="n">
        <v>0</v>
      </c>
      <c r="N545" t="n">
        <v>0</v>
      </c>
      <c r="O545" t="n">
        <v>0</v>
      </c>
      <c r="P545" t="n">
        <v>0</v>
      </c>
      <c r="Q545" t="n">
        <v>0</v>
      </c>
      <c r="R545" s="2" t="inlineStr"/>
    </row>
    <row r="546" ht="15" customHeight="1">
      <c r="A546" t="inlineStr">
        <is>
          <t>A 23110-2025</t>
        </is>
      </c>
      <c r="B546" s="1" t="n">
        <v>45791.36526620371</v>
      </c>
      <c r="C546" s="1" t="n">
        <v>45995</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21495-2022</t>
        </is>
      </c>
      <c r="B547" s="1" t="n">
        <v>44706</v>
      </c>
      <c r="C547" s="1" t="n">
        <v>45995</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58354-2025</t>
        </is>
      </c>
      <c r="B548" s="1" t="n">
        <v>45985.51131944444</v>
      </c>
      <c r="C548" s="1" t="n">
        <v>45995</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12102-2025</t>
        </is>
      </c>
      <c r="B549" s="1" t="n">
        <v>45729.3425</v>
      </c>
      <c r="C549" s="1" t="n">
        <v>45995</v>
      </c>
      <c r="D549" t="inlineStr">
        <is>
          <t>JÄMTLANDS LÄN</t>
        </is>
      </c>
      <c r="E549" t="inlineStr">
        <is>
          <t>ÖSTERSUND</t>
        </is>
      </c>
      <c r="G549" t="n">
        <v>1.5</v>
      </c>
      <c r="H549" t="n">
        <v>0</v>
      </c>
      <c r="I549" t="n">
        <v>0</v>
      </c>
      <c r="J549" t="n">
        <v>0</v>
      </c>
      <c r="K549" t="n">
        <v>0</v>
      </c>
      <c r="L549" t="n">
        <v>0</v>
      </c>
      <c r="M549" t="n">
        <v>0</v>
      </c>
      <c r="N549" t="n">
        <v>0</v>
      </c>
      <c r="O549" t="n">
        <v>0</v>
      </c>
      <c r="P549" t="n">
        <v>0</v>
      </c>
      <c r="Q549" t="n">
        <v>0</v>
      </c>
      <c r="R549" s="2" t="inlineStr"/>
    </row>
    <row r="550" ht="15" customHeight="1">
      <c r="A550" t="inlineStr">
        <is>
          <t>A 58344-2025</t>
        </is>
      </c>
      <c r="B550" s="1" t="n">
        <v>45985.50075231482</v>
      </c>
      <c r="C550" s="1" t="n">
        <v>45995</v>
      </c>
      <c r="D550" t="inlineStr">
        <is>
          <t>JÄMTLANDS LÄN</t>
        </is>
      </c>
      <c r="E550" t="inlineStr">
        <is>
          <t>ÖSTERSUND</t>
        </is>
      </c>
      <c r="G550" t="n">
        <v>11.5</v>
      </c>
      <c r="H550" t="n">
        <v>0</v>
      </c>
      <c r="I550" t="n">
        <v>0</v>
      </c>
      <c r="J550" t="n">
        <v>0</v>
      </c>
      <c r="K550" t="n">
        <v>0</v>
      </c>
      <c r="L550" t="n">
        <v>0</v>
      </c>
      <c r="M550" t="n">
        <v>0</v>
      </c>
      <c r="N550" t="n">
        <v>0</v>
      </c>
      <c r="O550" t="n">
        <v>0</v>
      </c>
      <c r="P550" t="n">
        <v>0</v>
      </c>
      <c r="Q550" t="n">
        <v>0</v>
      </c>
      <c r="R550" s="2" t="inlineStr"/>
    </row>
    <row r="551" ht="15" customHeight="1">
      <c r="A551" t="inlineStr">
        <is>
          <t>A 58372-2025</t>
        </is>
      </c>
      <c r="B551" s="1" t="n">
        <v>45985.53155092592</v>
      </c>
      <c r="C551" s="1" t="n">
        <v>45995</v>
      </c>
      <c r="D551" t="inlineStr">
        <is>
          <t>JÄMTLANDS LÄN</t>
        </is>
      </c>
      <c r="E551" t="inlineStr">
        <is>
          <t>ÖSTERSUND</t>
        </is>
      </c>
      <c r="G551" t="n">
        <v>7.1</v>
      </c>
      <c r="H551" t="n">
        <v>0</v>
      </c>
      <c r="I551" t="n">
        <v>0</v>
      </c>
      <c r="J551" t="n">
        <v>0</v>
      </c>
      <c r="K551" t="n">
        <v>0</v>
      </c>
      <c r="L551" t="n">
        <v>0</v>
      </c>
      <c r="M551" t="n">
        <v>0</v>
      </c>
      <c r="N551" t="n">
        <v>0</v>
      </c>
      <c r="O551" t="n">
        <v>0</v>
      </c>
      <c r="P551" t="n">
        <v>0</v>
      </c>
      <c r="Q551" t="n">
        <v>0</v>
      </c>
      <c r="R551" s="2" t="inlineStr"/>
    </row>
    <row r="552" ht="15" customHeight="1">
      <c r="A552" t="inlineStr">
        <is>
          <t>A 7938-2025</t>
        </is>
      </c>
      <c r="B552" s="1" t="n">
        <v>45707</v>
      </c>
      <c r="C552" s="1" t="n">
        <v>45995</v>
      </c>
      <c r="D552" t="inlineStr">
        <is>
          <t>JÄMTLANDS LÄN</t>
        </is>
      </c>
      <c r="E552" t="inlineStr">
        <is>
          <t>ÖSTERSUND</t>
        </is>
      </c>
      <c r="G552" t="n">
        <v>3</v>
      </c>
      <c r="H552" t="n">
        <v>0</v>
      </c>
      <c r="I552" t="n">
        <v>0</v>
      </c>
      <c r="J552" t="n">
        <v>0</v>
      </c>
      <c r="K552" t="n">
        <v>0</v>
      </c>
      <c r="L552" t="n">
        <v>0</v>
      </c>
      <c r="M552" t="n">
        <v>0</v>
      </c>
      <c r="N552" t="n">
        <v>0</v>
      </c>
      <c r="O552" t="n">
        <v>0</v>
      </c>
      <c r="P552" t="n">
        <v>0</v>
      </c>
      <c r="Q552" t="n">
        <v>0</v>
      </c>
      <c r="R552" s="2" t="inlineStr"/>
    </row>
    <row r="553" ht="15" customHeight="1">
      <c r="A553" t="inlineStr">
        <is>
          <t>A 50428-2025</t>
        </is>
      </c>
      <c r="B553" s="1" t="n">
        <v>45944.67787037037</v>
      </c>
      <c r="C553" s="1" t="n">
        <v>45995</v>
      </c>
      <c r="D553" t="inlineStr">
        <is>
          <t>JÄMTLANDS LÄN</t>
        </is>
      </c>
      <c r="E553" t="inlineStr">
        <is>
          <t>ÖSTERSUND</t>
        </is>
      </c>
      <c r="F553" t="inlineStr">
        <is>
          <t>SCA</t>
        </is>
      </c>
      <c r="G553" t="n">
        <v>4.9</v>
      </c>
      <c r="H553" t="n">
        <v>0</v>
      </c>
      <c r="I553" t="n">
        <v>0</v>
      </c>
      <c r="J553" t="n">
        <v>0</v>
      </c>
      <c r="K553" t="n">
        <v>0</v>
      </c>
      <c r="L553" t="n">
        <v>0</v>
      </c>
      <c r="M553" t="n">
        <v>0</v>
      </c>
      <c r="N553" t="n">
        <v>0</v>
      </c>
      <c r="O553" t="n">
        <v>0</v>
      </c>
      <c r="P553" t="n">
        <v>0</v>
      </c>
      <c r="Q553" t="n">
        <v>0</v>
      </c>
      <c r="R553" s="2" t="inlineStr"/>
    </row>
    <row r="554" ht="15" customHeight="1">
      <c r="A554" t="inlineStr">
        <is>
          <t>A 7005-2025</t>
        </is>
      </c>
      <c r="B554" s="1" t="n">
        <v>45701.60046296296</v>
      </c>
      <c r="C554" s="1" t="n">
        <v>45995</v>
      </c>
      <c r="D554" t="inlineStr">
        <is>
          <t>JÄMTLANDS LÄN</t>
        </is>
      </c>
      <c r="E554" t="inlineStr">
        <is>
          <t>ÖSTERSUND</t>
        </is>
      </c>
      <c r="G554" t="n">
        <v>3.3</v>
      </c>
      <c r="H554" t="n">
        <v>0</v>
      </c>
      <c r="I554" t="n">
        <v>0</v>
      </c>
      <c r="J554" t="n">
        <v>0</v>
      </c>
      <c r="K554" t="n">
        <v>0</v>
      </c>
      <c r="L554" t="n">
        <v>0</v>
      </c>
      <c r="M554" t="n">
        <v>0</v>
      </c>
      <c r="N554" t="n">
        <v>0</v>
      </c>
      <c r="O554" t="n">
        <v>0</v>
      </c>
      <c r="P554" t="n">
        <v>0</v>
      </c>
      <c r="Q554" t="n">
        <v>0</v>
      </c>
      <c r="R554" s="2" t="inlineStr"/>
    </row>
    <row r="555" ht="15" customHeight="1">
      <c r="A555" t="inlineStr">
        <is>
          <t>A 58373-2025</t>
        </is>
      </c>
      <c r="B555" s="1" t="n">
        <v>45985.53162037037</v>
      </c>
      <c r="C555" s="1" t="n">
        <v>45995</v>
      </c>
      <c r="D555" t="inlineStr">
        <is>
          <t>JÄMTLANDS LÄN</t>
        </is>
      </c>
      <c r="E555" t="inlineStr">
        <is>
          <t>ÖSTERSUND</t>
        </is>
      </c>
      <c r="G555" t="n">
        <v>1.1</v>
      </c>
      <c r="H555" t="n">
        <v>0</v>
      </c>
      <c r="I555" t="n">
        <v>0</v>
      </c>
      <c r="J555" t="n">
        <v>0</v>
      </c>
      <c r="K555" t="n">
        <v>0</v>
      </c>
      <c r="L555" t="n">
        <v>0</v>
      </c>
      <c r="M555" t="n">
        <v>0</v>
      </c>
      <c r="N555" t="n">
        <v>0</v>
      </c>
      <c r="O555" t="n">
        <v>0</v>
      </c>
      <c r="P555" t="n">
        <v>0</v>
      </c>
      <c r="Q555" t="n">
        <v>0</v>
      </c>
      <c r="R555" s="2" t="inlineStr"/>
    </row>
    <row r="556" ht="15" customHeight="1">
      <c r="A556" t="inlineStr">
        <is>
          <t>A 57556-2024</t>
        </is>
      </c>
      <c r="B556" s="1" t="n">
        <v>45630</v>
      </c>
      <c r="C556" s="1" t="n">
        <v>45995</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58917-2025</t>
        </is>
      </c>
      <c r="B557" s="1" t="n">
        <v>45987.52949074074</v>
      </c>
      <c r="C557" s="1" t="n">
        <v>45995</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8389-2025</t>
        </is>
      </c>
      <c r="B558" s="1" t="n">
        <v>45709.36497685185</v>
      </c>
      <c r="C558" s="1" t="n">
        <v>45995</v>
      </c>
      <c r="D558" t="inlineStr">
        <is>
          <t>JÄMTLANDS LÄN</t>
        </is>
      </c>
      <c r="E558" t="inlineStr">
        <is>
          <t>ÖSTERSUND</t>
        </is>
      </c>
      <c r="F558" t="inlineStr">
        <is>
          <t>SCA</t>
        </is>
      </c>
      <c r="G558" t="n">
        <v>6.3</v>
      </c>
      <c r="H558" t="n">
        <v>0</v>
      </c>
      <c r="I558" t="n">
        <v>0</v>
      </c>
      <c r="J558" t="n">
        <v>0</v>
      </c>
      <c r="K558" t="n">
        <v>0</v>
      </c>
      <c r="L558" t="n">
        <v>0</v>
      </c>
      <c r="M558" t="n">
        <v>0</v>
      </c>
      <c r="N558" t="n">
        <v>0</v>
      </c>
      <c r="O558" t="n">
        <v>0</v>
      </c>
      <c r="P558" t="n">
        <v>0</v>
      </c>
      <c r="Q558" t="n">
        <v>0</v>
      </c>
      <c r="R558" s="2" t="inlineStr"/>
    </row>
    <row r="559" ht="15" customHeight="1">
      <c r="A559" t="inlineStr">
        <is>
          <t>A 59188-2025</t>
        </is>
      </c>
      <c r="B559" s="1" t="n">
        <v>45988.58856481482</v>
      </c>
      <c r="C559" s="1" t="n">
        <v>45995</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44048-2024</t>
        </is>
      </c>
      <c r="B560" s="1" t="n">
        <v>45572.59430555555</v>
      </c>
      <c r="C560" s="1" t="n">
        <v>45995</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58824-2025</t>
        </is>
      </c>
      <c r="B561" s="1" t="n">
        <v>45987.34543981482</v>
      </c>
      <c r="C561" s="1" t="n">
        <v>45995</v>
      </c>
      <c r="D561" t="inlineStr">
        <is>
          <t>JÄMTLANDS LÄN</t>
        </is>
      </c>
      <c r="E561" t="inlineStr">
        <is>
          <t>ÖSTERSUND</t>
        </is>
      </c>
      <c r="G561" t="n">
        <v>3.2</v>
      </c>
      <c r="H561" t="n">
        <v>0</v>
      </c>
      <c r="I561" t="n">
        <v>0</v>
      </c>
      <c r="J561" t="n">
        <v>0</v>
      </c>
      <c r="K561" t="n">
        <v>0</v>
      </c>
      <c r="L561" t="n">
        <v>0</v>
      </c>
      <c r="M561" t="n">
        <v>0</v>
      </c>
      <c r="N561" t="n">
        <v>0</v>
      </c>
      <c r="O561" t="n">
        <v>0</v>
      </c>
      <c r="P561" t="n">
        <v>0</v>
      </c>
      <c r="Q561" t="n">
        <v>0</v>
      </c>
      <c r="R561" s="2" t="inlineStr"/>
    </row>
    <row r="562" ht="15" customHeight="1">
      <c r="A562" t="inlineStr">
        <is>
          <t>A 58996-2025</t>
        </is>
      </c>
      <c r="B562" s="1" t="n">
        <v>45987.67032407408</v>
      </c>
      <c r="C562" s="1" t="n">
        <v>45995</v>
      </c>
      <c r="D562" t="inlineStr">
        <is>
          <t>JÄMTLANDS LÄN</t>
        </is>
      </c>
      <c r="E562" t="inlineStr">
        <is>
          <t>ÖSTERSUND</t>
        </is>
      </c>
      <c r="G562" t="n">
        <v>4.3</v>
      </c>
      <c r="H562" t="n">
        <v>0</v>
      </c>
      <c r="I562" t="n">
        <v>0</v>
      </c>
      <c r="J562" t="n">
        <v>0</v>
      </c>
      <c r="K562" t="n">
        <v>0</v>
      </c>
      <c r="L562" t="n">
        <v>0</v>
      </c>
      <c r="M562" t="n">
        <v>0</v>
      </c>
      <c r="N562" t="n">
        <v>0</v>
      </c>
      <c r="O562" t="n">
        <v>0</v>
      </c>
      <c r="P562" t="n">
        <v>0</v>
      </c>
      <c r="Q562" t="n">
        <v>0</v>
      </c>
      <c r="R562" s="2" t="inlineStr"/>
    </row>
    <row r="563" ht="15" customHeight="1">
      <c r="A563" t="inlineStr">
        <is>
          <t>A 55235-2023</t>
        </is>
      </c>
      <c r="B563" s="1" t="n">
        <v>45231</v>
      </c>
      <c r="C563" s="1" t="n">
        <v>45995</v>
      </c>
      <c r="D563" t="inlineStr">
        <is>
          <t>JÄMTLANDS LÄN</t>
        </is>
      </c>
      <c r="E563" t="inlineStr">
        <is>
          <t>ÖSTERSUND</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4063-2025</t>
        </is>
      </c>
      <c r="B564" s="1" t="n">
        <v>45684</v>
      </c>
      <c r="C564" s="1" t="n">
        <v>45995</v>
      </c>
      <c r="D564" t="inlineStr">
        <is>
          <t>JÄMTLANDS LÄN</t>
        </is>
      </c>
      <c r="E564" t="inlineStr">
        <is>
          <t>ÖSTERSUND</t>
        </is>
      </c>
      <c r="G564" t="n">
        <v>2.9</v>
      </c>
      <c r="H564" t="n">
        <v>0</v>
      </c>
      <c r="I564" t="n">
        <v>0</v>
      </c>
      <c r="J564" t="n">
        <v>0</v>
      </c>
      <c r="K564" t="n">
        <v>0</v>
      </c>
      <c r="L564" t="n">
        <v>0</v>
      </c>
      <c r="M564" t="n">
        <v>0</v>
      </c>
      <c r="N564" t="n">
        <v>0</v>
      </c>
      <c r="O564" t="n">
        <v>0</v>
      </c>
      <c r="P564" t="n">
        <v>0</v>
      </c>
      <c r="Q564" t="n">
        <v>0</v>
      </c>
      <c r="R564" s="2" t="inlineStr"/>
    </row>
    <row r="565" ht="15" customHeight="1">
      <c r="A565" t="inlineStr">
        <is>
          <t>A 50528-2025</t>
        </is>
      </c>
      <c r="B565" s="1" t="n">
        <v>45945.47097222223</v>
      </c>
      <c r="C565" s="1" t="n">
        <v>45995</v>
      </c>
      <c r="D565" t="inlineStr">
        <is>
          <t>JÄMTLANDS LÄN</t>
        </is>
      </c>
      <c r="E565" t="inlineStr">
        <is>
          <t>ÖSTERSUND</t>
        </is>
      </c>
      <c r="G565" t="n">
        <v>3.4</v>
      </c>
      <c r="H565" t="n">
        <v>0</v>
      </c>
      <c r="I565" t="n">
        <v>0</v>
      </c>
      <c r="J565" t="n">
        <v>0</v>
      </c>
      <c r="K565" t="n">
        <v>0</v>
      </c>
      <c r="L565" t="n">
        <v>0</v>
      </c>
      <c r="M565" t="n">
        <v>0</v>
      </c>
      <c r="N565" t="n">
        <v>0</v>
      </c>
      <c r="O565" t="n">
        <v>0</v>
      </c>
      <c r="P565" t="n">
        <v>0</v>
      </c>
      <c r="Q565" t="n">
        <v>0</v>
      </c>
      <c r="R565" s="2" t="inlineStr"/>
    </row>
    <row r="566" ht="15" customHeight="1">
      <c r="A566" t="inlineStr">
        <is>
          <t>A 58818-2025</t>
        </is>
      </c>
      <c r="B566" s="1" t="n">
        <v>45987.33479166667</v>
      </c>
      <c r="C566" s="1" t="n">
        <v>45995</v>
      </c>
      <c r="D566" t="inlineStr">
        <is>
          <t>JÄMTLANDS LÄN</t>
        </is>
      </c>
      <c r="E566" t="inlineStr">
        <is>
          <t>ÖSTERSUND</t>
        </is>
      </c>
      <c r="G566" t="n">
        <v>3.6</v>
      </c>
      <c r="H566" t="n">
        <v>0</v>
      </c>
      <c r="I566" t="n">
        <v>0</v>
      </c>
      <c r="J566" t="n">
        <v>0</v>
      </c>
      <c r="K566" t="n">
        <v>0</v>
      </c>
      <c r="L566" t="n">
        <v>0</v>
      </c>
      <c r="M566" t="n">
        <v>0</v>
      </c>
      <c r="N566" t="n">
        <v>0</v>
      </c>
      <c r="O566" t="n">
        <v>0</v>
      </c>
      <c r="P566" t="n">
        <v>0</v>
      </c>
      <c r="Q566" t="n">
        <v>0</v>
      </c>
      <c r="R566" s="2" t="inlineStr"/>
    </row>
    <row r="567" ht="15" customHeight="1">
      <c r="A567" t="inlineStr">
        <is>
          <t>A 7936-2025</t>
        </is>
      </c>
      <c r="B567" s="1" t="n">
        <v>45707</v>
      </c>
      <c r="C567" s="1" t="n">
        <v>45995</v>
      </c>
      <c r="D567" t="inlineStr">
        <is>
          <t>JÄMTLANDS LÄN</t>
        </is>
      </c>
      <c r="E567" t="inlineStr">
        <is>
          <t>ÖSTERSUND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7940-2025</t>
        </is>
      </c>
      <c r="B568" s="1" t="n">
        <v>45707.40493055555</v>
      </c>
      <c r="C568" s="1" t="n">
        <v>45995</v>
      </c>
      <c r="D568" t="inlineStr">
        <is>
          <t>JÄMTLANDS LÄN</t>
        </is>
      </c>
      <c r="E568" t="inlineStr">
        <is>
          <t>ÖSTERSUND</t>
        </is>
      </c>
      <c r="F568" t="inlineStr">
        <is>
          <t>Övriga Aktiebolag</t>
        </is>
      </c>
      <c r="G568" t="n">
        <v>48.1</v>
      </c>
      <c r="H568" t="n">
        <v>0</v>
      </c>
      <c r="I568" t="n">
        <v>0</v>
      </c>
      <c r="J568" t="n">
        <v>0</v>
      </c>
      <c r="K568" t="n">
        <v>0</v>
      </c>
      <c r="L568" t="n">
        <v>0</v>
      </c>
      <c r="M568" t="n">
        <v>0</v>
      </c>
      <c r="N568" t="n">
        <v>0</v>
      </c>
      <c r="O568" t="n">
        <v>0</v>
      </c>
      <c r="P568" t="n">
        <v>0</v>
      </c>
      <c r="Q568" t="n">
        <v>0</v>
      </c>
      <c r="R568" s="2" t="inlineStr"/>
    </row>
    <row r="569" ht="15" customHeight="1">
      <c r="A569" t="inlineStr">
        <is>
          <t>A 12946-2022</t>
        </is>
      </c>
      <c r="B569" s="1" t="n">
        <v>44642.93471064815</v>
      </c>
      <c r="C569" s="1" t="n">
        <v>45995</v>
      </c>
      <c r="D569" t="inlineStr">
        <is>
          <t>JÄMTLANDS LÄN</t>
        </is>
      </c>
      <c r="E569" t="inlineStr">
        <is>
          <t>ÖSTERSUND</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79-2025</t>
        </is>
      </c>
      <c r="B570" s="1" t="n">
        <v>45659.44413194444</v>
      </c>
      <c r="C570" s="1" t="n">
        <v>45995</v>
      </c>
      <c r="D570" t="inlineStr">
        <is>
          <t>JÄMTLANDS LÄN</t>
        </is>
      </c>
      <c r="E570" t="inlineStr">
        <is>
          <t>ÖSTERSUND</t>
        </is>
      </c>
      <c r="G570" t="n">
        <v>0.6</v>
      </c>
      <c r="H570" t="n">
        <v>0</v>
      </c>
      <c r="I570" t="n">
        <v>0</v>
      </c>
      <c r="J570" t="n">
        <v>0</v>
      </c>
      <c r="K570" t="n">
        <v>0</v>
      </c>
      <c r="L570" t="n">
        <v>0</v>
      </c>
      <c r="M570" t="n">
        <v>0</v>
      </c>
      <c r="N570" t="n">
        <v>0</v>
      </c>
      <c r="O570" t="n">
        <v>0</v>
      </c>
      <c r="P570" t="n">
        <v>0</v>
      </c>
      <c r="Q570" t="n">
        <v>0</v>
      </c>
      <c r="R570" s="2" t="inlineStr"/>
    </row>
    <row r="571" ht="15" customHeight="1">
      <c r="A571" t="inlineStr">
        <is>
          <t>A 59619-2025</t>
        </is>
      </c>
      <c r="B571" s="1" t="n">
        <v>45992.38109953704</v>
      </c>
      <c r="C571" s="1" t="n">
        <v>45995</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31040-2021</t>
        </is>
      </c>
      <c r="B572" s="1" t="n">
        <v>44368</v>
      </c>
      <c r="C572" s="1" t="n">
        <v>45995</v>
      </c>
      <c r="D572" t="inlineStr">
        <is>
          <t>JÄMTLANDS LÄN</t>
        </is>
      </c>
      <c r="E572" t="inlineStr">
        <is>
          <t>ÖSTERSUND</t>
        </is>
      </c>
      <c r="G572" t="n">
        <v>4.3</v>
      </c>
      <c r="H572" t="n">
        <v>0</v>
      </c>
      <c r="I572" t="n">
        <v>0</v>
      </c>
      <c r="J572" t="n">
        <v>0</v>
      </c>
      <c r="K572" t="n">
        <v>0</v>
      </c>
      <c r="L572" t="n">
        <v>0</v>
      </c>
      <c r="M572" t="n">
        <v>0</v>
      </c>
      <c r="N572" t="n">
        <v>0</v>
      </c>
      <c r="O572" t="n">
        <v>0</v>
      </c>
      <c r="P572" t="n">
        <v>0</v>
      </c>
      <c r="Q572" t="n">
        <v>0</v>
      </c>
      <c r="R572" s="2" t="inlineStr"/>
    </row>
    <row r="573" ht="15" customHeight="1">
      <c r="A573" t="inlineStr">
        <is>
          <t>A 2753-2025</t>
        </is>
      </c>
      <c r="B573" s="1" t="n">
        <v>45677.47302083333</v>
      </c>
      <c r="C573" s="1" t="n">
        <v>45995</v>
      </c>
      <c r="D573" t="inlineStr">
        <is>
          <t>JÄMTLANDS LÄN</t>
        </is>
      </c>
      <c r="E573" t="inlineStr">
        <is>
          <t>ÖSTERSUND</t>
        </is>
      </c>
      <c r="G573" t="n">
        <v>6.4</v>
      </c>
      <c r="H573" t="n">
        <v>0</v>
      </c>
      <c r="I573" t="n">
        <v>0</v>
      </c>
      <c r="J573" t="n">
        <v>0</v>
      </c>
      <c r="K573" t="n">
        <v>0</v>
      </c>
      <c r="L573" t="n">
        <v>0</v>
      </c>
      <c r="M573" t="n">
        <v>0</v>
      </c>
      <c r="N573" t="n">
        <v>0</v>
      </c>
      <c r="O573" t="n">
        <v>0</v>
      </c>
      <c r="P573" t="n">
        <v>0</v>
      </c>
      <c r="Q573" t="n">
        <v>0</v>
      </c>
      <c r="R573" s="2" t="inlineStr"/>
    </row>
    <row r="574" ht="15" customHeight="1">
      <c r="A574" t="inlineStr">
        <is>
          <t>A 41780-2024</t>
        </is>
      </c>
      <c r="B574" s="1" t="n">
        <v>45561.34908564815</v>
      </c>
      <c r="C574" s="1" t="n">
        <v>45995</v>
      </c>
      <c r="D574" t="inlineStr">
        <is>
          <t>JÄMTLANDS LÄN</t>
        </is>
      </c>
      <c r="E574" t="inlineStr">
        <is>
          <t>ÖSTERSUND</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59613-2025</t>
        </is>
      </c>
      <c r="B575" s="1" t="n">
        <v>45992.37172453704</v>
      </c>
      <c r="C575" s="1" t="n">
        <v>45995</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59612-2025</t>
        </is>
      </c>
      <c r="B576" s="1" t="n">
        <v>45992.3706712963</v>
      </c>
      <c r="C576" s="1" t="n">
        <v>45995</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44327-2023</t>
        </is>
      </c>
      <c r="B577" s="1" t="n">
        <v>45188</v>
      </c>
      <c r="C577" s="1" t="n">
        <v>45995</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27780-2022</t>
        </is>
      </c>
      <c r="B578" s="1" t="n">
        <v>44743</v>
      </c>
      <c r="C578" s="1" t="n">
        <v>45995</v>
      </c>
      <c r="D578" t="inlineStr">
        <is>
          <t>JÄMTLANDS LÄN</t>
        </is>
      </c>
      <c r="E578" t="inlineStr">
        <is>
          <t>ÖSTERSUND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23555-2022</t>
        </is>
      </c>
      <c r="B579" s="1" t="n">
        <v>44721</v>
      </c>
      <c r="C579" s="1" t="n">
        <v>45995</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59015-2025</t>
        </is>
      </c>
      <c r="B580" s="1" t="n">
        <v>45987.83457175926</v>
      </c>
      <c r="C580" s="1" t="n">
        <v>45995</v>
      </c>
      <c r="D580" t="inlineStr">
        <is>
          <t>JÄMTLANDS LÄN</t>
        </is>
      </c>
      <c r="E580" t="inlineStr">
        <is>
          <t>ÖSTERSUND</t>
        </is>
      </c>
      <c r="G580" t="n">
        <v>2.4</v>
      </c>
      <c r="H580" t="n">
        <v>0</v>
      </c>
      <c r="I580" t="n">
        <v>0</v>
      </c>
      <c r="J580" t="n">
        <v>0</v>
      </c>
      <c r="K580" t="n">
        <v>0</v>
      </c>
      <c r="L580" t="n">
        <v>0</v>
      </c>
      <c r="M580" t="n">
        <v>0</v>
      </c>
      <c r="N580" t="n">
        <v>0</v>
      </c>
      <c r="O580" t="n">
        <v>0</v>
      </c>
      <c r="P580" t="n">
        <v>0</v>
      </c>
      <c r="Q580" t="n">
        <v>0</v>
      </c>
      <c r="R580" s="2" t="inlineStr"/>
    </row>
    <row r="581" ht="15" customHeight="1">
      <c r="A581" t="inlineStr">
        <is>
          <t>A 10267-2025</t>
        </is>
      </c>
      <c r="B581" s="1" t="n">
        <v>45720.3859375</v>
      </c>
      <c r="C581" s="1" t="n">
        <v>45995</v>
      </c>
      <c r="D581" t="inlineStr">
        <is>
          <t>JÄMTLANDS LÄN</t>
        </is>
      </c>
      <c r="E581" t="inlineStr">
        <is>
          <t>ÖSTERSUND</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10493-2025</t>
        </is>
      </c>
      <c r="B582" s="1" t="n">
        <v>45721.36320601852</v>
      </c>
      <c r="C582" s="1" t="n">
        <v>45995</v>
      </c>
      <c r="D582" t="inlineStr">
        <is>
          <t>JÄMTLANDS LÄN</t>
        </is>
      </c>
      <c r="E582" t="inlineStr">
        <is>
          <t>ÖSTERSUND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23877-2025</t>
        </is>
      </c>
      <c r="B583" s="1" t="n">
        <v>45793.68469907407</v>
      </c>
      <c r="C583" s="1" t="n">
        <v>45995</v>
      </c>
      <c r="D583" t="inlineStr">
        <is>
          <t>JÄMTLANDS LÄN</t>
        </is>
      </c>
      <c r="E583" t="inlineStr">
        <is>
          <t>ÖSTERSUND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59687-2025</t>
        </is>
      </c>
      <c r="B584" s="1" t="n">
        <v>45992.47729166667</v>
      </c>
      <c r="C584" s="1" t="n">
        <v>45995</v>
      </c>
      <c r="D584" t="inlineStr">
        <is>
          <t>JÄMTLANDS LÄN</t>
        </is>
      </c>
      <c r="E584" t="inlineStr">
        <is>
          <t>ÖSTERSUND</t>
        </is>
      </c>
      <c r="G584" t="n">
        <v>5</v>
      </c>
      <c r="H584" t="n">
        <v>0</v>
      </c>
      <c r="I584" t="n">
        <v>0</v>
      </c>
      <c r="J584" t="n">
        <v>0</v>
      </c>
      <c r="K584" t="n">
        <v>0</v>
      </c>
      <c r="L584" t="n">
        <v>0</v>
      </c>
      <c r="M584" t="n">
        <v>0</v>
      </c>
      <c r="N584" t="n">
        <v>0</v>
      </c>
      <c r="O584" t="n">
        <v>0</v>
      </c>
      <c r="P584" t="n">
        <v>0</v>
      </c>
      <c r="Q584" t="n">
        <v>0</v>
      </c>
      <c r="R584" s="2" t="inlineStr"/>
    </row>
    <row r="585" ht="15" customHeight="1">
      <c r="A585" t="inlineStr">
        <is>
          <t>A 59007-2025</t>
        </is>
      </c>
      <c r="B585" s="1" t="n">
        <v>45987.69552083333</v>
      </c>
      <c r="C585" s="1" t="n">
        <v>45995</v>
      </c>
      <c r="D585" t="inlineStr">
        <is>
          <t>JÄMTLANDS LÄN</t>
        </is>
      </c>
      <c r="E585" t="inlineStr">
        <is>
          <t>ÖSTERSUND</t>
        </is>
      </c>
      <c r="G585" t="n">
        <v>4</v>
      </c>
      <c r="H585" t="n">
        <v>0</v>
      </c>
      <c r="I585" t="n">
        <v>0</v>
      </c>
      <c r="J585" t="n">
        <v>0</v>
      </c>
      <c r="K585" t="n">
        <v>0</v>
      </c>
      <c r="L585" t="n">
        <v>0</v>
      </c>
      <c r="M585" t="n">
        <v>0</v>
      </c>
      <c r="N585" t="n">
        <v>0</v>
      </c>
      <c r="O585" t="n">
        <v>0</v>
      </c>
      <c r="P585" t="n">
        <v>0</v>
      </c>
      <c r="Q585" t="n">
        <v>0</v>
      </c>
      <c r="R585" s="2" t="inlineStr"/>
    </row>
    <row r="586" ht="15" customHeight="1">
      <c r="A586" t="inlineStr">
        <is>
          <t>A 3844-2024</t>
        </is>
      </c>
      <c r="B586" s="1" t="n">
        <v>45321</v>
      </c>
      <c r="C586" s="1" t="n">
        <v>45995</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24403-2025</t>
        </is>
      </c>
      <c r="B587" s="1" t="n">
        <v>45797.65025462963</v>
      </c>
      <c r="C587" s="1" t="n">
        <v>45995</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59648-2022</t>
        </is>
      </c>
      <c r="B588" s="1" t="n">
        <v>44907</v>
      </c>
      <c r="C588" s="1" t="n">
        <v>45995</v>
      </c>
      <c r="D588" t="inlineStr">
        <is>
          <t>JÄMTLANDS LÄN</t>
        </is>
      </c>
      <c r="E588" t="inlineStr">
        <is>
          <t>ÖSTERSUND</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7941-2025</t>
        </is>
      </c>
      <c r="B589" s="1" t="n">
        <v>45707</v>
      </c>
      <c r="C589" s="1" t="n">
        <v>45995</v>
      </c>
      <c r="D589" t="inlineStr">
        <is>
          <t>JÄMTLANDS LÄN</t>
        </is>
      </c>
      <c r="E589" t="inlineStr">
        <is>
          <t>ÖSTERSUND</t>
        </is>
      </c>
      <c r="G589" t="n">
        <v>2</v>
      </c>
      <c r="H589" t="n">
        <v>0</v>
      </c>
      <c r="I589" t="n">
        <v>0</v>
      </c>
      <c r="J589" t="n">
        <v>0</v>
      </c>
      <c r="K589" t="n">
        <v>0</v>
      </c>
      <c r="L589" t="n">
        <v>0</v>
      </c>
      <c r="M589" t="n">
        <v>0</v>
      </c>
      <c r="N589" t="n">
        <v>0</v>
      </c>
      <c r="O589" t="n">
        <v>0</v>
      </c>
      <c r="P589" t="n">
        <v>0</v>
      </c>
      <c r="Q589" t="n">
        <v>0</v>
      </c>
      <c r="R589" s="2" t="inlineStr"/>
    </row>
    <row r="590" ht="15" customHeight="1">
      <c r="A590" t="inlineStr">
        <is>
          <t>A 24523-2025</t>
        </is>
      </c>
      <c r="B590" s="1" t="n">
        <v>45798.42108796296</v>
      </c>
      <c r="C590" s="1" t="n">
        <v>45995</v>
      </c>
      <c r="D590" t="inlineStr">
        <is>
          <t>JÄMTLANDS LÄN</t>
        </is>
      </c>
      <c r="E590" t="inlineStr">
        <is>
          <t>ÖSTERSUND</t>
        </is>
      </c>
      <c r="G590" t="n">
        <v>13.7</v>
      </c>
      <c r="H590" t="n">
        <v>0</v>
      </c>
      <c r="I590" t="n">
        <v>0</v>
      </c>
      <c r="J590" t="n">
        <v>0</v>
      </c>
      <c r="K590" t="n">
        <v>0</v>
      </c>
      <c r="L590" t="n">
        <v>0</v>
      </c>
      <c r="M590" t="n">
        <v>0</v>
      </c>
      <c r="N590" t="n">
        <v>0</v>
      </c>
      <c r="O590" t="n">
        <v>0</v>
      </c>
      <c r="P590" t="n">
        <v>0</v>
      </c>
      <c r="Q590" t="n">
        <v>0</v>
      </c>
      <c r="R590" s="2" t="inlineStr"/>
    </row>
    <row r="591" ht="15" customHeight="1">
      <c r="A591" t="inlineStr">
        <is>
          <t>A 52003-2025</t>
        </is>
      </c>
      <c r="B591" s="1" t="n">
        <v>45952.5909375</v>
      </c>
      <c r="C591" s="1" t="n">
        <v>45995</v>
      </c>
      <c r="D591" t="inlineStr">
        <is>
          <t>JÄMTLANDS LÄN</t>
        </is>
      </c>
      <c r="E591" t="inlineStr">
        <is>
          <t>ÖSTERSUND</t>
        </is>
      </c>
      <c r="G591" t="n">
        <v>5.7</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45995</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61791-2023</t>
        </is>
      </c>
      <c r="B593" s="1" t="n">
        <v>45265.95795138889</v>
      </c>
      <c r="C593" s="1" t="n">
        <v>45995</v>
      </c>
      <c r="D593" t="inlineStr">
        <is>
          <t>JÄMTLANDS LÄN</t>
        </is>
      </c>
      <c r="E593" t="inlineStr">
        <is>
          <t>ÖSTERSUND</t>
        </is>
      </c>
      <c r="F593" t="inlineStr">
        <is>
          <t>SCA</t>
        </is>
      </c>
      <c r="G593" t="n">
        <v>11.4</v>
      </c>
      <c r="H593" t="n">
        <v>0</v>
      </c>
      <c r="I593" t="n">
        <v>0</v>
      </c>
      <c r="J593" t="n">
        <v>0</v>
      </c>
      <c r="K593" t="n">
        <v>0</v>
      </c>
      <c r="L593" t="n">
        <v>0</v>
      </c>
      <c r="M593" t="n">
        <v>0</v>
      </c>
      <c r="N593" t="n">
        <v>0</v>
      </c>
      <c r="O593" t="n">
        <v>0</v>
      </c>
      <c r="P593" t="n">
        <v>0</v>
      </c>
      <c r="Q593" t="n">
        <v>0</v>
      </c>
      <c r="R593" s="2" t="inlineStr"/>
    </row>
    <row r="594" ht="15" customHeight="1">
      <c r="A594" t="inlineStr">
        <is>
          <t>A 24568-2025</t>
        </is>
      </c>
      <c r="B594" s="1" t="n">
        <v>45798.46913194445</v>
      </c>
      <c r="C594" s="1" t="n">
        <v>45995</v>
      </c>
      <c r="D594" t="inlineStr">
        <is>
          <t>JÄMTLANDS LÄN</t>
        </is>
      </c>
      <c r="E594" t="inlineStr">
        <is>
          <t>ÖSTERSUND</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3255-2025</t>
        </is>
      </c>
      <c r="B595" s="1" t="n">
        <v>45679.55256944444</v>
      </c>
      <c r="C595" s="1" t="n">
        <v>45995</v>
      </c>
      <c r="D595" t="inlineStr">
        <is>
          <t>JÄMTLANDS LÄN</t>
        </is>
      </c>
      <c r="E595" t="inlineStr">
        <is>
          <t>ÖSTERSUND</t>
        </is>
      </c>
      <c r="F595" t="inlineStr">
        <is>
          <t>SCA</t>
        </is>
      </c>
      <c r="G595" t="n">
        <v>16.7</v>
      </c>
      <c r="H595" t="n">
        <v>0</v>
      </c>
      <c r="I595" t="n">
        <v>0</v>
      </c>
      <c r="J595" t="n">
        <v>0</v>
      </c>
      <c r="K595" t="n">
        <v>0</v>
      </c>
      <c r="L595" t="n">
        <v>0</v>
      </c>
      <c r="M595" t="n">
        <v>0</v>
      </c>
      <c r="N595" t="n">
        <v>0</v>
      </c>
      <c r="O595" t="n">
        <v>0</v>
      </c>
      <c r="P595" t="n">
        <v>0</v>
      </c>
      <c r="Q595" t="n">
        <v>0</v>
      </c>
      <c r="R595" s="2" t="inlineStr"/>
    </row>
    <row r="596" ht="15" customHeight="1">
      <c r="A596" t="inlineStr">
        <is>
          <t>A 53176-2024</t>
        </is>
      </c>
      <c r="B596" s="1" t="n">
        <v>45611.66655092593</v>
      </c>
      <c r="C596" s="1" t="n">
        <v>45995</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2615-2024</t>
        </is>
      </c>
      <c r="B597" s="1" t="n">
        <v>45313</v>
      </c>
      <c r="C597" s="1" t="n">
        <v>45995</v>
      </c>
      <c r="D597" t="inlineStr">
        <is>
          <t>JÄMTLANDS LÄN</t>
        </is>
      </c>
      <c r="E597" t="inlineStr">
        <is>
          <t>ÖSTERSUND</t>
        </is>
      </c>
      <c r="G597" t="n">
        <v>1.5</v>
      </c>
      <c r="H597" t="n">
        <v>0</v>
      </c>
      <c r="I597" t="n">
        <v>0</v>
      </c>
      <c r="J597" t="n">
        <v>0</v>
      </c>
      <c r="K597" t="n">
        <v>0</v>
      </c>
      <c r="L597" t="n">
        <v>0</v>
      </c>
      <c r="M597" t="n">
        <v>0</v>
      </c>
      <c r="N597" t="n">
        <v>0</v>
      </c>
      <c r="O597" t="n">
        <v>0</v>
      </c>
      <c r="P597" t="n">
        <v>0</v>
      </c>
      <c r="Q597" t="n">
        <v>0</v>
      </c>
      <c r="R597" s="2" t="inlineStr"/>
    </row>
    <row r="598" ht="15" customHeight="1">
      <c r="A598" t="inlineStr">
        <is>
          <t>A 60048-2025</t>
        </is>
      </c>
      <c r="B598" s="1" t="n">
        <v>45993.62974537037</v>
      </c>
      <c r="C598" s="1" t="n">
        <v>45995</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24946-2025</t>
        </is>
      </c>
      <c r="B599" s="1" t="n">
        <v>45799.56515046296</v>
      </c>
      <c r="C599" s="1" t="n">
        <v>45995</v>
      </c>
      <c r="D599" t="inlineStr">
        <is>
          <t>JÄMTLANDS LÄN</t>
        </is>
      </c>
      <c r="E599" t="inlineStr">
        <is>
          <t>ÖSTERSUND</t>
        </is>
      </c>
      <c r="G599" t="n">
        <v>4.8</v>
      </c>
      <c r="H599" t="n">
        <v>0</v>
      </c>
      <c r="I599" t="n">
        <v>0</v>
      </c>
      <c r="J599" t="n">
        <v>0</v>
      </c>
      <c r="K599" t="n">
        <v>0</v>
      </c>
      <c r="L599" t="n">
        <v>0</v>
      </c>
      <c r="M599" t="n">
        <v>0</v>
      </c>
      <c r="N599" t="n">
        <v>0</v>
      </c>
      <c r="O599" t="n">
        <v>0</v>
      </c>
      <c r="P599" t="n">
        <v>0</v>
      </c>
      <c r="Q599" t="n">
        <v>0</v>
      </c>
      <c r="R599" s="2" t="inlineStr"/>
    </row>
    <row r="600" ht="15" customHeight="1">
      <c r="A600" t="inlineStr">
        <is>
          <t>A 25210-2025</t>
        </is>
      </c>
      <c r="B600" s="1" t="n">
        <v>45800.46960648148</v>
      </c>
      <c r="C600" s="1" t="n">
        <v>45995</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25058-2025</t>
        </is>
      </c>
      <c r="B601" s="1" t="n">
        <v>45799.68418981481</v>
      </c>
      <c r="C601" s="1" t="n">
        <v>45995</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1159-2024</t>
        </is>
      </c>
      <c r="B602" s="1" t="n">
        <v>45302.52006944444</v>
      </c>
      <c r="C602" s="1" t="n">
        <v>45995</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35556-2022</t>
        </is>
      </c>
      <c r="B603" s="1" t="n">
        <v>44799</v>
      </c>
      <c r="C603" s="1" t="n">
        <v>45995</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25252-2025</t>
        </is>
      </c>
      <c r="B604" s="1" t="n">
        <v>45800.50355324074</v>
      </c>
      <c r="C604" s="1" t="n">
        <v>45995</v>
      </c>
      <c r="D604" t="inlineStr">
        <is>
          <t>JÄMTLANDS LÄN</t>
        </is>
      </c>
      <c r="E604" t="inlineStr">
        <is>
          <t>ÖSTERSUND</t>
        </is>
      </c>
      <c r="G604" t="n">
        <v>2.7</v>
      </c>
      <c r="H604" t="n">
        <v>0</v>
      </c>
      <c r="I604" t="n">
        <v>0</v>
      </c>
      <c r="J604" t="n">
        <v>0</v>
      </c>
      <c r="K604" t="n">
        <v>0</v>
      </c>
      <c r="L604" t="n">
        <v>0</v>
      </c>
      <c r="M604" t="n">
        <v>0</v>
      </c>
      <c r="N604" t="n">
        <v>0</v>
      </c>
      <c r="O604" t="n">
        <v>0</v>
      </c>
      <c r="P604" t="n">
        <v>0</v>
      </c>
      <c r="Q604" t="n">
        <v>0</v>
      </c>
      <c r="R604" s="2" t="inlineStr"/>
    </row>
    <row r="605" ht="15" customHeight="1">
      <c r="A605" t="inlineStr">
        <is>
          <t>A 55235-2023</t>
        </is>
      </c>
      <c r="B605" s="1" t="n">
        <v>45231</v>
      </c>
      <c r="C605" s="1" t="n">
        <v>45995</v>
      </c>
      <c r="D605" t="inlineStr">
        <is>
          <t>JÄMTLANDS LÄN</t>
        </is>
      </c>
      <c r="E605" t="inlineStr">
        <is>
          <t>ÖSTERSUND</t>
        </is>
      </c>
      <c r="F605" t="inlineStr">
        <is>
          <t>SCA</t>
        </is>
      </c>
      <c r="G605" t="n">
        <v>0.4</v>
      </c>
      <c r="H605" t="n">
        <v>0</v>
      </c>
      <c r="I605" t="n">
        <v>0</v>
      </c>
      <c r="J605" t="n">
        <v>0</v>
      </c>
      <c r="K605" t="n">
        <v>0</v>
      </c>
      <c r="L605" t="n">
        <v>0</v>
      </c>
      <c r="M605" t="n">
        <v>0</v>
      </c>
      <c r="N605" t="n">
        <v>0</v>
      </c>
      <c r="O605" t="n">
        <v>0</v>
      </c>
      <c r="P605" t="n">
        <v>0</v>
      </c>
      <c r="Q605" t="n">
        <v>0</v>
      </c>
      <c r="R605" s="2" t="inlineStr"/>
    </row>
    <row r="606" ht="15" customHeight="1">
      <c r="A606" t="inlineStr">
        <is>
          <t>A 25059-2025</t>
        </is>
      </c>
      <c r="B606" s="1" t="n">
        <v>45799.69116898148</v>
      </c>
      <c r="C606" s="1" t="n">
        <v>45995</v>
      </c>
      <c r="D606" t="inlineStr">
        <is>
          <t>JÄMTLANDS LÄN</t>
        </is>
      </c>
      <c r="E606" t="inlineStr">
        <is>
          <t>ÖSTERSUND</t>
        </is>
      </c>
      <c r="G606" t="n">
        <v>2.7</v>
      </c>
      <c r="H606" t="n">
        <v>0</v>
      </c>
      <c r="I606" t="n">
        <v>0</v>
      </c>
      <c r="J606" t="n">
        <v>0</v>
      </c>
      <c r="K606" t="n">
        <v>0</v>
      </c>
      <c r="L606" t="n">
        <v>0</v>
      </c>
      <c r="M606" t="n">
        <v>0</v>
      </c>
      <c r="N606" t="n">
        <v>0</v>
      </c>
      <c r="O606" t="n">
        <v>0</v>
      </c>
      <c r="P606" t="n">
        <v>0</v>
      </c>
      <c r="Q606" t="n">
        <v>0</v>
      </c>
      <c r="R606" s="2" t="inlineStr"/>
    </row>
    <row r="607" ht="15" customHeight="1">
      <c r="A607" t="inlineStr">
        <is>
          <t>A 60794-2023</t>
        </is>
      </c>
      <c r="B607" s="1" t="n">
        <v>45260</v>
      </c>
      <c r="C607" s="1" t="n">
        <v>45995</v>
      </c>
      <c r="D607" t="inlineStr">
        <is>
          <t>JÄMTLANDS LÄN</t>
        </is>
      </c>
      <c r="E607" t="inlineStr">
        <is>
          <t>ÖSTERSUND</t>
        </is>
      </c>
      <c r="G607" t="n">
        <v>3.6</v>
      </c>
      <c r="H607" t="n">
        <v>0</v>
      </c>
      <c r="I607" t="n">
        <v>0</v>
      </c>
      <c r="J607" t="n">
        <v>0</v>
      </c>
      <c r="K607" t="n">
        <v>0</v>
      </c>
      <c r="L607" t="n">
        <v>0</v>
      </c>
      <c r="M607" t="n">
        <v>0</v>
      </c>
      <c r="N607" t="n">
        <v>0</v>
      </c>
      <c r="O607" t="n">
        <v>0</v>
      </c>
      <c r="P607" t="n">
        <v>0</v>
      </c>
      <c r="Q607" t="n">
        <v>0</v>
      </c>
      <c r="R607" s="2" t="inlineStr"/>
    </row>
    <row r="608" ht="15" customHeight="1">
      <c r="A608" t="inlineStr">
        <is>
          <t>A 25069-2025</t>
        </is>
      </c>
      <c r="B608" s="1" t="n">
        <v>45799.7372337963</v>
      </c>
      <c r="C608" s="1" t="n">
        <v>45995</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25572-2025</t>
        </is>
      </c>
      <c r="B609" s="1" t="n">
        <v>45803</v>
      </c>
      <c r="C609" s="1" t="n">
        <v>45995</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26144-2025</t>
        </is>
      </c>
      <c r="B610" s="1" t="n">
        <v>45805.42827546296</v>
      </c>
      <c r="C610" s="1" t="n">
        <v>45995</v>
      </c>
      <c r="D610" t="inlineStr">
        <is>
          <t>JÄMTLANDS LÄN</t>
        </is>
      </c>
      <c r="E610" t="inlineStr">
        <is>
          <t>ÖSTERSUND</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47357-2024</t>
        </is>
      </c>
      <c r="B611" s="1" t="n">
        <v>45587.42835648148</v>
      </c>
      <c r="C611" s="1" t="n">
        <v>45995</v>
      </c>
      <c r="D611" t="inlineStr">
        <is>
          <t>JÄMTLANDS LÄN</t>
        </is>
      </c>
      <c r="E611" t="inlineStr">
        <is>
          <t>ÖSTERSUND</t>
        </is>
      </c>
      <c r="G611" t="n">
        <v>2.4</v>
      </c>
      <c r="H611" t="n">
        <v>0</v>
      </c>
      <c r="I611" t="n">
        <v>0</v>
      </c>
      <c r="J611" t="n">
        <v>0</v>
      </c>
      <c r="K611" t="n">
        <v>0</v>
      </c>
      <c r="L611" t="n">
        <v>0</v>
      </c>
      <c r="M611" t="n">
        <v>0</v>
      </c>
      <c r="N611" t="n">
        <v>0</v>
      </c>
      <c r="O611" t="n">
        <v>0</v>
      </c>
      <c r="P611" t="n">
        <v>0</v>
      </c>
      <c r="Q611" t="n">
        <v>0</v>
      </c>
      <c r="R611" s="2" t="inlineStr"/>
    </row>
    <row r="612" ht="15" customHeight="1">
      <c r="A612" t="inlineStr">
        <is>
          <t>A 63099-2023</t>
        </is>
      </c>
      <c r="B612" s="1" t="n">
        <v>45273</v>
      </c>
      <c r="C612" s="1" t="n">
        <v>45995</v>
      </c>
      <c r="D612" t="inlineStr">
        <is>
          <t>JÄMTLANDS LÄN</t>
        </is>
      </c>
      <c r="E612" t="inlineStr">
        <is>
          <t>ÖSTERSUND</t>
        </is>
      </c>
      <c r="G612" t="n">
        <v>1.5</v>
      </c>
      <c r="H612" t="n">
        <v>0</v>
      </c>
      <c r="I612" t="n">
        <v>0</v>
      </c>
      <c r="J612" t="n">
        <v>0</v>
      </c>
      <c r="K612" t="n">
        <v>0</v>
      </c>
      <c r="L612" t="n">
        <v>0</v>
      </c>
      <c r="M612" t="n">
        <v>0</v>
      </c>
      <c r="N612" t="n">
        <v>0</v>
      </c>
      <c r="O612" t="n">
        <v>0</v>
      </c>
      <c r="P612" t="n">
        <v>0</v>
      </c>
      <c r="Q612" t="n">
        <v>0</v>
      </c>
      <c r="R612" s="2" t="inlineStr"/>
    </row>
    <row r="613" ht="15" customHeight="1">
      <c r="A613" t="inlineStr">
        <is>
          <t>A 5135-2025</t>
        </is>
      </c>
      <c r="B613" s="1" t="n">
        <v>45691</v>
      </c>
      <c r="C613" s="1" t="n">
        <v>45995</v>
      </c>
      <c r="D613" t="inlineStr">
        <is>
          <t>JÄMTLANDS LÄN</t>
        </is>
      </c>
      <c r="E613" t="inlineStr">
        <is>
          <t>ÖSTERSUND</t>
        </is>
      </c>
      <c r="F613" t="inlineStr">
        <is>
          <t>Övriga Aktiebolag</t>
        </is>
      </c>
      <c r="G613" t="n">
        <v>126.9</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45995</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39510-2024</t>
        </is>
      </c>
      <c r="B615" s="1" t="n">
        <v>45551.67761574074</v>
      </c>
      <c r="C615" s="1" t="n">
        <v>45995</v>
      </c>
      <c r="D615" t="inlineStr">
        <is>
          <t>JÄMTLANDS LÄN</t>
        </is>
      </c>
      <c r="E615" t="inlineStr">
        <is>
          <t>ÖSTERSUND</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10064-2024</t>
        </is>
      </c>
      <c r="B616" s="1" t="n">
        <v>45364.3874074074</v>
      </c>
      <c r="C616" s="1" t="n">
        <v>45995</v>
      </c>
      <c r="D616" t="inlineStr">
        <is>
          <t>JÄMTLANDS LÄN</t>
        </is>
      </c>
      <c r="E616" t="inlineStr">
        <is>
          <t>ÖSTERSUND</t>
        </is>
      </c>
      <c r="G616" t="n">
        <v>13.9</v>
      </c>
      <c r="H616" t="n">
        <v>0</v>
      </c>
      <c r="I616" t="n">
        <v>0</v>
      </c>
      <c r="J616" t="n">
        <v>0</v>
      </c>
      <c r="K616" t="n">
        <v>0</v>
      </c>
      <c r="L616" t="n">
        <v>0</v>
      </c>
      <c r="M616" t="n">
        <v>0</v>
      </c>
      <c r="N616" t="n">
        <v>0</v>
      </c>
      <c r="O616" t="n">
        <v>0</v>
      </c>
      <c r="P616" t="n">
        <v>0</v>
      </c>
      <c r="Q616" t="n">
        <v>0</v>
      </c>
      <c r="R616" s="2" t="inlineStr"/>
    </row>
    <row r="617" ht="15" customHeight="1">
      <c r="A617" t="inlineStr">
        <is>
          <t>A 3610-2024</t>
        </is>
      </c>
      <c r="B617" s="1" t="n">
        <v>45320.92060185185</v>
      </c>
      <c r="C617" s="1" t="n">
        <v>45995</v>
      </c>
      <c r="D617" t="inlineStr">
        <is>
          <t>JÄMTLANDS LÄN</t>
        </is>
      </c>
      <c r="E617" t="inlineStr">
        <is>
          <t>ÖSTERSUND</t>
        </is>
      </c>
      <c r="G617" t="n">
        <v>6.2</v>
      </c>
      <c r="H617" t="n">
        <v>0</v>
      </c>
      <c r="I617" t="n">
        <v>0</v>
      </c>
      <c r="J617" t="n">
        <v>0</v>
      </c>
      <c r="K617" t="n">
        <v>0</v>
      </c>
      <c r="L617" t="n">
        <v>0</v>
      </c>
      <c r="M617" t="n">
        <v>0</v>
      </c>
      <c r="N617" t="n">
        <v>0</v>
      </c>
      <c r="O617" t="n">
        <v>0</v>
      </c>
      <c r="P617" t="n">
        <v>0</v>
      </c>
      <c r="Q617" t="n">
        <v>0</v>
      </c>
      <c r="R617" s="2" t="inlineStr"/>
    </row>
    <row r="618" ht="15" customHeight="1">
      <c r="A618" t="inlineStr">
        <is>
          <t>A 26492-2025</t>
        </is>
      </c>
      <c r="B618" s="1" t="n">
        <v>45807</v>
      </c>
      <c r="C618" s="1" t="n">
        <v>45995</v>
      </c>
      <c r="D618" t="inlineStr">
        <is>
          <t>JÄMTLANDS LÄN</t>
        </is>
      </c>
      <c r="E618" t="inlineStr">
        <is>
          <t>ÖSTERSUND</t>
        </is>
      </c>
      <c r="G618" t="n">
        <v>7</v>
      </c>
      <c r="H618" t="n">
        <v>0</v>
      </c>
      <c r="I618" t="n">
        <v>0</v>
      </c>
      <c r="J618" t="n">
        <v>0</v>
      </c>
      <c r="K618" t="n">
        <v>0</v>
      </c>
      <c r="L618" t="n">
        <v>0</v>
      </c>
      <c r="M618" t="n">
        <v>0</v>
      </c>
      <c r="N618" t="n">
        <v>0</v>
      </c>
      <c r="O618" t="n">
        <v>0</v>
      </c>
      <c r="P618" t="n">
        <v>0</v>
      </c>
      <c r="Q618" t="n">
        <v>0</v>
      </c>
      <c r="R618" s="2" t="inlineStr"/>
    </row>
    <row r="619" ht="15" customHeight="1">
      <c r="A619" t="inlineStr">
        <is>
          <t>A 26500-2025</t>
        </is>
      </c>
      <c r="B619" s="1" t="n">
        <v>45807</v>
      </c>
      <c r="C619" s="1" t="n">
        <v>45995</v>
      </c>
      <c r="D619" t="inlineStr">
        <is>
          <t>JÄMTLANDS LÄN</t>
        </is>
      </c>
      <c r="E619" t="inlineStr">
        <is>
          <t>ÖSTERSUND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70256-2021</t>
        </is>
      </c>
      <c r="B620" s="1" t="n">
        <v>44533</v>
      </c>
      <c r="C620" s="1" t="n">
        <v>45995</v>
      </c>
      <c r="D620" t="inlineStr">
        <is>
          <t>JÄMTLANDS LÄN</t>
        </is>
      </c>
      <c r="E620" t="inlineStr">
        <is>
          <t>ÖSTERSUND</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26587-2025</t>
        </is>
      </c>
      <c r="B621" s="1" t="n">
        <v>45807.75076388889</v>
      </c>
      <c r="C621" s="1" t="n">
        <v>45995</v>
      </c>
      <c r="D621" t="inlineStr">
        <is>
          <t>JÄMTLANDS LÄN</t>
        </is>
      </c>
      <c r="E621" t="inlineStr">
        <is>
          <t>ÖSTERSUND</t>
        </is>
      </c>
      <c r="G621" t="n">
        <v>0.5</v>
      </c>
      <c r="H621" t="n">
        <v>0</v>
      </c>
      <c r="I621" t="n">
        <v>0</v>
      </c>
      <c r="J621" t="n">
        <v>0</v>
      </c>
      <c r="K621" t="n">
        <v>0</v>
      </c>
      <c r="L621" t="n">
        <v>0</v>
      </c>
      <c r="M621" t="n">
        <v>0</v>
      </c>
      <c r="N621" t="n">
        <v>0</v>
      </c>
      <c r="O621" t="n">
        <v>0</v>
      </c>
      <c r="P621" t="n">
        <v>0</v>
      </c>
      <c r="Q621" t="n">
        <v>0</v>
      </c>
      <c r="R621" s="2" t="inlineStr"/>
    </row>
    <row r="622" ht="15" customHeight="1">
      <c r="A622" t="inlineStr">
        <is>
          <t>A 8972-2022</t>
        </is>
      </c>
      <c r="B622" s="1" t="n">
        <v>44614.91989583334</v>
      </c>
      <c r="C622" s="1" t="n">
        <v>45995</v>
      </c>
      <c r="D622" t="inlineStr">
        <is>
          <t>JÄMTLANDS LÄN</t>
        </is>
      </c>
      <c r="E622" t="inlineStr">
        <is>
          <t>ÖSTERSUND</t>
        </is>
      </c>
      <c r="G622" t="n">
        <v>0.8</v>
      </c>
      <c r="H622" t="n">
        <v>0</v>
      </c>
      <c r="I622" t="n">
        <v>0</v>
      </c>
      <c r="J622" t="n">
        <v>0</v>
      </c>
      <c r="K622" t="n">
        <v>0</v>
      </c>
      <c r="L622" t="n">
        <v>0</v>
      </c>
      <c r="M622" t="n">
        <v>0</v>
      </c>
      <c r="N622" t="n">
        <v>0</v>
      </c>
      <c r="O622" t="n">
        <v>0</v>
      </c>
      <c r="P622" t="n">
        <v>0</v>
      </c>
      <c r="Q622" t="n">
        <v>0</v>
      </c>
      <c r="R622" s="2" t="inlineStr"/>
    </row>
    <row r="623" ht="15" customHeight="1">
      <c r="A623" t="inlineStr">
        <is>
          <t>A 47627-2024</t>
        </is>
      </c>
      <c r="B623" s="1" t="n">
        <v>45588.3440625</v>
      </c>
      <c r="C623" s="1" t="n">
        <v>45995</v>
      </c>
      <c r="D623" t="inlineStr">
        <is>
          <t>JÄMTLANDS LÄN</t>
        </is>
      </c>
      <c r="E623" t="inlineStr">
        <is>
          <t>ÖSTERSUND</t>
        </is>
      </c>
      <c r="G623" t="n">
        <v>0.8</v>
      </c>
      <c r="H623" t="n">
        <v>0</v>
      </c>
      <c r="I623" t="n">
        <v>0</v>
      </c>
      <c r="J623" t="n">
        <v>0</v>
      </c>
      <c r="K623" t="n">
        <v>0</v>
      </c>
      <c r="L623" t="n">
        <v>0</v>
      </c>
      <c r="M623" t="n">
        <v>0</v>
      </c>
      <c r="N623" t="n">
        <v>0</v>
      </c>
      <c r="O623" t="n">
        <v>0</v>
      </c>
      <c r="P623" t="n">
        <v>0</v>
      </c>
      <c r="Q623" t="n">
        <v>0</v>
      </c>
      <c r="R623" s="2" t="inlineStr"/>
    </row>
    <row r="624" ht="15" customHeight="1">
      <c r="A624" t="inlineStr">
        <is>
          <t>A 47628-2024</t>
        </is>
      </c>
      <c r="B624" s="1" t="n">
        <v>45588.34418981482</v>
      </c>
      <c r="C624" s="1" t="n">
        <v>45995</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26605-2025</t>
        </is>
      </c>
      <c r="B625" s="1" t="n">
        <v>45809.86790509259</v>
      </c>
      <c r="C625" s="1" t="n">
        <v>45995</v>
      </c>
      <c r="D625" t="inlineStr">
        <is>
          <t>JÄMTLANDS LÄN</t>
        </is>
      </c>
      <c r="E625" t="inlineStr">
        <is>
          <t>ÖSTERSUND</t>
        </is>
      </c>
      <c r="G625" t="n">
        <v>1.3</v>
      </c>
      <c r="H625" t="n">
        <v>0</v>
      </c>
      <c r="I625" t="n">
        <v>0</v>
      </c>
      <c r="J625" t="n">
        <v>0</v>
      </c>
      <c r="K625" t="n">
        <v>0</v>
      </c>
      <c r="L625" t="n">
        <v>0</v>
      </c>
      <c r="M625" t="n">
        <v>0</v>
      </c>
      <c r="N625" t="n">
        <v>0</v>
      </c>
      <c r="O625" t="n">
        <v>0</v>
      </c>
      <c r="P625" t="n">
        <v>0</v>
      </c>
      <c r="Q625" t="n">
        <v>0</v>
      </c>
      <c r="R625" s="2" t="inlineStr"/>
    </row>
    <row r="626" ht="15" customHeight="1">
      <c r="A626" t="inlineStr">
        <is>
          <t>A 13651-2025</t>
        </is>
      </c>
      <c r="B626" s="1" t="n">
        <v>45736.71818287037</v>
      </c>
      <c r="C626" s="1" t="n">
        <v>45995</v>
      </c>
      <c r="D626" t="inlineStr">
        <is>
          <t>JÄMTLANDS LÄN</t>
        </is>
      </c>
      <c r="E626" t="inlineStr">
        <is>
          <t>ÖSTERSUND</t>
        </is>
      </c>
      <c r="G626" t="n">
        <v>3.7</v>
      </c>
      <c r="H626" t="n">
        <v>0</v>
      </c>
      <c r="I626" t="n">
        <v>0</v>
      </c>
      <c r="J626" t="n">
        <v>0</v>
      </c>
      <c r="K626" t="n">
        <v>0</v>
      </c>
      <c r="L626" t="n">
        <v>0</v>
      </c>
      <c r="M626" t="n">
        <v>0</v>
      </c>
      <c r="N626" t="n">
        <v>0</v>
      </c>
      <c r="O626" t="n">
        <v>0</v>
      </c>
      <c r="P626" t="n">
        <v>0</v>
      </c>
      <c r="Q626" t="n">
        <v>0</v>
      </c>
      <c r="R626" s="2" t="inlineStr"/>
    </row>
    <row r="627" ht="15" customHeight="1">
      <c r="A627" t="inlineStr">
        <is>
          <t>A 27035-2025</t>
        </is>
      </c>
      <c r="B627" s="1" t="n">
        <v>45811.5928587963</v>
      </c>
      <c r="C627" s="1" t="n">
        <v>45995</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45004-2022</t>
        </is>
      </c>
      <c r="B628" s="1" t="n">
        <v>44840</v>
      </c>
      <c r="C628" s="1" t="n">
        <v>45995</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27034-2025</t>
        </is>
      </c>
      <c r="B629" s="1" t="n">
        <v>45811.59258101852</v>
      </c>
      <c r="C629" s="1" t="n">
        <v>45995</v>
      </c>
      <c r="D629" t="inlineStr">
        <is>
          <t>JÄMTLANDS LÄN</t>
        </is>
      </c>
      <c r="E629" t="inlineStr">
        <is>
          <t>ÖSTERSUND</t>
        </is>
      </c>
      <c r="G629" t="n">
        <v>1.6</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45995</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27517-2025</t>
        </is>
      </c>
      <c r="B631" s="1" t="n">
        <v>45813.43966435185</v>
      </c>
      <c r="C631" s="1" t="n">
        <v>45995</v>
      </c>
      <c r="D631" t="inlineStr">
        <is>
          <t>JÄMTLANDS LÄN</t>
        </is>
      </c>
      <c r="E631" t="inlineStr">
        <is>
          <t>ÖSTERSUND</t>
        </is>
      </c>
      <c r="G631" t="n">
        <v>2.2</v>
      </c>
      <c r="H631" t="n">
        <v>0</v>
      </c>
      <c r="I631" t="n">
        <v>0</v>
      </c>
      <c r="J631" t="n">
        <v>0</v>
      </c>
      <c r="K631" t="n">
        <v>0</v>
      </c>
      <c r="L631" t="n">
        <v>0</v>
      </c>
      <c r="M631" t="n">
        <v>0</v>
      </c>
      <c r="N631" t="n">
        <v>0</v>
      </c>
      <c r="O631" t="n">
        <v>0</v>
      </c>
      <c r="P631" t="n">
        <v>0</v>
      </c>
      <c r="Q631" t="n">
        <v>0</v>
      </c>
      <c r="R631" s="2" t="inlineStr"/>
    </row>
    <row r="632" ht="15" customHeight="1">
      <c r="A632" t="inlineStr">
        <is>
          <t>A 2747-2025</t>
        </is>
      </c>
      <c r="B632" s="1" t="n">
        <v>45677.4649537037</v>
      </c>
      <c r="C632" s="1" t="n">
        <v>45995</v>
      </c>
      <c r="D632" t="inlineStr">
        <is>
          <t>JÄMTLANDS LÄN</t>
        </is>
      </c>
      <c r="E632" t="inlineStr">
        <is>
          <t>ÖSTERSUND</t>
        </is>
      </c>
      <c r="F632" t="inlineStr">
        <is>
          <t>Sveaskog</t>
        </is>
      </c>
      <c r="G632" t="n">
        <v>6.4</v>
      </c>
      <c r="H632" t="n">
        <v>0</v>
      </c>
      <c r="I632" t="n">
        <v>0</v>
      </c>
      <c r="J632" t="n">
        <v>0</v>
      </c>
      <c r="K632" t="n">
        <v>0</v>
      </c>
      <c r="L632" t="n">
        <v>0</v>
      </c>
      <c r="M632" t="n">
        <v>0</v>
      </c>
      <c r="N632" t="n">
        <v>0</v>
      </c>
      <c r="O632" t="n">
        <v>0</v>
      </c>
      <c r="P632" t="n">
        <v>0</v>
      </c>
      <c r="Q632" t="n">
        <v>0</v>
      </c>
      <c r="R632" s="2" t="inlineStr"/>
    </row>
    <row r="633" ht="15" customHeight="1">
      <c r="A633" t="inlineStr">
        <is>
          <t>A 33801-2022</t>
        </is>
      </c>
      <c r="B633" s="1" t="n">
        <v>44790</v>
      </c>
      <c r="C633" s="1" t="n">
        <v>45995</v>
      </c>
      <c r="D633" t="inlineStr">
        <is>
          <t>JÄMTLANDS LÄN</t>
        </is>
      </c>
      <c r="E633" t="inlineStr">
        <is>
          <t>ÖSTERSUND</t>
        </is>
      </c>
      <c r="G633" t="n">
        <v>7.6</v>
      </c>
      <c r="H633" t="n">
        <v>0</v>
      </c>
      <c r="I633" t="n">
        <v>0</v>
      </c>
      <c r="J633" t="n">
        <v>0</v>
      </c>
      <c r="K633" t="n">
        <v>0</v>
      </c>
      <c r="L633" t="n">
        <v>0</v>
      </c>
      <c r="M633" t="n">
        <v>0</v>
      </c>
      <c r="N633" t="n">
        <v>0</v>
      </c>
      <c r="O633" t="n">
        <v>0</v>
      </c>
      <c r="P633" t="n">
        <v>0</v>
      </c>
      <c r="Q633" t="n">
        <v>0</v>
      </c>
      <c r="R633" s="2" t="inlineStr"/>
    </row>
    <row r="634" ht="15" customHeight="1">
      <c r="A634" t="inlineStr">
        <is>
          <t>A 10266-2025</t>
        </is>
      </c>
      <c r="B634" s="1" t="n">
        <v>45720.38576388889</v>
      </c>
      <c r="C634" s="1" t="n">
        <v>45995</v>
      </c>
      <c r="D634" t="inlineStr">
        <is>
          <t>JÄMTLANDS LÄN</t>
        </is>
      </c>
      <c r="E634" t="inlineStr">
        <is>
          <t>ÖSTERSUND</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7956-2025</t>
        </is>
      </c>
      <c r="B635" s="1" t="n">
        <v>45707.42825231481</v>
      </c>
      <c r="C635" s="1" t="n">
        <v>45995</v>
      </c>
      <c r="D635" t="inlineStr">
        <is>
          <t>JÄMTLANDS LÄN</t>
        </is>
      </c>
      <c r="E635" t="inlineStr">
        <is>
          <t>ÖSTERSUND</t>
        </is>
      </c>
      <c r="F635" t="inlineStr">
        <is>
          <t>Övriga Aktiebolag</t>
        </is>
      </c>
      <c r="G635" t="n">
        <v>111.2</v>
      </c>
      <c r="H635" t="n">
        <v>0</v>
      </c>
      <c r="I635" t="n">
        <v>0</v>
      </c>
      <c r="J635" t="n">
        <v>0</v>
      </c>
      <c r="K635" t="n">
        <v>0</v>
      </c>
      <c r="L635" t="n">
        <v>0</v>
      </c>
      <c r="M635" t="n">
        <v>0</v>
      </c>
      <c r="N635" t="n">
        <v>0</v>
      </c>
      <c r="O635" t="n">
        <v>0</v>
      </c>
      <c r="P635" t="n">
        <v>0</v>
      </c>
      <c r="Q635" t="n">
        <v>0</v>
      </c>
      <c r="R635" s="2" t="inlineStr"/>
    </row>
    <row r="636" ht="15" customHeight="1">
      <c r="A636" t="inlineStr">
        <is>
          <t>A 28025-2025</t>
        </is>
      </c>
      <c r="B636" s="1" t="n">
        <v>45817</v>
      </c>
      <c r="C636" s="1" t="n">
        <v>45995</v>
      </c>
      <c r="D636" t="inlineStr">
        <is>
          <t>JÄMTLANDS LÄN</t>
        </is>
      </c>
      <c r="E636" t="inlineStr">
        <is>
          <t>ÖSTERSUND</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28185-2025</t>
        </is>
      </c>
      <c r="B637" s="1" t="n">
        <v>45818.40337962963</v>
      </c>
      <c r="C637" s="1" t="n">
        <v>45995</v>
      </c>
      <c r="D637" t="inlineStr">
        <is>
          <t>JÄMTLANDS LÄN</t>
        </is>
      </c>
      <c r="E637" t="inlineStr">
        <is>
          <t>ÖSTERSUND</t>
        </is>
      </c>
      <c r="F637" t="inlineStr">
        <is>
          <t>Kyrkan</t>
        </is>
      </c>
      <c r="G637" t="n">
        <v>1</v>
      </c>
      <c r="H637" t="n">
        <v>0</v>
      </c>
      <c r="I637" t="n">
        <v>0</v>
      </c>
      <c r="J637" t="n">
        <v>0</v>
      </c>
      <c r="K637" t="n">
        <v>0</v>
      </c>
      <c r="L637" t="n">
        <v>0</v>
      </c>
      <c r="M637" t="n">
        <v>0</v>
      </c>
      <c r="N637" t="n">
        <v>0</v>
      </c>
      <c r="O637" t="n">
        <v>0</v>
      </c>
      <c r="P637" t="n">
        <v>0</v>
      </c>
      <c r="Q637" t="n">
        <v>0</v>
      </c>
      <c r="R637" s="2" t="inlineStr"/>
    </row>
    <row r="638" ht="15" customHeight="1">
      <c r="A638" t="inlineStr">
        <is>
          <t>A 27689-2024</t>
        </is>
      </c>
      <c r="B638" s="1" t="n">
        <v>45475.3378125</v>
      </c>
      <c r="C638" s="1" t="n">
        <v>45995</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4966-2025</t>
        </is>
      </c>
      <c r="B639" s="1" t="n">
        <v>45690.63628472222</v>
      </c>
      <c r="C639" s="1" t="n">
        <v>45995</v>
      </c>
      <c r="D639" t="inlineStr">
        <is>
          <t>JÄMTLANDS LÄN</t>
        </is>
      </c>
      <c r="E639" t="inlineStr">
        <is>
          <t>ÖSTERSUND</t>
        </is>
      </c>
      <c r="G639" t="n">
        <v>3.4</v>
      </c>
      <c r="H639" t="n">
        <v>0</v>
      </c>
      <c r="I639" t="n">
        <v>0</v>
      </c>
      <c r="J639" t="n">
        <v>0</v>
      </c>
      <c r="K639" t="n">
        <v>0</v>
      </c>
      <c r="L639" t="n">
        <v>0</v>
      </c>
      <c r="M639" t="n">
        <v>0</v>
      </c>
      <c r="N639" t="n">
        <v>0</v>
      </c>
      <c r="O639" t="n">
        <v>0</v>
      </c>
      <c r="P639" t="n">
        <v>0</v>
      </c>
      <c r="Q639" t="n">
        <v>0</v>
      </c>
      <c r="R639" s="2" t="inlineStr"/>
    </row>
    <row r="640" ht="15" customHeight="1">
      <c r="A640" t="inlineStr">
        <is>
          <t>A 28595-2025</t>
        </is>
      </c>
      <c r="B640" s="1" t="n">
        <v>45819.59429398148</v>
      </c>
      <c r="C640" s="1" t="n">
        <v>45995</v>
      </c>
      <c r="D640" t="inlineStr">
        <is>
          <t>JÄMTLANDS LÄN</t>
        </is>
      </c>
      <c r="E640" t="inlineStr">
        <is>
          <t>ÖSTERSUND</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6877-2024</t>
        </is>
      </c>
      <c r="B641" s="1" t="n">
        <v>45342</v>
      </c>
      <c r="C641" s="1" t="n">
        <v>45995</v>
      </c>
      <c r="D641" t="inlineStr">
        <is>
          <t>JÄMTLANDS LÄN</t>
        </is>
      </c>
      <c r="E641" t="inlineStr">
        <is>
          <t>ÖSTERSUND</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4136-2023</t>
        </is>
      </c>
      <c r="B642" s="1" t="n">
        <v>44952</v>
      </c>
      <c r="C642" s="1" t="n">
        <v>45995</v>
      </c>
      <c r="D642" t="inlineStr">
        <is>
          <t>JÄMTLANDS LÄN</t>
        </is>
      </c>
      <c r="E642" t="inlineStr">
        <is>
          <t>ÖSTERSUND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4872-2023</t>
        </is>
      </c>
      <c r="B643" s="1" t="n">
        <v>44957</v>
      </c>
      <c r="C643" s="1" t="n">
        <v>45995</v>
      </c>
      <c r="D643" t="inlineStr">
        <is>
          <t>JÄMTLANDS LÄN</t>
        </is>
      </c>
      <c r="E643" t="inlineStr">
        <is>
          <t>ÖSTERSUND</t>
        </is>
      </c>
      <c r="G643" t="n">
        <v>10.7</v>
      </c>
      <c r="H643" t="n">
        <v>0</v>
      </c>
      <c r="I643" t="n">
        <v>0</v>
      </c>
      <c r="J643" t="n">
        <v>0</v>
      </c>
      <c r="K643" t="n">
        <v>0</v>
      </c>
      <c r="L643" t="n">
        <v>0</v>
      </c>
      <c r="M643" t="n">
        <v>0</v>
      </c>
      <c r="N643" t="n">
        <v>0</v>
      </c>
      <c r="O643" t="n">
        <v>0</v>
      </c>
      <c r="P643" t="n">
        <v>0</v>
      </c>
      <c r="Q643" t="n">
        <v>0</v>
      </c>
      <c r="R643" s="2" t="inlineStr"/>
    </row>
    <row r="644" ht="15" customHeight="1">
      <c r="A644" t="inlineStr">
        <is>
          <t>A 24781-2024</t>
        </is>
      </c>
      <c r="B644" s="1" t="n">
        <v>45460.7772800926</v>
      </c>
      <c r="C644" s="1" t="n">
        <v>45995</v>
      </c>
      <c r="D644" t="inlineStr">
        <is>
          <t>JÄMTLANDS LÄN</t>
        </is>
      </c>
      <c r="E644" t="inlineStr">
        <is>
          <t>ÖSTERSUND</t>
        </is>
      </c>
      <c r="G644" t="n">
        <v>2.2</v>
      </c>
      <c r="H644" t="n">
        <v>0</v>
      </c>
      <c r="I644" t="n">
        <v>0</v>
      </c>
      <c r="J644" t="n">
        <v>0</v>
      </c>
      <c r="K644" t="n">
        <v>0</v>
      </c>
      <c r="L644" t="n">
        <v>0</v>
      </c>
      <c r="M644" t="n">
        <v>0</v>
      </c>
      <c r="N644" t="n">
        <v>0</v>
      </c>
      <c r="O644" t="n">
        <v>0</v>
      </c>
      <c r="P644" t="n">
        <v>0</v>
      </c>
      <c r="Q644" t="n">
        <v>0</v>
      </c>
      <c r="R644" s="2" t="inlineStr"/>
    </row>
    <row r="645" ht="15" customHeight="1">
      <c r="A645" t="inlineStr">
        <is>
          <t>A 13921-2023</t>
        </is>
      </c>
      <c r="B645" s="1" t="n">
        <v>45008</v>
      </c>
      <c r="C645" s="1" t="n">
        <v>45995</v>
      </c>
      <c r="D645" t="inlineStr">
        <is>
          <t>JÄMTLANDS LÄN</t>
        </is>
      </c>
      <c r="E645" t="inlineStr">
        <is>
          <t>ÖSTERSUND</t>
        </is>
      </c>
      <c r="G645" t="n">
        <v>0.3</v>
      </c>
      <c r="H645" t="n">
        <v>0</v>
      </c>
      <c r="I645" t="n">
        <v>0</v>
      </c>
      <c r="J645" t="n">
        <v>0</v>
      </c>
      <c r="K645" t="n">
        <v>0</v>
      </c>
      <c r="L645" t="n">
        <v>0</v>
      </c>
      <c r="M645" t="n">
        <v>0</v>
      </c>
      <c r="N645" t="n">
        <v>0</v>
      </c>
      <c r="O645" t="n">
        <v>0</v>
      </c>
      <c r="P645" t="n">
        <v>0</v>
      </c>
      <c r="Q645" t="n">
        <v>0</v>
      </c>
      <c r="R645" s="2" t="inlineStr"/>
    </row>
    <row r="646" ht="15" customHeight="1">
      <c r="A646" t="inlineStr">
        <is>
          <t>A 11877-2024</t>
        </is>
      </c>
      <c r="B646" s="1" t="n">
        <v>45376</v>
      </c>
      <c r="C646" s="1" t="n">
        <v>45995</v>
      </c>
      <c r="D646" t="inlineStr">
        <is>
          <t>JÄMTLANDS LÄN</t>
        </is>
      </c>
      <c r="E646" t="inlineStr">
        <is>
          <t>ÖSTERSUND</t>
        </is>
      </c>
      <c r="G646" t="n">
        <v>2.6</v>
      </c>
      <c r="H646" t="n">
        <v>0</v>
      </c>
      <c r="I646" t="n">
        <v>0</v>
      </c>
      <c r="J646" t="n">
        <v>0</v>
      </c>
      <c r="K646" t="n">
        <v>0</v>
      </c>
      <c r="L646" t="n">
        <v>0</v>
      </c>
      <c r="M646" t="n">
        <v>0</v>
      </c>
      <c r="N646" t="n">
        <v>0</v>
      </c>
      <c r="O646" t="n">
        <v>0</v>
      </c>
      <c r="P646" t="n">
        <v>0</v>
      </c>
      <c r="Q646" t="n">
        <v>0</v>
      </c>
      <c r="R646" s="2" t="inlineStr"/>
    </row>
    <row r="647" ht="15" customHeight="1">
      <c r="A647" t="inlineStr">
        <is>
          <t>A 61653-2022</t>
        </is>
      </c>
      <c r="B647" s="1" t="n">
        <v>44916</v>
      </c>
      <c r="C647" s="1" t="n">
        <v>45995</v>
      </c>
      <c r="D647" t="inlineStr">
        <is>
          <t>JÄMTLANDS LÄN</t>
        </is>
      </c>
      <c r="E647" t="inlineStr">
        <is>
          <t>ÖSTERSUND</t>
        </is>
      </c>
      <c r="G647" t="n">
        <v>7.6</v>
      </c>
      <c r="H647" t="n">
        <v>0</v>
      </c>
      <c r="I647" t="n">
        <v>0</v>
      </c>
      <c r="J647" t="n">
        <v>0</v>
      </c>
      <c r="K647" t="n">
        <v>0</v>
      </c>
      <c r="L647" t="n">
        <v>0</v>
      </c>
      <c r="M647" t="n">
        <v>0</v>
      </c>
      <c r="N647" t="n">
        <v>0</v>
      </c>
      <c r="O647" t="n">
        <v>0</v>
      </c>
      <c r="P647" t="n">
        <v>0</v>
      </c>
      <c r="Q647" t="n">
        <v>0</v>
      </c>
      <c r="R647" s="2" t="inlineStr"/>
    </row>
    <row r="648" ht="15" customHeight="1">
      <c r="A648" t="inlineStr">
        <is>
          <t>A 12285-2022</t>
        </is>
      </c>
      <c r="B648" s="1" t="n">
        <v>44637</v>
      </c>
      <c r="C648" s="1" t="n">
        <v>45995</v>
      </c>
      <c r="D648" t="inlineStr">
        <is>
          <t>JÄMTLANDS LÄN</t>
        </is>
      </c>
      <c r="E648" t="inlineStr">
        <is>
          <t>ÖSTERSUND</t>
        </is>
      </c>
      <c r="G648" t="n">
        <v>1.4</v>
      </c>
      <c r="H648" t="n">
        <v>0</v>
      </c>
      <c r="I648" t="n">
        <v>0</v>
      </c>
      <c r="J648" t="n">
        <v>0</v>
      </c>
      <c r="K648" t="n">
        <v>0</v>
      </c>
      <c r="L648" t="n">
        <v>0</v>
      </c>
      <c r="M648" t="n">
        <v>0</v>
      </c>
      <c r="N648" t="n">
        <v>0</v>
      </c>
      <c r="O648" t="n">
        <v>0</v>
      </c>
      <c r="P648" t="n">
        <v>0</v>
      </c>
      <c r="Q648" t="n">
        <v>0</v>
      </c>
      <c r="R648" s="2" t="inlineStr"/>
    </row>
    <row r="649" ht="15" customHeight="1">
      <c r="A649" t="inlineStr">
        <is>
          <t>A 30320-2025</t>
        </is>
      </c>
      <c r="B649" s="1" t="n">
        <v>45827.49415509259</v>
      </c>
      <c r="C649" s="1" t="n">
        <v>45995</v>
      </c>
      <c r="D649" t="inlineStr">
        <is>
          <t>JÄMTLANDS LÄN</t>
        </is>
      </c>
      <c r="E649" t="inlineStr">
        <is>
          <t>ÖSTERSUND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56067-2022</t>
        </is>
      </c>
      <c r="B650" s="1" t="n">
        <v>44889.59378472222</v>
      </c>
      <c r="C650" s="1" t="n">
        <v>45995</v>
      </c>
      <c r="D650" t="inlineStr">
        <is>
          <t>JÄMTLANDS LÄN</t>
        </is>
      </c>
      <c r="E650" t="inlineStr">
        <is>
          <t>ÖSTERSUND</t>
        </is>
      </c>
      <c r="F650" t="inlineStr">
        <is>
          <t>Övriga Aktiebolag</t>
        </is>
      </c>
      <c r="G650" t="n">
        <v>1.5</v>
      </c>
      <c r="H650" t="n">
        <v>0</v>
      </c>
      <c r="I650" t="n">
        <v>0</v>
      </c>
      <c r="J650" t="n">
        <v>0</v>
      </c>
      <c r="K650" t="n">
        <v>0</v>
      </c>
      <c r="L650" t="n">
        <v>0</v>
      </c>
      <c r="M650" t="n">
        <v>0</v>
      </c>
      <c r="N650" t="n">
        <v>0</v>
      </c>
      <c r="O650" t="n">
        <v>0</v>
      </c>
      <c r="P650" t="n">
        <v>0</v>
      </c>
      <c r="Q650" t="n">
        <v>0</v>
      </c>
      <c r="R650" s="2" t="inlineStr"/>
    </row>
    <row r="651" ht="15" customHeight="1">
      <c r="A651" t="inlineStr">
        <is>
          <t>A 53802-2022</t>
        </is>
      </c>
      <c r="B651" s="1" t="n">
        <v>44875</v>
      </c>
      <c r="C651" s="1" t="n">
        <v>45995</v>
      </c>
      <c r="D651" t="inlineStr">
        <is>
          <t>JÄMTLANDS LÄN</t>
        </is>
      </c>
      <c r="E651" t="inlineStr">
        <is>
          <t>ÖSTERSUND</t>
        </is>
      </c>
      <c r="G651" t="n">
        <v>0.2</v>
      </c>
      <c r="H651" t="n">
        <v>0</v>
      </c>
      <c r="I651" t="n">
        <v>0</v>
      </c>
      <c r="J651" t="n">
        <v>0</v>
      </c>
      <c r="K651" t="n">
        <v>0</v>
      </c>
      <c r="L651" t="n">
        <v>0</v>
      </c>
      <c r="M651" t="n">
        <v>0</v>
      </c>
      <c r="N651" t="n">
        <v>0</v>
      </c>
      <c r="O651" t="n">
        <v>0</v>
      </c>
      <c r="P651" t="n">
        <v>0</v>
      </c>
      <c r="Q651" t="n">
        <v>0</v>
      </c>
      <c r="R651" s="2" t="inlineStr"/>
    </row>
    <row r="652" ht="15" customHeight="1">
      <c r="A652" t="inlineStr">
        <is>
          <t>A 30210-2025</t>
        </is>
      </c>
      <c r="B652" s="1" t="n">
        <v>45827.36590277778</v>
      </c>
      <c r="C652" s="1" t="n">
        <v>45995</v>
      </c>
      <c r="D652" t="inlineStr">
        <is>
          <t>JÄMTLANDS LÄN</t>
        </is>
      </c>
      <c r="E652" t="inlineStr">
        <is>
          <t>ÖSTERSUND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8423-2023</t>
        </is>
      </c>
      <c r="B653" s="1" t="n">
        <v>44977</v>
      </c>
      <c r="C653" s="1" t="n">
        <v>45995</v>
      </c>
      <c r="D653" t="inlineStr">
        <is>
          <t>JÄMTLANDS LÄN</t>
        </is>
      </c>
      <c r="E653" t="inlineStr">
        <is>
          <t>ÖSTERSUND</t>
        </is>
      </c>
      <c r="F653" t="inlineStr">
        <is>
          <t>Övriga Aktiebolag</t>
        </is>
      </c>
      <c r="G653" t="n">
        <v>53.1</v>
      </c>
      <c r="H653" t="n">
        <v>0</v>
      </c>
      <c r="I653" t="n">
        <v>0</v>
      </c>
      <c r="J653" t="n">
        <v>0</v>
      </c>
      <c r="K653" t="n">
        <v>0</v>
      </c>
      <c r="L653" t="n">
        <v>0</v>
      </c>
      <c r="M653" t="n">
        <v>0</v>
      </c>
      <c r="N653" t="n">
        <v>0</v>
      </c>
      <c r="O653" t="n">
        <v>0</v>
      </c>
      <c r="P653" t="n">
        <v>0</v>
      </c>
      <c r="Q653" t="n">
        <v>0</v>
      </c>
      <c r="R653" s="2" t="inlineStr"/>
    </row>
    <row r="654" ht="15" customHeight="1">
      <c r="A654" t="inlineStr">
        <is>
          <t>A 3749-2023</t>
        </is>
      </c>
      <c r="B654" s="1" t="n">
        <v>44949</v>
      </c>
      <c r="C654" s="1" t="n">
        <v>45995</v>
      </c>
      <c r="D654" t="inlineStr">
        <is>
          <t>JÄMTLANDS LÄN</t>
        </is>
      </c>
      <c r="E654" t="inlineStr">
        <is>
          <t>ÖSTERSUND</t>
        </is>
      </c>
      <c r="G654" t="n">
        <v>0.2</v>
      </c>
      <c r="H654" t="n">
        <v>0</v>
      </c>
      <c r="I654" t="n">
        <v>0</v>
      </c>
      <c r="J654" t="n">
        <v>0</v>
      </c>
      <c r="K654" t="n">
        <v>0</v>
      </c>
      <c r="L654" t="n">
        <v>0</v>
      </c>
      <c r="M654" t="n">
        <v>0</v>
      </c>
      <c r="N654" t="n">
        <v>0</v>
      </c>
      <c r="O654" t="n">
        <v>0</v>
      </c>
      <c r="P654" t="n">
        <v>0</v>
      </c>
      <c r="Q654" t="n">
        <v>0</v>
      </c>
      <c r="R654" s="2" t="inlineStr"/>
    </row>
    <row r="655" ht="15" customHeight="1">
      <c r="A655" t="inlineStr">
        <is>
          <t>A 32279-2025</t>
        </is>
      </c>
      <c r="B655" s="1" t="n">
        <v>45835.67109953704</v>
      </c>
      <c r="C655" s="1" t="n">
        <v>45995</v>
      </c>
      <c r="D655" t="inlineStr">
        <is>
          <t>JÄMTLANDS LÄN</t>
        </is>
      </c>
      <c r="E655" t="inlineStr">
        <is>
          <t>ÖSTERSUND</t>
        </is>
      </c>
      <c r="G655" t="n">
        <v>3.5</v>
      </c>
      <c r="H655" t="n">
        <v>0</v>
      </c>
      <c r="I655" t="n">
        <v>0</v>
      </c>
      <c r="J655" t="n">
        <v>0</v>
      </c>
      <c r="K655" t="n">
        <v>0</v>
      </c>
      <c r="L655" t="n">
        <v>0</v>
      </c>
      <c r="M655" t="n">
        <v>0</v>
      </c>
      <c r="N655" t="n">
        <v>0</v>
      </c>
      <c r="O655" t="n">
        <v>0</v>
      </c>
      <c r="P655" t="n">
        <v>0</v>
      </c>
      <c r="Q655" t="n">
        <v>0</v>
      </c>
      <c r="R655" s="2" t="inlineStr"/>
    </row>
    <row r="656" ht="15" customHeight="1">
      <c r="A656" t="inlineStr">
        <is>
          <t>A 32353-2025</t>
        </is>
      </c>
      <c r="B656" s="1" t="n">
        <v>45837.51741898148</v>
      </c>
      <c r="C656" s="1" t="n">
        <v>45995</v>
      </c>
      <c r="D656" t="inlineStr">
        <is>
          <t>JÄMTLANDS LÄN</t>
        </is>
      </c>
      <c r="E656" t="inlineStr">
        <is>
          <t>ÖSTERSUND</t>
        </is>
      </c>
      <c r="F656" t="inlineStr">
        <is>
          <t>Övriga Aktiebolag</t>
        </is>
      </c>
      <c r="G656" t="n">
        <v>4.8</v>
      </c>
      <c r="H656" t="n">
        <v>0</v>
      </c>
      <c r="I656" t="n">
        <v>0</v>
      </c>
      <c r="J656" t="n">
        <v>0</v>
      </c>
      <c r="K656" t="n">
        <v>0</v>
      </c>
      <c r="L656" t="n">
        <v>0</v>
      </c>
      <c r="M656" t="n">
        <v>0</v>
      </c>
      <c r="N656" t="n">
        <v>0</v>
      </c>
      <c r="O656" t="n">
        <v>0</v>
      </c>
      <c r="P656" t="n">
        <v>0</v>
      </c>
      <c r="Q656" t="n">
        <v>0</v>
      </c>
      <c r="R656" s="2" t="inlineStr"/>
    </row>
    <row r="657" ht="15" customHeight="1">
      <c r="A657" t="inlineStr">
        <is>
          <t>A 55678-2023</t>
        </is>
      </c>
      <c r="B657" s="1" t="n">
        <v>45239.33032407407</v>
      </c>
      <c r="C657" s="1" t="n">
        <v>45995</v>
      </c>
      <c r="D657" t="inlineStr">
        <is>
          <t>JÄMTLANDS LÄN</t>
        </is>
      </c>
      <c r="E657" t="inlineStr">
        <is>
          <t>ÖSTERSUND</t>
        </is>
      </c>
      <c r="F657" t="inlineStr">
        <is>
          <t>Övriga Aktiebolag</t>
        </is>
      </c>
      <c r="G657" t="n">
        <v>0.6</v>
      </c>
      <c r="H657" t="n">
        <v>0</v>
      </c>
      <c r="I657" t="n">
        <v>0</v>
      </c>
      <c r="J657" t="n">
        <v>0</v>
      </c>
      <c r="K657" t="n">
        <v>0</v>
      </c>
      <c r="L657" t="n">
        <v>0</v>
      </c>
      <c r="M657" t="n">
        <v>0</v>
      </c>
      <c r="N657" t="n">
        <v>0</v>
      </c>
      <c r="O657" t="n">
        <v>0</v>
      </c>
      <c r="P657" t="n">
        <v>0</v>
      </c>
      <c r="Q657" t="n">
        <v>0</v>
      </c>
      <c r="R657" s="2" t="inlineStr"/>
    </row>
    <row r="658" ht="15" customHeight="1">
      <c r="A658" t="inlineStr">
        <is>
          <t>A 32358-2025</t>
        </is>
      </c>
      <c r="B658" s="1" t="n">
        <v>45837.57481481481</v>
      </c>
      <c r="C658" s="1" t="n">
        <v>45995</v>
      </c>
      <c r="D658" t="inlineStr">
        <is>
          <t>JÄMTLANDS LÄN</t>
        </is>
      </c>
      <c r="E658" t="inlineStr">
        <is>
          <t>ÖSTERSUND</t>
        </is>
      </c>
      <c r="F658" t="inlineStr">
        <is>
          <t>Övriga Aktiebolag</t>
        </is>
      </c>
      <c r="G658" t="n">
        <v>4.8</v>
      </c>
      <c r="H658" t="n">
        <v>0</v>
      </c>
      <c r="I658" t="n">
        <v>0</v>
      </c>
      <c r="J658" t="n">
        <v>0</v>
      </c>
      <c r="K658" t="n">
        <v>0</v>
      </c>
      <c r="L658" t="n">
        <v>0</v>
      </c>
      <c r="M658" t="n">
        <v>0</v>
      </c>
      <c r="N658" t="n">
        <v>0</v>
      </c>
      <c r="O658" t="n">
        <v>0</v>
      </c>
      <c r="P658" t="n">
        <v>0</v>
      </c>
      <c r="Q658" t="n">
        <v>0</v>
      </c>
      <c r="R658" s="2" t="inlineStr"/>
    </row>
    <row r="659" ht="15" customHeight="1">
      <c r="A659" t="inlineStr">
        <is>
          <t>A 32369-2025</t>
        </is>
      </c>
      <c r="B659" s="1" t="n">
        <v>45837.67381944445</v>
      </c>
      <c r="C659" s="1" t="n">
        <v>45995</v>
      </c>
      <c r="D659" t="inlineStr">
        <is>
          <t>JÄMTLANDS LÄN</t>
        </is>
      </c>
      <c r="E659" t="inlineStr">
        <is>
          <t>ÖSTERSUND</t>
        </is>
      </c>
      <c r="F659" t="inlineStr">
        <is>
          <t>Övriga Aktiebolag</t>
        </is>
      </c>
      <c r="G659" t="n">
        <v>5.7</v>
      </c>
      <c r="H659" t="n">
        <v>0</v>
      </c>
      <c r="I659" t="n">
        <v>0</v>
      </c>
      <c r="J659" t="n">
        <v>0</v>
      </c>
      <c r="K659" t="n">
        <v>0</v>
      </c>
      <c r="L659" t="n">
        <v>0</v>
      </c>
      <c r="M659" t="n">
        <v>0</v>
      </c>
      <c r="N659" t="n">
        <v>0</v>
      </c>
      <c r="O659" t="n">
        <v>0</v>
      </c>
      <c r="P659" t="n">
        <v>0</v>
      </c>
      <c r="Q659" t="n">
        <v>0</v>
      </c>
      <c r="R659" s="2" t="inlineStr"/>
    </row>
    <row r="660" ht="15" customHeight="1">
      <c r="A660" t="inlineStr">
        <is>
          <t>A 23563-2022</t>
        </is>
      </c>
      <c r="B660" s="1" t="n">
        <v>44721.47241898148</v>
      </c>
      <c r="C660" s="1" t="n">
        <v>45995</v>
      </c>
      <c r="D660" t="inlineStr">
        <is>
          <t>JÄMTLANDS LÄN</t>
        </is>
      </c>
      <c r="E660" t="inlineStr">
        <is>
          <t>ÖSTERSUND</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53380-2023</t>
        </is>
      </c>
      <c r="B661" s="1" t="n">
        <v>45223</v>
      </c>
      <c r="C661" s="1" t="n">
        <v>45995</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32368-2025</t>
        </is>
      </c>
      <c r="B662" s="1" t="n">
        <v>45837.66230324074</v>
      </c>
      <c r="C662" s="1" t="n">
        <v>45995</v>
      </c>
      <c r="D662" t="inlineStr">
        <is>
          <t>JÄMTLANDS LÄN</t>
        </is>
      </c>
      <c r="E662" t="inlineStr">
        <is>
          <t>ÖSTERSUND</t>
        </is>
      </c>
      <c r="F662" t="inlineStr">
        <is>
          <t>Övriga Aktiebolag</t>
        </is>
      </c>
      <c r="G662" t="n">
        <v>19.5</v>
      </c>
      <c r="H662" t="n">
        <v>0</v>
      </c>
      <c r="I662" t="n">
        <v>0</v>
      </c>
      <c r="J662" t="n">
        <v>0</v>
      </c>
      <c r="K662" t="n">
        <v>0</v>
      </c>
      <c r="L662" t="n">
        <v>0</v>
      </c>
      <c r="M662" t="n">
        <v>0</v>
      </c>
      <c r="N662" t="n">
        <v>0</v>
      </c>
      <c r="O662" t="n">
        <v>0</v>
      </c>
      <c r="P662" t="n">
        <v>0</v>
      </c>
      <c r="Q662" t="n">
        <v>0</v>
      </c>
      <c r="R662" s="2" t="inlineStr"/>
    </row>
    <row r="663" ht="15" customHeight="1">
      <c r="A663" t="inlineStr">
        <is>
          <t>A 32071-2025</t>
        </is>
      </c>
      <c r="B663" s="1" t="n">
        <v>45835.4491087963</v>
      </c>
      <c r="C663" s="1" t="n">
        <v>45995</v>
      </c>
      <c r="D663" t="inlineStr">
        <is>
          <t>JÄMTLANDS LÄN</t>
        </is>
      </c>
      <c r="E663" t="inlineStr">
        <is>
          <t>ÖSTERSUND</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64645-2021</t>
        </is>
      </c>
      <c r="B664" s="1" t="n">
        <v>44511.94629629629</v>
      </c>
      <c r="C664" s="1" t="n">
        <v>45995</v>
      </c>
      <c r="D664" t="inlineStr">
        <is>
          <t>JÄMTLANDS LÄN</t>
        </is>
      </c>
      <c r="E664" t="inlineStr">
        <is>
          <t>ÖSTERSUND</t>
        </is>
      </c>
      <c r="G664" t="n">
        <v>3.2</v>
      </c>
      <c r="H664" t="n">
        <v>0</v>
      </c>
      <c r="I664" t="n">
        <v>0</v>
      </c>
      <c r="J664" t="n">
        <v>0</v>
      </c>
      <c r="K664" t="n">
        <v>0</v>
      </c>
      <c r="L664" t="n">
        <v>0</v>
      </c>
      <c r="M664" t="n">
        <v>0</v>
      </c>
      <c r="N664" t="n">
        <v>0</v>
      </c>
      <c r="O664" t="n">
        <v>0</v>
      </c>
      <c r="P664" t="n">
        <v>0</v>
      </c>
      <c r="Q664" t="n">
        <v>0</v>
      </c>
      <c r="R664" s="2" t="inlineStr"/>
    </row>
    <row r="665" ht="15" customHeight="1">
      <c r="A665" t="inlineStr">
        <is>
          <t>A 54913-2024</t>
        </is>
      </c>
      <c r="B665" s="1" t="n">
        <v>45618.6917824074</v>
      </c>
      <c r="C665" s="1" t="n">
        <v>45995</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50218-2024</t>
        </is>
      </c>
      <c r="B666" s="1" t="n">
        <v>45600.53160879629</v>
      </c>
      <c r="C666" s="1" t="n">
        <v>45995</v>
      </c>
      <c r="D666" t="inlineStr">
        <is>
          <t>JÄMTLANDS LÄN</t>
        </is>
      </c>
      <c r="E666" t="inlineStr">
        <is>
          <t>ÖSTERSUND</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33358-2025</t>
        </is>
      </c>
      <c r="B667" s="1" t="n">
        <v>45841.38054398148</v>
      </c>
      <c r="C667" s="1" t="n">
        <v>45995</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30602-2023</t>
        </is>
      </c>
      <c r="B668" s="1" t="n">
        <v>45112</v>
      </c>
      <c r="C668" s="1" t="n">
        <v>45995</v>
      </c>
      <c r="D668" t="inlineStr">
        <is>
          <t>JÄMTLANDS LÄN</t>
        </is>
      </c>
      <c r="E668" t="inlineStr">
        <is>
          <t>ÖSTERSUND</t>
        </is>
      </c>
      <c r="G668" t="n">
        <v>0.5</v>
      </c>
      <c r="H668" t="n">
        <v>0</v>
      </c>
      <c r="I668" t="n">
        <v>0</v>
      </c>
      <c r="J668" t="n">
        <v>0</v>
      </c>
      <c r="K668" t="n">
        <v>0</v>
      </c>
      <c r="L668" t="n">
        <v>0</v>
      </c>
      <c r="M668" t="n">
        <v>0</v>
      </c>
      <c r="N668" t="n">
        <v>0</v>
      </c>
      <c r="O668" t="n">
        <v>0</v>
      </c>
      <c r="P668" t="n">
        <v>0</v>
      </c>
      <c r="Q668" t="n">
        <v>0</v>
      </c>
      <c r="R668" s="2" t="inlineStr"/>
    </row>
    <row r="669" ht="15" customHeight="1">
      <c r="A669" t="inlineStr">
        <is>
          <t>A 1893-2023</t>
        </is>
      </c>
      <c r="B669" s="1" t="n">
        <v>44937</v>
      </c>
      <c r="C669" s="1" t="n">
        <v>45995</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17574-2022</t>
        </is>
      </c>
      <c r="B670" s="1" t="n">
        <v>44679.92574074074</v>
      </c>
      <c r="C670" s="1" t="n">
        <v>45995</v>
      </c>
      <c r="D670" t="inlineStr">
        <is>
          <t>JÄMTLANDS LÄN</t>
        </is>
      </c>
      <c r="E670" t="inlineStr">
        <is>
          <t>ÖSTERSUND</t>
        </is>
      </c>
      <c r="G670" t="n">
        <v>0.8</v>
      </c>
      <c r="H670" t="n">
        <v>0</v>
      </c>
      <c r="I670" t="n">
        <v>0</v>
      </c>
      <c r="J670" t="n">
        <v>0</v>
      </c>
      <c r="K670" t="n">
        <v>0</v>
      </c>
      <c r="L670" t="n">
        <v>0</v>
      </c>
      <c r="M670" t="n">
        <v>0</v>
      </c>
      <c r="N670" t="n">
        <v>0</v>
      </c>
      <c r="O670" t="n">
        <v>0</v>
      </c>
      <c r="P670" t="n">
        <v>0</v>
      </c>
      <c r="Q670" t="n">
        <v>0</v>
      </c>
      <c r="R670" s="2" t="inlineStr"/>
    </row>
    <row r="671" ht="15" customHeight="1">
      <c r="A671" t="inlineStr">
        <is>
          <t>A 10305-2023</t>
        </is>
      </c>
      <c r="B671" s="1" t="n">
        <v>44986</v>
      </c>
      <c r="C671" s="1" t="n">
        <v>45995</v>
      </c>
      <c r="D671" t="inlineStr">
        <is>
          <t>JÄMTLANDS LÄN</t>
        </is>
      </c>
      <c r="E671" t="inlineStr">
        <is>
          <t>ÖSTERSUND</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7573-2022</t>
        </is>
      </c>
      <c r="B672" s="1" t="n">
        <v>44607</v>
      </c>
      <c r="C672" s="1" t="n">
        <v>45995</v>
      </c>
      <c r="D672" t="inlineStr">
        <is>
          <t>JÄMTLANDS LÄN</t>
        </is>
      </c>
      <c r="E672" t="inlineStr">
        <is>
          <t>ÖSTERSUND</t>
        </is>
      </c>
      <c r="G672" t="n">
        <v>0.5</v>
      </c>
      <c r="H672" t="n">
        <v>0</v>
      </c>
      <c r="I672" t="n">
        <v>0</v>
      </c>
      <c r="J672" t="n">
        <v>0</v>
      </c>
      <c r="K672" t="n">
        <v>0</v>
      </c>
      <c r="L672" t="n">
        <v>0</v>
      </c>
      <c r="M672" t="n">
        <v>0</v>
      </c>
      <c r="N672" t="n">
        <v>0</v>
      </c>
      <c r="O672" t="n">
        <v>0</v>
      </c>
      <c r="P672" t="n">
        <v>0</v>
      </c>
      <c r="Q672" t="n">
        <v>0</v>
      </c>
      <c r="R672" s="2" t="inlineStr"/>
    </row>
    <row r="673" ht="15" customHeight="1">
      <c r="A673" t="inlineStr">
        <is>
          <t>A 27343-2022</t>
        </is>
      </c>
      <c r="B673" s="1" t="n">
        <v>44742</v>
      </c>
      <c r="C673" s="1" t="n">
        <v>45995</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43557-2024</t>
        </is>
      </c>
      <c r="B674" s="1" t="n">
        <v>45569.39229166666</v>
      </c>
      <c r="C674" s="1" t="n">
        <v>45995</v>
      </c>
      <c r="D674" t="inlineStr">
        <is>
          <t>JÄMTLANDS LÄN</t>
        </is>
      </c>
      <c r="E674" t="inlineStr">
        <is>
          <t>ÖSTERSUND</t>
        </is>
      </c>
      <c r="G674" t="n">
        <v>3.6</v>
      </c>
      <c r="H674" t="n">
        <v>0</v>
      </c>
      <c r="I674" t="n">
        <v>0</v>
      </c>
      <c r="J674" t="n">
        <v>0</v>
      </c>
      <c r="K674" t="n">
        <v>0</v>
      </c>
      <c r="L674" t="n">
        <v>0</v>
      </c>
      <c r="M674" t="n">
        <v>0</v>
      </c>
      <c r="N674" t="n">
        <v>0</v>
      </c>
      <c r="O674" t="n">
        <v>0</v>
      </c>
      <c r="P674" t="n">
        <v>0</v>
      </c>
      <c r="Q674" t="n">
        <v>0</v>
      </c>
      <c r="R674" s="2" t="inlineStr"/>
    </row>
    <row r="675" ht="15" customHeight="1">
      <c r="A675" t="inlineStr">
        <is>
          <t>A 34331-2025</t>
        </is>
      </c>
      <c r="B675" s="1" t="n">
        <v>45846.44827546296</v>
      </c>
      <c r="C675" s="1" t="n">
        <v>45995</v>
      </c>
      <c r="D675" t="inlineStr">
        <is>
          <t>JÄMTLANDS LÄN</t>
        </is>
      </c>
      <c r="E675" t="inlineStr">
        <is>
          <t>ÖSTERSUND</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34490-2025</t>
        </is>
      </c>
      <c r="B676" s="1" t="n">
        <v>45847.40722222222</v>
      </c>
      <c r="C676" s="1" t="n">
        <v>45995</v>
      </c>
      <c r="D676" t="inlineStr">
        <is>
          <t>JÄMTLANDS LÄN</t>
        </is>
      </c>
      <c r="E676" t="inlineStr">
        <is>
          <t>ÖSTERSUND</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36406-2023</t>
        </is>
      </c>
      <c r="B677" s="1" t="n">
        <v>45149</v>
      </c>
      <c r="C677" s="1" t="n">
        <v>45995</v>
      </c>
      <c r="D677" t="inlineStr">
        <is>
          <t>JÄMTLANDS LÄN</t>
        </is>
      </c>
      <c r="E677" t="inlineStr">
        <is>
          <t>ÖSTERSUND</t>
        </is>
      </c>
      <c r="G677" t="n">
        <v>2.4</v>
      </c>
      <c r="H677" t="n">
        <v>0</v>
      </c>
      <c r="I677" t="n">
        <v>0</v>
      </c>
      <c r="J677" t="n">
        <v>0</v>
      </c>
      <c r="K677" t="n">
        <v>0</v>
      </c>
      <c r="L677" t="n">
        <v>0</v>
      </c>
      <c r="M677" t="n">
        <v>0</v>
      </c>
      <c r="N677" t="n">
        <v>0</v>
      </c>
      <c r="O677" t="n">
        <v>0</v>
      </c>
      <c r="P677" t="n">
        <v>0</v>
      </c>
      <c r="Q677" t="n">
        <v>0</v>
      </c>
      <c r="R677" s="2" t="inlineStr"/>
    </row>
    <row r="678" ht="15" customHeight="1">
      <c r="A678" t="inlineStr">
        <is>
          <t>A 59691-2024</t>
        </is>
      </c>
      <c r="B678" s="1" t="n">
        <v>45639.40684027778</v>
      </c>
      <c r="C678" s="1" t="n">
        <v>45995</v>
      </c>
      <c r="D678" t="inlineStr">
        <is>
          <t>JÄMTLANDS LÄN</t>
        </is>
      </c>
      <c r="E678" t="inlineStr">
        <is>
          <t>ÖSTERSUND</t>
        </is>
      </c>
      <c r="F678" t="inlineStr">
        <is>
          <t>SCA</t>
        </is>
      </c>
      <c r="G678" t="n">
        <v>15.9</v>
      </c>
      <c r="H678" t="n">
        <v>0</v>
      </c>
      <c r="I678" t="n">
        <v>0</v>
      </c>
      <c r="J678" t="n">
        <v>0</v>
      </c>
      <c r="K678" t="n">
        <v>0</v>
      </c>
      <c r="L678" t="n">
        <v>0</v>
      </c>
      <c r="M678" t="n">
        <v>0</v>
      </c>
      <c r="N678" t="n">
        <v>0</v>
      </c>
      <c r="O678" t="n">
        <v>0</v>
      </c>
      <c r="P678" t="n">
        <v>0</v>
      </c>
      <c r="Q678" t="n">
        <v>0</v>
      </c>
      <c r="R678" s="2" t="inlineStr"/>
    </row>
    <row r="679" ht="15" customHeight="1">
      <c r="A679" t="inlineStr">
        <is>
          <t>A 34589-2025</t>
        </is>
      </c>
      <c r="B679" s="1" t="n">
        <v>45847.61561342593</v>
      </c>
      <c r="C679" s="1" t="n">
        <v>45995</v>
      </c>
      <c r="D679" t="inlineStr">
        <is>
          <t>JÄMTLANDS LÄN</t>
        </is>
      </c>
      <c r="E679" t="inlineStr">
        <is>
          <t>ÖSTERSUND</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34587-2025</t>
        </is>
      </c>
      <c r="B680" s="1" t="n">
        <v>45847.61533564814</v>
      </c>
      <c r="C680" s="1" t="n">
        <v>45995</v>
      </c>
      <c r="D680" t="inlineStr">
        <is>
          <t>JÄMTLANDS LÄN</t>
        </is>
      </c>
      <c r="E680" t="inlineStr">
        <is>
          <t>ÖSTERSUND</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12998-2025</t>
        </is>
      </c>
      <c r="B681" s="1" t="n">
        <v>45734.48991898148</v>
      </c>
      <c r="C681" s="1" t="n">
        <v>45995</v>
      </c>
      <c r="D681" t="inlineStr">
        <is>
          <t>JÄMTLANDS LÄN</t>
        </is>
      </c>
      <c r="E681" t="inlineStr">
        <is>
          <t>ÖSTERSUND</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32225-2024</t>
        </is>
      </c>
      <c r="B682" s="1" t="n">
        <v>45511.92825231481</v>
      </c>
      <c r="C682" s="1" t="n">
        <v>45995</v>
      </c>
      <c r="D682" t="inlineStr">
        <is>
          <t>JÄMTLANDS LÄN</t>
        </is>
      </c>
      <c r="E682" t="inlineStr">
        <is>
          <t>ÖSTERSUND</t>
        </is>
      </c>
      <c r="G682" t="n">
        <v>2</v>
      </c>
      <c r="H682" t="n">
        <v>0</v>
      </c>
      <c r="I682" t="n">
        <v>0</v>
      </c>
      <c r="J682" t="n">
        <v>0</v>
      </c>
      <c r="K682" t="n">
        <v>0</v>
      </c>
      <c r="L682" t="n">
        <v>0</v>
      </c>
      <c r="M682" t="n">
        <v>0</v>
      </c>
      <c r="N682" t="n">
        <v>0</v>
      </c>
      <c r="O682" t="n">
        <v>0</v>
      </c>
      <c r="P682" t="n">
        <v>0</v>
      </c>
      <c r="Q682" t="n">
        <v>0</v>
      </c>
      <c r="R682" s="2" t="inlineStr"/>
    </row>
    <row r="683" ht="15" customHeight="1">
      <c r="A683" t="inlineStr">
        <is>
          <t>A 25228-2025</t>
        </is>
      </c>
      <c r="B683" s="1" t="n">
        <v>45800.48368055555</v>
      </c>
      <c r="C683" s="1" t="n">
        <v>45995</v>
      </c>
      <c r="D683" t="inlineStr">
        <is>
          <t>JÄMTLANDS LÄN</t>
        </is>
      </c>
      <c r="E683" t="inlineStr">
        <is>
          <t>ÖSTERSUND</t>
        </is>
      </c>
      <c r="G683" t="n">
        <v>1.6</v>
      </c>
      <c r="H683" t="n">
        <v>0</v>
      </c>
      <c r="I683" t="n">
        <v>0</v>
      </c>
      <c r="J683" t="n">
        <v>0</v>
      </c>
      <c r="K683" t="n">
        <v>0</v>
      </c>
      <c r="L683" t="n">
        <v>0</v>
      </c>
      <c r="M683" t="n">
        <v>0</v>
      </c>
      <c r="N683" t="n">
        <v>0</v>
      </c>
      <c r="O683" t="n">
        <v>0</v>
      </c>
      <c r="P683" t="n">
        <v>0</v>
      </c>
      <c r="Q683" t="n">
        <v>0</v>
      </c>
      <c r="R683" s="2" t="inlineStr"/>
    </row>
    <row r="684" ht="15" customHeight="1">
      <c r="A684" t="inlineStr">
        <is>
          <t>A 34923-2025</t>
        </is>
      </c>
      <c r="B684" s="1" t="n">
        <v>45849.55601851852</v>
      </c>
      <c r="C684" s="1" t="n">
        <v>45995</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36098-2025</t>
        </is>
      </c>
      <c r="B685" s="1" t="n">
        <v>45866.50549768518</v>
      </c>
      <c r="C685" s="1" t="n">
        <v>45995</v>
      </c>
      <c r="D685" t="inlineStr">
        <is>
          <t>JÄMTLANDS LÄN</t>
        </is>
      </c>
      <c r="E685" t="inlineStr">
        <is>
          <t>ÖSTERSUND</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26586-2025</t>
        </is>
      </c>
      <c r="B686" s="1" t="n">
        <v>45807.74140046296</v>
      </c>
      <c r="C686" s="1" t="n">
        <v>45995</v>
      </c>
      <c r="D686" t="inlineStr">
        <is>
          <t>JÄMTLANDS LÄN</t>
        </is>
      </c>
      <c r="E686" t="inlineStr">
        <is>
          <t>ÖSTERSUND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36211-2025</t>
        </is>
      </c>
      <c r="B687" s="1" t="n">
        <v>45867.46946759259</v>
      </c>
      <c r="C687" s="1" t="n">
        <v>45995</v>
      </c>
      <c r="D687" t="inlineStr">
        <is>
          <t>JÄMTLANDS LÄN</t>
        </is>
      </c>
      <c r="E687" t="inlineStr">
        <is>
          <t>ÖSTERSUND</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36566-2025</t>
        </is>
      </c>
      <c r="B688" s="1" t="n">
        <v>45869</v>
      </c>
      <c r="C688" s="1" t="n">
        <v>45995</v>
      </c>
      <c r="D688" t="inlineStr">
        <is>
          <t>JÄMTLANDS LÄN</t>
        </is>
      </c>
      <c r="E688" t="inlineStr">
        <is>
          <t>ÖSTERSUND</t>
        </is>
      </c>
      <c r="F688" t="inlineStr">
        <is>
          <t>Sveaskog</t>
        </is>
      </c>
      <c r="G688" t="n">
        <v>6.9</v>
      </c>
      <c r="H688" t="n">
        <v>0</v>
      </c>
      <c r="I688" t="n">
        <v>0</v>
      </c>
      <c r="J688" t="n">
        <v>0</v>
      </c>
      <c r="K688" t="n">
        <v>0</v>
      </c>
      <c r="L688" t="n">
        <v>0</v>
      </c>
      <c r="M688" t="n">
        <v>0</v>
      </c>
      <c r="N688" t="n">
        <v>0</v>
      </c>
      <c r="O688" t="n">
        <v>0</v>
      </c>
      <c r="P688" t="n">
        <v>0</v>
      </c>
      <c r="Q688" t="n">
        <v>0</v>
      </c>
      <c r="R688" s="2" t="inlineStr"/>
    </row>
    <row r="689">
      <c r="A689" t="inlineStr">
        <is>
          <t>A 37085-2025</t>
        </is>
      </c>
      <c r="B689" s="1" t="n">
        <v>45875.44840277778</v>
      </c>
      <c r="C689" s="1" t="n">
        <v>45995</v>
      </c>
      <c r="D689" t="inlineStr">
        <is>
          <t>JÄMTLANDS LÄN</t>
        </is>
      </c>
      <c r="E689" t="inlineStr">
        <is>
          <t>ÖSTERSUND</t>
        </is>
      </c>
      <c r="G689" t="n">
        <v>5.5</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2025-12-04T10:25:44Z</dcterms:created>
  <dcterms:modified xmlns:dcterms="http://purl.org/dc/terms/" xmlns:xsi="http://www.w3.org/2001/XMLSchema-instance" xsi:type="dcterms:W3CDTF">2025-12-04T10:25:45Z</dcterms:modified>
</cp:coreProperties>
</file>