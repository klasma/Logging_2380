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45630</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45630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45630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45630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45630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45630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45630</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45630</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45630</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45630</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45630</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45630</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45630</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45630</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45630</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45630</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45630</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45630</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45630</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45630</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45630</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45630</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45630</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45630</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45630</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45630</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45630</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45630</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45630</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45630</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45630</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45630</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45630</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45630</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45630</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45630</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45630</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45630</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45630</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45630</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45630</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45630</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45630</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45630</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45630</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45630</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45630</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45630</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45630</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45630</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45630</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45630</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45630</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45630</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45630</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45630</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45630</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45630</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45630</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45630</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45630</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45630</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45630</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45630</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45630</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45630</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45630</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45630</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45630</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45630</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45630</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45630</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45630</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45630</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45630</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45630</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45630</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45630</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45630</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45630</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45630</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45630</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45630</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45630</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45630</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45630</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45630</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45630</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45630</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45630</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45630</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45630</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45630</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45630</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45630</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45630</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45630</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45630</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45630</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45630</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45630</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45630</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45630</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45630</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45630</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45630</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45630</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45630</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45630</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45630</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45630</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45630</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45630</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45630</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45630</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45630</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45630</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45630</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45630</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45630</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45630</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45630</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45630</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45630</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45630</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45630</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45630</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45630</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45630</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45630</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45630</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45630</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45630</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45630</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45630</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45630</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45630</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45630</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45630</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45630</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45630</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45630</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45630</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45630</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45630</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45630</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45630</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45630</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45630</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45630</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45630</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45630</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45630</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45630</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45630</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45630</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45630</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45630</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45630</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45630</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45630</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45630</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45630</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45630</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45630</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45630</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45630</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45630</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45630</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45630</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45630</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45630</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45630</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45630</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45630</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57065-2024</t>
        </is>
      </c>
      <c r="B177" s="1" t="n">
        <v>45629</v>
      </c>
      <c r="C177" s="1" t="n">
        <v>45630</v>
      </c>
      <c r="D177" t="inlineStr">
        <is>
          <t>JÄMTLANDS LÄN</t>
        </is>
      </c>
      <c r="E177" t="inlineStr">
        <is>
          <t>ÖSTERSUND</t>
        </is>
      </c>
      <c r="F177" t="inlineStr">
        <is>
          <t>SCA</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57065-2024 artfynd.xlsx", "A 57065-2024")</f>
        <v/>
      </c>
      <c r="T177">
        <f>HYPERLINK("https://klasma.github.io/Logging_2380/kartor/A 57065-2024 karta.png", "A 57065-2024")</f>
        <v/>
      </c>
      <c r="V177">
        <f>HYPERLINK("https://klasma.github.io/Logging_2380/klagomål/A 57065-2024 FSC-klagomål.docx", "A 57065-2024")</f>
        <v/>
      </c>
      <c r="W177">
        <f>HYPERLINK("https://klasma.github.io/Logging_2380/klagomålsmail/A 57065-2024 FSC-klagomål mail.docx", "A 57065-2024")</f>
        <v/>
      </c>
      <c r="X177">
        <f>HYPERLINK("https://klasma.github.io/Logging_2380/tillsyn/A 57065-2024 tillsynsbegäran.docx", "A 57065-2024")</f>
        <v/>
      </c>
      <c r="Y177">
        <f>HYPERLINK("https://klasma.github.io/Logging_2380/tillsynsmail/A 57065-2024 tillsynsbegäran mail.docx", "A 57065-2024")</f>
        <v/>
      </c>
      <c r="Z177">
        <f>HYPERLINK("https://klasma.github.io/Logging_2380/fåglar/A 57065-2024 prioriterade fågelarter.docx", "A 57065-2024")</f>
        <v/>
      </c>
    </row>
    <row r="178" ht="15" customHeight="1">
      <c r="A178" t="inlineStr">
        <is>
          <t>A 20319-2019</t>
        </is>
      </c>
      <c r="B178" s="1" t="n">
        <v>43571</v>
      </c>
      <c r="C178" s="1" t="n">
        <v>45630</v>
      </c>
      <c r="D178" t="inlineStr">
        <is>
          <t>JÄMTLANDS LÄN</t>
        </is>
      </c>
      <c r="E178" t="inlineStr">
        <is>
          <t>ÖSTERSUND</t>
        </is>
      </c>
      <c r="G178" t="n">
        <v>1.3</v>
      </c>
      <c r="H178" t="n">
        <v>0</v>
      </c>
      <c r="I178" t="n">
        <v>0</v>
      </c>
      <c r="J178" t="n">
        <v>0</v>
      </c>
      <c r="K178" t="n">
        <v>0</v>
      </c>
      <c r="L178" t="n">
        <v>0</v>
      </c>
      <c r="M178" t="n">
        <v>0</v>
      </c>
      <c r="N178" t="n">
        <v>0</v>
      </c>
      <c r="O178" t="n">
        <v>0</v>
      </c>
      <c r="P178" t="n">
        <v>0</v>
      </c>
      <c r="Q178" t="n">
        <v>0</v>
      </c>
      <c r="R178" s="2" t="inlineStr"/>
    </row>
    <row r="179" ht="15" customHeight="1">
      <c r="A179" t="inlineStr">
        <is>
          <t>A 21727-2019</t>
        </is>
      </c>
      <c r="B179" s="1" t="n">
        <v>43581</v>
      </c>
      <c r="C179" s="1" t="n">
        <v>45630</v>
      </c>
      <c r="D179" t="inlineStr">
        <is>
          <t>JÄMTLANDS LÄN</t>
        </is>
      </c>
      <c r="E179" t="inlineStr">
        <is>
          <t>ÖSTERSUND</t>
        </is>
      </c>
      <c r="G179" t="n">
        <v>0.8</v>
      </c>
      <c r="H179" t="n">
        <v>0</v>
      </c>
      <c r="I179" t="n">
        <v>0</v>
      </c>
      <c r="J179" t="n">
        <v>0</v>
      </c>
      <c r="K179" t="n">
        <v>0</v>
      </c>
      <c r="L179" t="n">
        <v>0</v>
      </c>
      <c r="M179" t="n">
        <v>0</v>
      </c>
      <c r="N179" t="n">
        <v>0</v>
      </c>
      <c r="O179" t="n">
        <v>0</v>
      </c>
      <c r="P179" t="n">
        <v>0</v>
      </c>
      <c r="Q179" t="n">
        <v>0</v>
      </c>
      <c r="R179" s="2" t="inlineStr"/>
    </row>
    <row r="180" ht="15" customHeight="1">
      <c r="A180" t="inlineStr">
        <is>
          <t>A 21793-2019</t>
        </is>
      </c>
      <c r="B180" s="1" t="n">
        <v>43581</v>
      </c>
      <c r="C180" s="1" t="n">
        <v>45630</v>
      </c>
      <c r="D180" t="inlineStr">
        <is>
          <t>JÄMTLANDS LÄN</t>
        </is>
      </c>
      <c r="E180" t="inlineStr">
        <is>
          <t>ÖSTERSUND</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22119-2019</t>
        </is>
      </c>
      <c r="B181" s="1" t="n">
        <v>43584</v>
      </c>
      <c r="C181" s="1" t="n">
        <v>45630</v>
      </c>
      <c r="D181" t="inlineStr">
        <is>
          <t>JÄMTLANDS LÄN</t>
        </is>
      </c>
      <c r="E181" t="inlineStr">
        <is>
          <t>ÖSTERSUND</t>
        </is>
      </c>
      <c r="G181" t="n">
        <v>7</v>
      </c>
      <c r="H181" t="n">
        <v>0</v>
      </c>
      <c r="I181" t="n">
        <v>0</v>
      </c>
      <c r="J181" t="n">
        <v>0</v>
      </c>
      <c r="K181" t="n">
        <v>0</v>
      </c>
      <c r="L181" t="n">
        <v>0</v>
      </c>
      <c r="M181" t="n">
        <v>0</v>
      </c>
      <c r="N181" t="n">
        <v>0</v>
      </c>
      <c r="O181" t="n">
        <v>0</v>
      </c>
      <c r="P181" t="n">
        <v>0</v>
      </c>
      <c r="Q181" t="n">
        <v>0</v>
      </c>
      <c r="R181" s="2" t="inlineStr"/>
    </row>
    <row r="182" ht="15" customHeight="1">
      <c r="A182" t="inlineStr">
        <is>
          <t>A 22115-2019</t>
        </is>
      </c>
      <c r="B182" s="1" t="n">
        <v>43584</v>
      </c>
      <c r="C182" s="1" t="n">
        <v>45630</v>
      </c>
      <c r="D182" t="inlineStr">
        <is>
          <t>JÄMTLANDS LÄN</t>
        </is>
      </c>
      <c r="E182" t="inlineStr">
        <is>
          <t>ÖSTERSUND</t>
        </is>
      </c>
      <c r="G182" t="n">
        <v>15.1</v>
      </c>
      <c r="H182" t="n">
        <v>0</v>
      </c>
      <c r="I182" t="n">
        <v>0</v>
      </c>
      <c r="J182" t="n">
        <v>0</v>
      </c>
      <c r="K182" t="n">
        <v>0</v>
      </c>
      <c r="L182" t="n">
        <v>0</v>
      </c>
      <c r="M182" t="n">
        <v>0</v>
      </c>
      <c r="N182" t="n">
        <v>0</v>
      </c>
      <c r="O182" t="n">
        <v>0</v>
      </c>
      <c r="P182" t="n">
        <v>0</v>
      </c>
      <c r="Q182" t="n">
        <v>0</v>
      </c>
      <c r="R182" s="2" t="inlineStr"/>
      <c r="U182">
        <f>HYPERLINK("https://klasma.github.io/Logging_2380/knärot/A 22115-2019 karta knärot.png", "A 22115-2019")</f>
        <v/>
      </c>
      <c r="V182">
        <f>HYPERLINK("https://klasma.github.io/Logging_2380/klagomål/A 22115-2019 FSC-klagomål.docx", "A 22115-2019")</f>
        <v/>
      </c>
      <c r="W182">
        <f>HYPERLINK("https://klasma.github.io/Logging_2380/klagomålsmail/A 22115-2019 FSC-klagomål mail.docx", "A 22115-2019")</f>
        <v/>
      </c>
      <c r="X182">
        <f>HYPERLINK("https://klasma.github.io/Logging_2380/tillsyn/A 22115-2019 tillsynsbegäran.docx", "A 22115-2019")</f>
        <v/>
      </c>
      <c r="Y182">
        <f>HYPERLINK("https://klasma.github.io/Logging_2380/tillsynsmail/A 22115-2019 tillsynsbegäran mail.docx", "A 22115-2019")</f>
        <v/>
      </c>
    </row>
    <row r="183" ht="15" customHeight="1">
      <c r="A183" t="inlineStr">
        <is>
          <t>A 23609-2019</t>
        </is>
      </c>
      <c r="B183" s="1" t="n">
        <v>43594</v>
      </c>
      <c r="C183" s="1" t="n">
        <v>45630</v>
      </c>
      <c r="D183" t="inlineStr">
        <is>
          <t>JÄMTLANDS LÄN</t>
        </is>
      </c>
      <c r="E183" t="inlineStr">
        <is>
          <t>ÖSTERSUND</t>
        </is>
      </c>
      <c r="G183" t="n">
        <v>2.5</v>
      </c>
      <c r="H183" t="n">
        <v>0</v>
      </c>
      <c r="I183" t="n">
        <v>0</v>
      </c>
      <c r="J183" t="n">
        <v>0</v>
      </c>
      <c r="K183" t="n">
        <v>0</v>
      </c>
      <c r="L183" t="n">
        <v>0</v>
      </c>
      <c r="M183" t="n">
        <v>0</v>
      </c>
      <c r="N183" t="n">
        <v>0</v>
      </c>
      <c r="O183" t="n">
        <v>0</v>
      </c>
      <c r="P183" t="n">
        <v>0</v>
      </c>
      <c r="Q183" t="n">
        <v>0</v>
      </c>
      <c r="R183" s="2" t="inlineStr"/>
    </row>
    <row r="184" ht="15" customHeight="1">
      <c r="A184" t="inlineStr">
        <is>
          <t>A 23940-2019</t>
        </is>
      </c>
      <c r="B184" s="1" t="n">
        <v>43595</v>
      </c>
      <c r="C184" s="1" t="n">
        <v>45630</v>
      </c>
      <c r="D184" t="inlineStr">
        <is>
          <t>JÄMTLANDS LÄN</t>
        </is>
      </c>
      <c r="E184" t="inlineStr">
        <is>
          <t>ÖSTERSUND</t>
        </is>
      </c>
      <c r="F184" t="inlineStr">
        <is>
          <t>SCA</t>
        </is>
      </c>
      <c r="G184" t="n">
        <v>0.7</v>
      </c>
      <c r="H184" t="n">
        <v>0</v>
      </c>
      <c r="I184" t="n">
        <v>0</v>
      </c>
      <c r="J184" t="n">
        <v>0</v>
      </c>
      <c r="K184" t="n">
        <v>0</v>
      </c>
      <c r="L184" t="n">
        <v>0</v>
      </c>
      <c r="M184" t="n">
        <v>0</v>
      </c>
      <c r="N184" t="n">
        <v>0</v>
      </c>
      <c r="O184" t="n">
        <v>0</v>
      </c>
      <c r="P184" t="n">
        <v>0</v>
      </c>
      <c r="Q184" t="n">
        <v>0</v>
      </c>
      <c r="R184" s="2" t="inlineStr"/>
    </row>
    <row r="185" ht="15" customHeight="1">
      <c r="A185" t="inlineStr">
        <is>
          <t>A 25205-2019</t>
        </is>
      </c>
      <c r="B185" s="1" t="n">
        <v>43600</v>
      </c>
      <c r="C185" s="1" t="n">
        <v>45630</v>
      </c>
      <c r="D185" t="inlineStr">
        <is>
          <t>JÄMTLANDS LÄN</t>
        </is>
      </c>
      <c r="E185" t="inlineStr">
        <is>
          <t>ÖSTERSUND</t>
        </is>
      </c>
      <c r="G185" t="n">
        <v>3.8</v>
      </c>
      <c r="H185" t="n">
        <v>0</v>
      </c>
      <c r="I185" t="n">
        <v>0</v>
      </c>
      <c r="J185" t="n">
        <v>0</v>
      </c>
      <c r="K185" t="n">
        <v>0</v>
      </c>
      <c r="L185" t="n">
        <v>0</v>
      </c>
      <c r="M185" t="n">
        <v>0</v>
      </c>
      <c r="N185" t="n">
        <v>0</v>
      </c>
      <c r="O185" t="n">
        <v>0</v>
      </c>
      <c r="P185" t="n">
        <v>0</v>
      </c>
      <c r="Q185" t="n">
        <v>0</v>
      </c>
      <c r="R185" s="2" t="inlineStr"/>
    </row>
    <row r="186" ht="15" customHeight="1">
      <c r="A186" t="inlineStr">
        <is>
          <t>A 28892-2019</t>
        </is>
      </c>
      <c r="B186" s="1" t="n">
        <v>43619</v>
      </c>
      <c r="C186" s="1" t="n">
        <v>45630</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28899-2019</t>
        </is>
      </c>
      <c r="B187" s="1" t="n">
        <v>43619</v>
      </c>
      <c r="C187" s="1" t="n">
        <v>45630</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28884-2019</t>
        </is>
      </c>
      <c r="B188" s="1" t="n">
        <v>43619</v>
      </c>
      <c r="C188" s="1" t="n">
        <v>45630</v>
      </c>
      <c r="D188" t="inlineStr">
        <is>
          <t>JÄMTLANDS LÄN</t>
        </is>
      </c>
      <c r="E188" t="inlineStr">
        <is>
          <t>ÖSTERSUND</t>
        </is>
      </c>
      <c r="G188" t="n">
        <v>0.3</v>
      </c>
      <c r="H188" t="n">
        <v>0</v>
      </c>
      <c r="I188" t="n">
        <v>0</v>
      </c>
      <c r="J188" t="n">
        <v>0</v>
      </c>
      <c r="K188" t="n">
        <v>0</v>
      </c>
      <c r="L188" t="n">
        <v>0</v>
      </c>
      <c r="M188" t="n">
        <v>0</v>
      </c>
      <c r="N188" t="n">
        <v>0</v>
      </c>
      <c r="O188" t="n">
        <v>0</v>
      </c>
      <c r="P188" t="n">
        <v>0</v>
      </c>
      <c r="Q188" t="n">
        <v>0</v>
      </c>
      <c r="R188" s="2" t="inlineStr"/>
    </row>
    <row r="189" ht="15" customHeight="1">
      <c r="A189" t="inlineStr">
        <is>
          <t>A 27977-2019</t>
        </is>
      </c>
      <c r="B189" s="1" t="n">
        <v>43620</v>
      </c>
      <c r="C189" s="1" t="n">
        <v>45630</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29058-2019</t>
        </is>
      </c>
      <c r="B190" s="1" t="n">
        <v>43621</v>
      </c>
      <c r="C190" s="1" t="n">
        <v>45630</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31189-2019</t>
        </is>
      </c>
      <c r="B191" s="1" t="n">
        <v>43635</v>
      </c>
      <c r="C191" s="1" t="n">
        <v>45630</v>
      </c>
      <c r="D191" t="inlineStr">
        <is>
          <t>JÄMTLANDS LÄN</t>
        </is>
      </c>
      <c r="E191" t="inlineStr">
        <is>
          <t>ÖSTERSUND</t>
        </is>
      </c>
      <c r="G191" t="n">
        <v>5.5</v>
      </c>
      <c r="H191" t="n">
        <v>0</v>
      </c>
      <c r="I191" t="n">
        <v>0</v>
      </c>
      <c r="J191" t="n">
        <v>0</v>
      </c>
      <c r="K191" t="n">
        <v>0</v>
      </c>
      <c r="L191" t="n">
        <v>0</v>
      </c>
      <c r="M191" t="n">
        <v>0</v>
      </c>
      <c r="N191" t="n">
        <v>0</v>
      </c>
      <c r="O191" t="n">
        <v>0</v>
      </c>
      <c r="P191" t="n">
        <v>0</v>
      </c>
      <c r="Q191" t="n">
        <v>0</v>
      </c>
      <c r="R191" s="2" t="inlineStr"/>
    </row>
    <row r="192" ht="15" customHeight="1">
      <c r="A192" t="inlineStr">
        <is>
          <t>A 30940-2019</t>
        </is>
      </c>
      <c r="B192" s="1" t="n">
        <v>43637</v>
      </c>
      <c r="C192" s="1" t="n">
        <v>45630</v>
      </c>
      <c r="D192" t="inlineStr">
        <is>
          <t>JÄMTLANDS LÄN</t>
        </is>
      </c>
      <c r="E192" t="inlineStr">
        <is>
          <t>ÖSTERSUND</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30946-2019</t>
        </is>
      </c>
      <c r="B193" s="1" t="n">
        <v>43636</v>
      </c>
      <c r="C193" s="1" t="n">
        <v>45630</v>
      </c>
      <c r="D193" t="inlineStr">
        <is>
          <t>JÄMTLANDS LÄN</t>
        </is>
      </c>
      <c r="E193" t="inlineStr">
        <is>
          <t>ÖSTERSUND</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31617-2019</t>
        </is>
      </c>
      <c r="B194" s="1" t="n">
        <v>43640</v>
      </c>
      <c r="C194" s="1" t="n">
        <v>45630</v>
      </c>
      <c r="D194" t="inlineStr">
        <is>
          <t>JÄMTLANDS LÄN</t>
        </is>
      </c>
      <c r="E194" t="inlineStr">
        <is>
          <t>ÖSTERSUND</t>
        </is>
      </c>
      <c r="G194" t="n">
        <v>0.4</v>
      </c>
      <c r="H194" t="n">
        <v>0</v>
      </c>
      <c r="I194" t="n">
        <v>0</v>
      </c>
      <c r="J194" t="n">
        <v>0</v>
      </c>
      <c r="K194" t="n">
        <v>0</v>
      </c>
      <c r="L194" t="n">
        <v>0</v>
      </c>
      <c r="M194" t="n">
        <v>0</v>
      </c>
      <c r="N194" t="n">
        <v>0</v>
      </c>
      <c r="O194" t="n">
        <v>0</v>
      </c>
      <c r="P194" t="n">
        <v>0</v>
      </c>
      <c r="Q194" t="n">
        <v>0</v>
      </c>
      <c r="R194" s="2" t="inlineStr"/>
    </row>
    <row r="195" ht="15" customHeight="1">
      <c r="A195" t="inlineStr">
        <is>
          <t>A 31621-2019</t>
        </is>
      </c>
      <c r="B195" s="1" t="n">
        <v>43640</v>
      </c>
      <c r="C195" s="1" t="n">
        <v>45630</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34903-2019</t>
        </is>
      </c>
      <c r="B196" s="1" t="n">
        <v>43650</v>
      </c>
      <c r="C196" s="1" t="n">
        <v>45630</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35500-2019</t>
        </is>
      </c>
      <c r="B197" s="1" t="n">
        <v>43651</v>
      </c>
      <c r="C197" s="1" t="n">
        <v>45630</v>
      </c>
      <c r="D197" t="inlineStr">
        <is>
          <t>JÄMTLANDS LÄN</t>
        </is>
      </c>
      <c r="E197" t="inlineStr">
        <is>
          <t>ÖSTERSUND</t>
        </is>
      </c>
      <c r="F197" t="inlineStr">
        <is>
          <t>SCA</t>
        </is>
      </c>
      <c r="G197" t="n">
        <v>7</v>
      </c>
      <c r="H197" t="n">
        <v>0</v>
      </c>
      <c r="I197" t="n">
        <v>0</v>
      </c>
      <c r="J197" t="n">
        <v>0</v>
      </c>
      <c r="K197" t="n">
        <v>0</v>
      </c>
      <c r="L197" t="n">
        <v>0</v>
      </c>
      <c r="M197" t="n">
        <v>0</v>
      </c>
      <c r="N197" t="n">
        <v>0</v>
      </c>
      <c r="O197" t="n">
        <v>0</v>
      </c>
      <c r="P197" t="n">
        <v>0</v>
      </c>
      <c r="Q197" t="n">
        <v>0</v>
      </c>
      <c r="R197" s="2" t="inlineStr"/>
    </row>
    <row r="198" ht="15" customHeight="1">
      <c r="A198" t="inlineStr">
        <is>
          <t>A 35535-2019</t>
        </is>
      </c>
      <c r="B198" s="1" t="n">
        <v>43654</v>
      </c>
      <c r="C198" s="1" t="n">
        <v>45630</v>
      </c>
      <c r="D198" t="inlineStr">
        <is>
          <t>JÄMTLANDS LÄN</t>
        </is>
      </c>
      <c r="E198" t="inlineStr">
        <is>
          <t>ÖSTERSUND</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34109-2019</t>
        </is>
      </c>
      <c r="B199" s="1" t="n">
        <v>43654</v>
      </c>
      <c r="C199" s="1" t="n">
        <v>45630</v>
      </c>
      <c r="D199" t="inlineStr">
        <is>
          <t>JÄMTLANDS LÄN</t>
        </is>
      </c>
      <c r="E199" t="inlineStr">
        <is>
          <t>ÖSTERSUND</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34246-2019</t>
        </is>
      </c>
      <c r="B200" s="1" t="n">
        <v>43655</v>
      </c>
      <c r="C200" s="1" t="n">
        <v>45630</v>
      </c>
      <c r="D200" t="inlineStr">
        <is>
          <t>JÄMTLANDS LÄN</t>
        </is>
      </c>
      <c r="E200" t="inlineStr">
        <is>
          <t>ÖSTERSUND</t>
        </is>
      </c>
      <c r="G200" t="n">
        <v>0.8</v>
      </c>
      <c r="H200" t="n">
        <v>0</v>
      </c>
      <c r="I200" t="n">
        <v>0</v>
      </c>
      <c r="J200" t="n">
        <v>0</v>
      </c>
      <c r="K200" t="n">
        <v>0</v>
      </c>
      <c r="L200" t="n">
        <v>0</v>
      </c>
      <c r="M200" t="n">
        <v>0</v>
      </c>
      <c r="N200" t="n">
        <v>0</v>
      </c>
      <c r="O200" t="n">
        <v>0</v>
      </c>
      <c r="P200" t="n">
        <v>0</v>
      </c>
      <c r="Q200" t="n">
        <v>0</v>
      </c>
      <c r="R200" s="2" t="inlineStr"/>
    </row>
    <row r="201" ht="15" customHeight="1">
      <c r="A201" t="inlineStr">
        <is>
          <t>A 35678-2019</t>
        </is>
      </c>
      <c r="B201" s="1" t="n">
        <v>43656</v>
      </c>
      <c r="C201" s="1" t="n">
        <v>45630</v>
      </c>
      <c r="D201" t="inlineStr">
        <is>
          <t>JÄMTLANDS LÄN</t>
        </is>
      </c>
      <c r="E201" t="inlineStr">
        <is>
          <t>ÖSTERSUND</t>
        </is>
      </c>
      <c r="G201" t="n">
        <v>2.9</v>
      </c>
      <c r="H201" t="n">
        <v>0</v>
      </c>
      <c r="I201" t="n">
        <v>0</v>
      </c>
      <c r="J201" t="n">
        <v>0</v>
      </c>
      <c r="K201" t="n">
        <v>0</v>
      </c>
      <c r="L201" t="n">
        <v>0</v>
      </c>
      <c r="M201" t="n">
        <v>0</v>
      </c>
      <c r="N201" t="n">
        <v>0</v>
      </c>
      <c r="O201" t="n">
        <v>0</v>
      </c>
      <c r="P201" t="n">
        <v>0</v>
      </c>
      <c r="Q201" t="n">
        <v>0</v>
      </c>
      <c r="R201" s="2" t="inlineStr"/>
    </row>
    <row r="202" ht="15" customHeight="1">
      <c r="A202" t="inlineStr">
        <is>
          <t>A 35688-2019</t>
        </is>
      </c>
      <c r="B202" s="1" t="n">
        <v>43656</v>
      </c>
      <c r="C202" s="1" t="n">
        <v>45630</v>
      </c>
      <c r="D202" t="inlineStr">
        <is>
          <t>JÄMTLANDS LÄN</t>
        </is>
      </c>
      <c r="E202" t="inlineStr">
        <is>
          <t>ÖSTERSUND</t>
        </is>
      </c>
      <c r="G202" t="n">
        <v>12.6</v>
      </c>
      <c r="H202" t="n">
        <v>0</v>
      </c>
      <c r="I202" t="n">
        <v>0</v>
      </c>
      <c r="J202" t="n">
        <v>0</v>
      </c>
      <c r="K202" t="n">
        <v>0</v>
      </c>
      <c r="L202" t="n">
        <v>0</v>
      </c>
      <c r="M202" t="n">
        <v>0</v>
      </c>
      <c r="N202" t="n">
        <v>0</v>
      </c>
      <c r="O202" t="n">
        <v>0</v>
      </c>
      <c r="P202" t="n">
        <v>0</v>
      </c>
      <c r="Q202" t="n">
        <v>0</v>
      </c>
      <c r="R202" s="2" t="inlineStr"/>
    </row>
    <row r="203" ht="15" customHeight="1">
      <c r="A203" t="inlineStr">
        <is>
          <t>A 36003-2019</t>
        </is>
      </c>
      <c r="B203" s="1" t="n">
        <v>43657</v>
      </c>
      <c r="C203" s="1" t="n">
        <v>45630</v>
      </c>
      <c r="D203" t="inlineStr">
        <is>
          <t>JÄMTLANDS LÄN</t>
        </is>
      </c>
      <c r="E203" t="inlineStr">
        <is>
          <t>ÖSTERSUND</t>
        </is>
      </c>
      <c r="G203" t="n">
        <v>1</v>
      </c>
      <c r="H203" t="n">
        <v>0</v>
      </c>
      <c r="I203" t="n">
        <v>0</v>
      </c>
      <c r="J203" t="n">
        <v>0</v>
      </c>
      <c r="K203" t="n">
        <v>0</v>
      </c>
      <c r="L203" t="n">
        <v>0</v>
      </c>
      <c r="M203" t="n">
        <v>0</v>
      </c>
      <c r="N203" t="n">
        <v>0</v>
      </c>
      <c r="O203" t="n">
        <v>0</v>
      </c>
      <c r="P203" t="n">
        <v>0</v>
      </c>
      <c r="Q203" t="n">
        <v>0</v>
      </c>
      <c r="R203" s="2" t="inlineStr"/>
    </row>
    <row r="204" ht="15" customHeight="1">
      <c r="A204" t="inlineStr">
        <is>
          <t>A 36652-2019</t>
        </is>
      </c>
      <c r="B204" s="1" t="n">
        <v>43670</v>
      </c>
      <c r="C204" s="1" t="n">
        <v>45630</v>
      </c>
      <c r="D204" t="inlineStr">
        <is>
          <t>JÄMTLANDS LÄN</t>
        </is>
      </c>
      <c r="E204" t="inlineStr">
        <is>
          <t>ÖSTERSUND</t>
        </is>
      </c>
      <c r="G204" t="n">
        <v>2.9</v>
      </c>
      <c r="H204" t="n">
        <v>0</v>
      </c>
      <c r="I204" t="n">
        <v>0</v>
      </c>
      <c r="J204" t="n">
        <v>0</v>
      </c>
      <c r="K204" t="n">
        <v>0</v>
      </c>
      <c r="L204" t="n">
        <v>0</v>
      </c>
      <c r="M204" t="n">
        <v>0</v>
      </c>
      <c r="N204" t="n">
        <v>0</v>
      </c>
      <c r="O204" t="n">
        <v>0</v>
      </c>
      <c r="P204" t="n">
        <v>0</v>
      </c>
      <c r="Q204" t="n">
        <v>0</v>
      </c>
      <c r="R204" s="2" t="inlineStr"/>
    </row>
    <row r="205" ht="15" customHeight="1">
      <c r="A205" t="inlineStr">
        <is>
          <t>A 37222-2019</t>
        </is>
      </c>
      <c r="B205" s="1" t="n">
        <v>43676</v>
      </c>
      <c r="C205" s="1" t="n">
        <v>45630</v>
      </c>
      <c r="D205" t="inlineStr">
        <is>
          <t>JÄMTLANDS LÄN</t>
        </is>
      </c>
      <c r="E205" t="inlineStr">
        <is>
          <t>ÖSTERSUND</t>
        </is>
      </c>
      <c r="G205" t="n">
        <v>2.4</v>
      </c>
      <c r="H205" t="n">
        <v>0</v>
      </c>
      <c r="I205" t="n">
        <v>0</v>
      </c>
      <c r="J205" t="n">
        <v>0</v>
      </c>
      <c r="K205" t="n">
        <v>0</v>
      </c>
      <c r="L205" t="n">
        <v>0</v>
      </c>
      <c r="M205" t="n">
        <v>0</v>
      </c>
      <c r="N205" t="n">
        <v>0</v>
      </c>
      <c r="O205" t="n">
        <v>0</v>
      </c>
      <c r="P205" t="n">
        <v>0</v>
      </c>
      <c r="Q205" t="n">
        <v>0</v>
      </c>
      <c r="R205" s="2" t="inlineStr"/>
    </row>
    <row r="206" ht="15" customHeight="1">
      <c r="A206" t="inlineStr">
        <is>
          <t>A 38662-2019</t>
        </is>
      </c>
      <c r="B206" s="1" t="n">
        <v>43684</v>
      </c>
      <c r="C206" s="1" t="n">
        <v>45630</v>
      </c>
      <c r="D206" t="inlineStr">
        <is>
          <t>JÄMTLANDS LÄN</t>
        </is>
      </c>
      <c r="E206" t="inlineStr">
        <is>
          <t>ÖSTERSUND</t>
        </is>
      </c>
      <c r="G206" t="n">
        <v>2.2</v>
      </c>
      <c r="H206" t="n">
        <v>0</v>
      </c>
      <c r="I206" t="n">
        <v>0</v>
      </c>
      <c r="J206" t="n">
        <v>0</v>
      </c>
      <c r="K206" t="n">
        <v>0</v>
      </c>
      <c r="L206" t="n">
        <v>0</v>
      </c>
      <c r="M206" t="n">
        <v>0</v>
      </c>
      <c r="N206" t="n">
        <v>0</v>
      </c>
      <c r="O206" t="n">
        <v>0</v>
      </c>
      <c r="P206" t="n">
        <v>0</v>
      </c>
      <c r="Q206" t="n">
        <v>0</v>
      </c>
      <c r="R206" s="2" t="inlineStr"/>
    </row>
    <row r="207" ht="15" customHeight="1">
      <c r="A207" t="inlineStr">
        <is>
          <t>A 39459-2019</t>
        </is>
      </c>
      <c r="B207" s="1" t="n">
        <v>43686</v>
      </c>
      <c r="C207" s="1" t="n">
        <v>45630</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40530-2019</t>
        </is>
      </c>
      <c r="B208" s="1" t="n">
        <v>43696</v>
      </c>
      <c r="C208" s="1" t="n">
        <v>45630</v>
      </c>
      <c r="D208" t="inlineStr">
        <is>
          <t>JÄMTLANDS LÄN</t>
        </is>
      </c>
      <c r="E208" t="inlineStr">
        <is>
          <t>ÖSTERSUND</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41364-2019</t>
        </is>
      </c>
      <c r="B209" s="1" t="n">
        <v>43696</v>
      </c>
      <c r="C209" s="1" t="n">
        <v>45630</v>
      </c>
      <c r="D209" t="inlineStr">
        <is>
          <t>JÄMTLANDS LÄN</t>
        </is>
      </c>
      <c r="E209" t="inlineStr">
        <is>
          <t>ÖSTERSUND</t>
        </is>
      </c>
      <c r="G209" t="n">
        <v>1.2</v>
      </c>
      <c r="H209" t="n">
        <v>0</v>
      </c>
      <c r="I209" t="n">
        <v>0</v>
      </c>
      <c r="J209" t="n">
        <v>0</v>
      </c>
      <c r="K209" t="n">
        <v>0</v>
      </c>
      <c r="L209" t="n">
        <v>0</v>
      </c>
      <c r="M209" t="n">
        <v>0</v>
      </c>
      <c r="N209" t="n">
        <v>0</v>
      </c>
      <c r="O209" t="n">
        <v>0</v>
      </c>
      <c r="P209" t="n">
        <v>0</v>
      </c>
      <c r="Q209" t="n">
        <v>0</v>
      </c>
      <c r="R209" s="2" t="inlineStr"/>
    </row>
    <row r="210" ht="15" customHeight="1">
      <c r="A210" t="inlineStr">
        <is>
          <t>A 40531-2019</t>
        </is>
      </c>
      <c r="B210" s="1" t="n">
        <v>43696</v>
      </c>
      <c r="C210" s="1" t="n">
        <v>45630</v>
      </c>
      <c r="D210" t="inlineStr">
        <is>
          <t>JÄMTLANDS LÄN</t>
        </is>
      </c>
      <c r="E210" t="inlineStr">
        <is>
          <t>ÖSTERSUND</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41556-2019</t>
        </is>
      </c>
      <c r="B211" s="1" t="n">
        <v>43696</v>
      </c>
      <c r="C211" s="1" t="n">
        <v>45630</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41588-2019</t>
        </is>
      </c>
      <c r="B212" s="1" t="n">
        <v>43699</v>
      </c>
      <c r="C212" s="1" t="n">
        <v>45630</v>
      </c>
      <c r="D212" t="inlineStr">
        <is>
          <t>JÄMTLANDS LÄN</t>
        </is>
      </c>
      <c r="E212" t="inlineStr">
        <is>
          <t>ÖSTERSUND</t>
        </is>
      </c>
      <c r="G212" t="n">
        <v>26.7</v>
      </c>
      <c r="H212" t="n">
        <v>0</v>
      </c>
      <c r="I212" t="n">
        <v>0</v>
      </c>
      <c r="J212" t="n">
        <v>0</v>
      </c>
      <c r="K212" t="n">
        <v>0</v>
      </c>
      <c r="L212" t="n">
        <v>0</v>
      </c>
      <c r="M212" t="n">
        <v>0</v>
      </c>
      <c r="N212" t="n">
        <v>0</v>
      </c>
      <c r="O212" t="n">
        <v>0</v>
      </c>
      <c r="P212" t="n">
        <v>0</v>
      </c>
      <c r="Q212" t="n">
        <v>0</v>
      </c>
      <c r="R212" s="2" t="inlineStr"/>
    </row>
    <row r="213" ht="15" customHeight="1">
      <c r="A213" t="inlineStr">
        <is>
          <t>A 43249-2019</t>
        </is>
      </c>
      <c r="B213" s="1" t="n">
        <v>43703</v>
      </c>
      <c r="C213" s="1" t="n">
        <v>45630</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43425-2019</t>
        </is>
      </c>
      <c r="B214" s="1" t="n">
        <v>43703</v>
      </c>
      <c r="C214" s="1" t="n">
        <v>45630</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46346-2019</t>
        </is>
      </c>
      <c r="B215" s="1" t="n">
        <v>43718</v>
      </c>
      <c r="C215" s="1" t="n">
        <v>45630</v>
      </c>
      <c r="D215" t="inlineStr">
        <is>
          <t>JÄMTLANDS LÄN</t>
        </is>
      </c>
      <c r="E215" t="inlineStr">
        <is>
          <t>ÖSTERSUND</t>
        </is>
      </c>
      <c r="F215" t="inlineStr">
        <is>
          <t>SCA</t>
        </is>
      </c>
      <c r="G215" t="n">
        <v>6.5</v>
      </c>
      <c r="H215" t="n">
        <v>0</v>
      </c>
      <c r="I215" t="n">
        <v>0</v>
      </c>
      <c r="J215" t="n">
        <v>0</v>
      </c>
      <c r="K215" t="n">
        <v>0</v>
      </c>
      <c r="L215" t="n">
        <v>0</v>
      </c>
      <c r="M215" t="n">
        <v>0</v>
      </c>
      <c r="N215" t="n">
        <v>0</v>
      </c>
      <c r="O215" t="n">
        <v>0</v>
      </c>
      <c r="P215" t="n">
        <v>0</v>
      </c>
      <c r="Q215" t="n">
        <v>0</v>
      </c>
      <c r="R215" s="2" t="inlineStr"/>
    </row>
    <row r="216" ht="15" customHeight="1">
      <c r="A216" t="inlineStr">
        <is>
          <t>A 47810-2019</t>
        </is>
      </c>
      <c r="B216" s="1" t="n">
        <v>43724</v>
      </c>
      <c r="C216" s="1" t="n">
        <v>45630</v>
      </c>
      <c r="D216" t="inlineStr">
        <is>
          <t>JÄMTLANDS LÄN</t>
        </is>
      </c>
      <c r="E216" t="inlineStr">
        <is>
          <t>ÖSTERSUND</t>
        </is>
      </c>
      <c r="F216" t="inlineStr">
        <is>
          <t>SCA</t>
        </is>
      </c>
      <c r="G216" t="n">
        <v>0.5</v>
      </c>
      <c r="H216" t="n">
        <v>0</v>
      </c>
      <c r="I216" t="n">
        <v>0</v>
      </c>
      <c r="J216" t="n">
        <v>0</v>
      </c>
      <c r="K216" t="n">
        <v>0</v>
      </c>
      <c r="L216" t="n">
        <v>0</v>
      </c>
      <c r="M216" t="n">
        <v>0</v>
      </c>
      <c r="N216" t="n">
        <v>0</v>
      </c>
      <c r="O216" t="n">
        <v>0</v>
      </c>
      <c r="P216" t="n">
        <v>0</v>
      </c>
      <c r="Q216" t="n">
        <v>0</v>
      </c>
      <c r="R216" s="2" t="inlineStr"/>
    </row>
    <row r="217" ht="15" customHeight="1">
      <c r="A217" t="inlineStr">
        <is>
          <t>A 48115-2019</t>
        </is>
      </c>
      <c r="B217" s="1" t="n">
        <v>43725</v>
      </c>
      <c r="C217" s="1" t="n">
        <v>45630</v>
      </c>
      <c r="D217" t="inlineStr">
        <is>
          <t>JÄMTLANDS LÄN</t>
        </is>
      </c>
      <c r="E217" t="inlineStr">
        <is>
          <t>ÖSTERSUND</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48680-2019</t>
        </is>
      </c>
      <c r="B218" s="1" t="n">
        <v>43727</v>
      </c>
      <c r="C218" s="1" t="n">
        <v>45630</v>
      </c>
      <c r="D218" t="inlineStr">
        <is>
          <t>JÄMTLANDS LÄN</t>
        </is>
      </c>
      <c r="E218" t="inlineStr">
        <is>
          <t>ÖSTERSUND</t>
        </is>
      </c>
      <c r="G218" t="n">
        <v>3</v>
      </c>
      <c r="H218" t="n">
        <v>0</v>
      </c>
      <c r="I218" t="n">
        <v>0</v>
      </c>
      <c r="J218" t="n">
        <v>0</v>
      </c>
      <c r="K218" t="n">
        <v>0</v>
      </c>
      <c r="L218" t="n">
        <v>0</v>
      </c>
      <c r="M218" t="n">
        <v>0</v>
      </c>
      <c r="N218" t="n">
        <v>0</v>
      </c>
      <c r="O218" t="n">
        <v>0</v>
      </c>
      <c r="P218" t="n">
        <v>0</v>
      </c>
      <c r="Q218" t="n">
        <v>0</v>
      </c>
      <c r="R218" s="2" t="inlineStr"/>
    </row>
    <row r="219" ht="15" customHeight="1">
      <c r="A219" t="inlineStr">
        <is>
          <t>A 49629-2019</t>
        </is>
      </c>
      <c r="B219" s="1" t="n">
        <v>43732</v>
      </c>
      <c r="C219" s="1" t="n">
        <v>45630</v>
      </c>
      <c r="D219" t="inlineStr">
        <is>
          <t>JÄMTLANDS LÄN</t>
        </is>
      </c>
      <c r="E219" t="inlineStr">
        <is>
          <t>ÖSTERSUND</t>
        </is>
      </c>
      <c r="F219" t="inlineStr">
        <is>
          <t>Övriga Aktiebolag</t>
        </is>
      </c>
      <c r="G219" t="n">
        <v>2.1</v>
      </c>
      <c r="H219" t="n">
        <v>0</v>
      </c>
      <c r="I219" t="n">
        <v>0</v>
      </c>
      <c r="J219" t="n">
        <v>0</v>
      </c>
      <c r="K219" t="n">
        <v>0</v>
      </c>
      <c r="L219" t="n">
        <v>0</v>
      </c>
      <c r="M219" t="n">
        <v>0</v>
      </c>
      <c r="N219" t="n">
        <v>0</v>
      </c>
      <c r="O219" t="n">
        <v>0</v>
      </c>
      <c r="P219" t="n">
        <v>0</v>
      </c>
      <c r="Q219" t="n">
        <v>0</v>
      </c>
      <c r="R219" s="2" t="inlineStr"/>
    </row>
    <row r="220" ht="15" customHeight="1">
      <c r="A220" t="inlineStr">
        <is>
          <t>A 51347-2019</t>
        </is>
      </c>
      <c r="B220" s="1" t="n">
        <v>43732</v>
      </c>
      <c r="C220" s="1" t="n">
        <v>45630</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49997-2019</t>
        </is>
      </c>
      <c r="B221" s="1" t="n">
        <v>43733</v>
      </c>
      <c r="C221" s="1" t="n">
        <v>45630</v>
      </c>
      <c r="D221" t="inlineStr">
        <is>
          <t>JÄMTLANDS LÄN</t>
        </is>
      </c>
      <c r="E221" t="inlineStr">
        <is>
          <t>ÖSTERSUND</t>
        </is>
      </c>
      <c r="F221" t="inlineStr">
        <is>
          <t>SCA</t>
        </is>
      </c>
      <c r="G221" t="n">
        <v>2.2</v>
      </c>
      <c r="H221" t="n">
        <v>0</v>
      </c>
      <c r="I221" t="n">
        <v>0</v>
      </c>
      <c r="J221" t="n">
        <v>0</v>
      </c>
      <c r="K221" t="n">
        <v>0</v>
      </c>
      <c r="L221" t="n">
        <v>0</v>
      </c>
      <c r="M221" t="n">
        <v>0</v>
      </c>
      <c r="N221" t="n">
        <v>0</v>
      </c>
      <c r="O221" t="n">
        <v>0</v>
      </c>
      <c r="P221" t="n">
        <v>0</v>
      </c>
      <c r="Q221" t="n">
        <v>0</v>
      </c>
      <c r="R221" s="2" t="inlineStr"/>
    </row>
    <row r="222" ht="15" customHeight="1">
      <c r="A222" t="inlineStr">
        <is>
          <t>A 50316-2019</t>
        </is>
      </c>
      <c r="B222" s="1" t="n">
        <v>43735</v>
      </c>
      <c r="C222" s="1" t="n">
        <v>45630</v>
      </c>
      <c r="D222" t="inlineStr">
        <is>
          <t>JÄMTLANDS LÄN</t>
        </is>
      </c>
      <c r="E222" t="inlineStr">
        <is>
          <t>ÖSTERSUND</t>
        </is>
      </c>
      <c r="G222" t="n">
        <v>9.5</v>
      </c>
      <c r="H222" t="n">
        <v>0</v>
      </c>
      <c r="I222" t="n">
        <v>0</v>
      </c>
      <c r="J222" t="n">
        <v>0</v>
      </c>
      <c r="K222" t="n">
        <v>0</v>
      </c>
      <c r="L222" t="n">
        <v>0</v>
      </c>
      <c r="M222" t="n">
        <v>0</v>
      </c>
      <c r="N222" t="n">
        <v>0</v>
      </c>
      <c r="O222" t="n">
        <v>0</v>
      </c>
      <c r="P222" t="n">
        <v>0</v>
      </c>
      <c r="Q222" t="n">
        <v>0</v>
      </c>
      <c r="R222" s="2" t="inlineStr"/>
    </row>
    <row r="223" ht="15" customHeight="1">
      <c r="A223" t="inlineStr">
        <is>
          <t>A 50779-2019</t>
        </is>
      </c>
      <c r="B223" s="1" t="n">
        <v>43738</v>
      </c>
      <c r="C223" s="1" t="n">
        <v>45630</v>
      </c>
      <c r="D223" t="inlineStr">
        <is>
          <t>JÄMTLANDS LÄN</t>
        </is>
      </c>
      <c r="E223" t="inlineStr">
        <is>
          <t>ÖSTERSUND</t>
        </is>
      </c>
      <c r="G223" t="n">
        <v>0.2</v>
      </c>
      <c r="H223" t="n">
        <v>0</v>
      </c>
      <c r="I223" t="n">
        <v>0</v>
      </c>
      <c r="J223" t="n">
        <v>0</v>
      </c>
      <c r="K223" t="n">
        <v>0</v>
      </c>
      <c r="L223" t="n">
        <v>0</v>
      </c>
      <c r="M223" t="n">
        <v>0</v>
      </c>
      <c r="N223" t="n">
        <v>0</v>
      </c>
      <c r="O223" t="n">
        <v>0</v>
      </c>
      <c r="P223" t="n">
        <v>0</v>
      </c>
      <c r="Q223" t="n">
        <v>0</v>
      </c>
      <c r="R223" s="2" t="inlineStr"/>
    </row>
    <row r="224" ht="15" customHeight="1">
      <c r="A224" t="inlineStr">
        <is>
          <t>A 50968-2019</t>
        </is>
      </c>
      <c r="B224" s="1" t="n">
        <v>43738</v>
      </c>
      <c r="C224" s="1" t="n">
        <v>45630</v>
      </c>
      <c r="D224" t="inlineStr">
        <is>
          <t>JÄMTLANDS LÄN</t>
        </is>
      </c>
      <c r="E224" t="inlineStr">
        <is>
          <t>ÖSTERSUND</t>
        </is>
      </c>
      <c r="F224" t="inlineStr">
        <is>
          <t>SCA</t>
        </is>
      </c>
      <c r="G224" t="n">
        <v>2.2</v>
      </c>
      <c r="H224" t="n">
        <v>0</v>
      </c>
      <c r="I224" t="n">
        <v>0</v>
      </c>
      <c r="J224" t="n">
        <v>0</v>
      </c>
      <c r="K224" t="n">
        <v>0</v>
      </c>
      <c r="L224" t="n">
        <v>0</v>
      </c>
      <c r="M224" t="n">
        <v>0</v>
      </c>
      <c r="N224" t="n">
        <v>0</v>
      </c>
      <c r="O224" t="n">
        <v>0</v>
      </c>
      <c r="P224" t="n">
        <v>0</v>
      </c>
      <c r="Q224" t="n">
        <v>0</v>
      </c>
      <c r="R224" s="2" t="inlineStr"/>
    </row>
    <row r="225" ht="15" customHeight="1">
      <c r="A225" t="inlineStr">
        <is>
          <t>A 54498-2019</t>
        </is>
      </c>
      <c r="B225" s="1" t="n">
        <v>43747</v>
      </c>
      <c r="C225" s="1" t="n">
        <v>45630</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53297-2019</t>
        </is>
      </c>
      <c r="B226" s="1" t="n">
        <v>43748</v>
      </c>
      <c r="C226" s="1" t="n">
        <v>45630</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53533-2019</t>
        </is>
      </c>
      <c r="B227" s="1" t="n">
        <v>43749</v>
      </c>
      <c r="C227" s="1" t="n">
        <v>45630</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53859-2019</t>
        </is>
      </c>
      <c r="B228" s="1" t="n">
        <v>43752</v>
      </c>
      <c r="C228" s="1" t="n">
        <v>45630</v>
      </c>
      <c r="D228" t="inlineStr">
        <is>
          <t>JÄMTLANDS LÄN</t>
        </is>
      </c>
      <c r="E228" t="inlineStr">
        <is>
          <t>ÖSTERSUND</t>
        </is>
      </c>
      <c r="F228" t="inlineStr">
        <is>
          <t>Övriga Aktiebolag</t>
        </is>
      </c>
      <c r="G228" t="n">
        <v>4.3</v>
      </c>
      <c r="H228" t="n">
        <v>0</v>
      </c>
      <c r="I228" t="n">
        <v>0</v>
      </c>
      <c r="J228" t="n">
        <v>0</v>
      </c>
      <c r="K228" t="n">
        <v>0</v>
      </c>
      <c r="L228" t="n">
        <v>0</v>
      </c>
      <c r="M228" t="n">
        <v>0</v>
      </c>
      <c r="N228" t="n">
        <v>0</v>
      </c>
      <c r="O228" t="n">
        <v>0</v>
      </c>
      <c r="P228" t="n">
        <v>0</v>
      </c>
      <c r="Q228" t="n">
        <v>0</v>
      </c>
      <c r="R228" s="2" t="inlineStr"/>
    </row>
    <row r="229" ht="15" customHeight="1">
      <c r="A229" t="inlineStr">
        <is>
          <t>A 57466-2019</t>
        </is>
      </c>
      <c r="B229" s="1" t="n">
        <v>43761</v>
      </c>
      <c r="C229" s="1" t="n">
        <v>45630</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56512-2019</t>
        </is>
      </c>
      <c r="B230" s="1" t="n">
        <v>43762</v>
      </c>
      <c r="C230" s="1" t="n">
        <v>45630</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57845-2019</t>
        </is>
      </c>
      <c r="B231" s="1" t="n">
        <v>43768</v>
      </c>
      <c r="C231" s="1" t="n">
        <v>45630</v>
      </c>
      <c r="D231" t="inlineStr">
        <is>
          <t>JÄMTLANDS LÄN</t>
        </is>
      </c>
      <c r="E231" t="inlineStr">
        <is>
          <t>ÖSTERSUND</t>
        </is>
      </c>
      <c r="G231" t="n">
        <v>3.7</v>
      </c>
      <c r="H231" t="n">
        <v>0</v>
      </c>
      <c r="I231" t="n">
        <v>0</v>
      </c>
      <c r="J231" t="n">
        <v>0</v>
      </c>
      <c r="K231" t="n">
        <v>0</v>
      </c>
      <c r="L231" t="n">
        <v>0</v>
      </c>
      <c r="M231" t="n">
        <v>0</v>
      </c>
      <c r="N231" t="n">
        <v>0</v>
      </c>
      <c r="O231" t="n">
        <v>0</v>
      </c>
      <c r="P231" t="n">
        <v>0</v>
      </c>
      <c r="Q231" t="n">
        <v>0</v>
      </c>
      <c r="R231" s="2" t="inlineStr"/>
    </row>
    <row r="232" ht="15" customHeight="1">
      <c r="A232" t="inlineStr">
        <is>
          <t>A 58216-2019</t>
        </is>
      </c>
      <c r="B232" s="1" t="n">
        <v>43770</v>
      </c>
      <c r="C232" s="1" t="n">
        <v>45630</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58210-2019</t>
        </is>
      </c>
      <c r="B233" s="1" t="n">
        <v>43770</v>
      </c>
      <c r="C233" s="1" t="n">
        <v>45630</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59437-2019</t>
        </is>
      </c>
      <c r="B234" s="1" t="n">
        <v>43773</v>
      </c>
      <c r="C234" s="1" t="n">
        <v>45630</v>
      </c>
      <c r="D234" t="inlineStr">
        <is>
          <t>JÄMTLANDS LÄN</t>
        </is>
      </c>
      <c r="E234" t="inlineStr">
        <is>
          <t>ÖSTERSUND</t>
        </is>
      </c>
      <c r="G234" t="n">
        <v>6.2</v>
      </c>
      <c r="H234" t="n">
        <v>0</v>
      </c>
      <c r="I234" t="n">
        <v>0</v>
      </c>
      <c r="J234" t="n">
        <v>0</v>
      </c>
      <c r="K234" t="n">
        <v>0</v>
      </c>
      <c r="L234" t="n">
        <v>0</v>
      </c>
      <c r="M234" t="n">
        <v>0</v>
      </c>
      <c r="N234" t="n">
        <v>0</v>
      </c>
      <c r="O234" t="n">
        <v>0</v>
      </c>
      <c r="P234" t="n">
        <v>0</v>
      </c>
      <c r="Q234" t="n">
        <v>0</v>
      </c>
      <c r="R234" s="2" t="inlineStr"/>
    </row>
    <row r="235" ht="15" customHeight="1">
      <c r="A235" t="inlineStr">
        <is>
          <t>A 60240-2019</t>
        </is>
      </c>
      <c r="B235" s="1" t="n">
        <v>43776</v>
      </c>
      <c r="C235" s="1" t="n">
        <v>45630</v>
      </c>
      <c r="D235" t="inlineStr">
        <is>
          <t>JÄMTLANDS LÄN</t>
        </is>
      </c>
      <c r="E235" t="inlineStr">
        <is>
          <t>ÖSTERSUND</t>
        </is>
      </c>
      <c r="G235" t="n">
        <v>3.9</v>
      </c>
      <c r="H235" t="n">
        <v>0</v>
      </c>
      <c r="I235" t="n">
        <v>0</v>
      </c>
      <c r="J235" t="n">
        <v>0</v>
      </c>
      <c r="K235" t="n">
        <v>0</v>
      </c>
      <c r="L235" t="n">
        <v>0</v>
      </c>
      <c r="M235" t="n">
        <v>0</v>
      </c>
      <c r="N235" t="n">
        <v>0</v>
      </c>
      <c r="O235" t="n">
        <v>0</v>
      </c>
      <c r="P235" t="n">
        <v>0</v>
      </c>
      <c r="Q235" t="n">
        <v>0</v>
      </c>
      <c r="R235" s="2" t="inlineStr"/>
    </row>
    <row r="236" ht="15" customHeight="1">
      <c r="A236" t="inlineStr">
        <is>
          <t>A 60001-2019</t>
        </is>
      </c>
      <c r="B236" s="1" t="n">
        <v>43777</v>
      </c>
      <c r="C236" s="1" t="n">
        <v>45630</v>
      </c>
      <c r="D236" t="inlineStr">
        <is>
          <t>JÄMTLANDS LÄN</t>
        </is>
      </c>
      <c r="E236" t="inlineStr">
        <is>
          <t>ÖSTERSUND</t>
        </is>
      </c>
      <c r="G236" t="n">
        <v>3.2</v>
      </c>
      <c r="H236" t="n">
        <v>0</v>
      </c>
      <c r="I236" t="n">
        <v>0</v>
      </c>
      <c r="J236" t="n">
        <v>0</v>
      </c>
      <c r="K236" t="n">
        <v>0</v>
      </c>
      <c r="L236" t="n">
        <v>0</v>
      </c>
      <c r="M236" t="n">
        <v>0</v>
      </c>
      <c r="N236" t="n">
        <v>0</v>
      </c>
      <c r="O236" t="n">
        <v>0</v>
      </c>
      <c r="P236" t="n">
        <v>0</v>
      </c>
      <c r="Q236" t="n">
        <v>0</v>
      </c>
      <c r="R236" s="2" t="inlineStr"/>
    </row>
    <row r="237" ht="15" customHeight="1">
      <c r="A237" t="inlineStr">
        <is>
          <t>A 60669-2019</t>
        </is>
      </c>
      <c r="B237" s="1" t="n">
        <v>43781</v>
      </c>
      <c r="C237" s="1" t="n">
        <v>45630</v>
      </c>
      <c r="D237" t="inlineStr">
        <is>
          <t>JÄMTLANDS LÄN</t>
        </is>
      </c>
      <c r="E237" t="inlineStr">
        <is>
          <t>ÖSTERSUND</t>
        </is>
      </c>
      <c r="G237" t="n">
        <v>3.6</v>
      </c>
      <c r="H237" t="n">
        <v>0</v>
      </c>
      <c r="I237" t="n">
        <v>0</v>
      </c>
      <c r="J237" t="n">
        <v>0</v>
      </c>
      <c r="K237" t="n">
        <v>0</v>
      </c>
      <c r="L237" t="n">
        <v>0</v>
      </c>
      <c r="M237" t="n">
        <v>0</v>
      </c>
      <c r="N237" t="n">
        <v>0</v>
      </c>
      <c r="O237" t="n">
        <v>0</v>
      </c>
      <c r="P237" t="n">
        <v>0</v>
      </c>
      <c r="Q237" t="n">
        <v>0</v>
      </c>
      <c r="R237" s="2" t="inlineStr"/>
    </row>
    <row r="238" ht="15" customHeight="1">
      <c r="A238" t="inlineStr">
        <is>
          <t>A 60604-2019</t>
        </is>
      </c>
      <c r="B238" s="1" t="n">
        <v>43781</v>
      </c>
      <c r="C238" s="1" t="n">
        <v>45630</v>
      </c>
      <c r="D238" t="inlineStr">
        <is>
          <t>JÄMTLANDS LÄN</t>
        </is>
      </c>
      <c r="E238" t="inlineStr">
        <is>
          <t>ÖSTERSUND</t>
        </is>
      </c>
      <c r="G238" t="n">
        <v>8.9</v>
      </c>
      <c r="H238" t="n">
        <v>0</v>
      </c>
      <c r="I238" t="n">
        <v>0</v>
      </c>
      <c r="J238" t="n">
        <v>0</v>
      </c>
      <c r="K238" t="n">
        <v>0</v>
      </c>
      <c r="L238" t="n">
        <v>0</v>
      </c>
      <c r="M238" t="n">
        <v>0</v>
      </c>
      <c r="N238" t="n">
        <v>0</v>
      </c>
      <c r="O238" t="n">
        <v>0</v>
      </c>
      <c r="P238" t="n">
        <v>0</v>
      </c>
      <c r="Q238" t="n">
        <v>0</v>
      </c>
      <c r="R238" s="2" t="inlineStr"/>
    </row>
    <row r="239" ht="15" customHeight="1">
      <c r="A239" t="inlineStr">
        <is>
          <t>A 62234-2019</t>
        </is>
      </c>
      <c r="B239" s="1" t="n">
        <v>43784</v>
      </c>
      <c r="C239" s="1" t="n">
        <v>45630</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62136-2019</t>
        </is>
      </c>
      <c r="B240" s="1" t="n">
        <v>43787</v>
      </c>
      <c r="C240" s="1" t="n">
        <v>45630</v>
      </c>
      <c r="D240" t="inlineStr">
        <is>
          <t>JÄMTLANDS LÄN</t>
        </is>
      </c>
      <c r="E240" t="inlineStr">
        <is>
          <t>ÖSTERSUND</t>
        </is>
      </c>
      <c r="F240" t="inlineStr">
        <is>
          <t>Övriga Aktiebolag</t>
        </is>
      </c>
      <c r="G240" t="n">
        <v>35.2</v>
      </c>
      <c r="H240" t="n">
        <v>0</v>
      </c>
      <c r="I240" t="n">
        <v>0</v>
      </c>
      <c r="J240" t="n">
        <v>0</v>
      </c>
      <c r="K240" t="n">
        <v>0</v>
      </c>
      <c r="L240" t="n">
        <v>0</v>
      </c>
      <c r="M240" t="n">
        <v>0</v>
      </c>
      <c r="N240" t="n">
        <v>0</v>
      </c>
      <c r="O240" t="n">
        <v>0</v>
      </c>
      <c r="P240" t="n">
        <v>0</v>
      </c>
      <c r="Q240" t="n">
        <v>0</v>
      </c>
      <c r="R240" s="2" t="inlineStr"/>
    </row>
    <row r="241" ht="15" customHeight="1">
      <c r="A241" t="inlineStr">
        <is>
          <t>A 64622-2019</t>
        </is>
      </c>
      <c r="B241" s="1" t="n">
        <v>43794</v>
      </c>
      <c r="C241" s="1" t="n">
        <v>45630</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65335-2019</t>
        </is>
      </c>
      <c r="B242" s="1" t="n">
        <v>43802</v>
      </c>
      <c r="C242" s="1" t="n">
        <v>45630</v>
      </c>
      <c r="D242" t="inlineStr">
        <is>
          <t>JÄMTLANDS LÄN</t>
        </is>
      </c>
      <c r="E242" t="inlineStr">
        <is>
          <t>ÖSTERSUND</t>
        </is>
      </c>
      <c r="G242" t="n">
        <v>2.8</v>
      </c>
      <c r="H242" t="n">
        <v>0</v>
      </c>
      <c r="I242" t="n">
        <v>0</v>
      </c>
      <c r="J242" t="n">
        <v>0</v>
      </c>
      <c r="K242" t="n">
        <v>0</v>
      </c>
      <c r="L242" t="n">
        <v>0</v>
      </c>
      <c r="M242" t="n">
        <v>0</v>
      </c>
      <c r="N242" t="n">
        <v>0</v>
      </c>
      <c r="O242" t="n">
        <v>0</v>
      </c>
      <c r="P242" t="n">
        <v>0</v>
      </c>
      <c r="Q242" t="n">
        <v>0</v>
      </c>
      <c r="R242" s="2" t="inlineStr"/>
    </row>
    <row r="243" ht="15" customHeight="1">
      <c r="A243" t="inlineStr">
        <is>
          <t>A 67010-2019</t>
        </is>
      </c>
      <c r="B243" s="1" t="n">
        <v>43805</v>
      </c>
      <c r="C243" s="1" t="n">
        <v>45630</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66592-2019</t>
        </is>
      </c>
      <c r="B244" s="1" t="n">
        <v>43809</v>
      </c>
      <c r="C244" s="1" t="n">
        <v>45630</v>
      </c>
      <c r="D244" t="inlineStr">
        <is>
          <t>JÄMTLANDS LÄN</t>
        </is>
      </c>
      <c r="E244" t="inlineStr">
        <is>
          <t>ÖSTERSUND</t>
        </is>
      </c>
      <c r="G244" t="n">
        <v>0.9</v>
      </c>
      <c r="H244" t="n">
        <v>0</v>
      </c>
      <c r="I244" t="n">
        <v>0</v>
      </c>
      <c r="J244" t="n">
        <v>0</v>
      </c>
      <c r="K244" t="n">
        <v>0</v>
      </c>
      <c r="L244" t="n">
        <v>0</v>
      </c>
      <c r="M244" t="n">
        <v>0</v>
      </c>
      <c r="N244" t="n">
        <v>0</v>
      </c>
      <c r="O244" t="n">
        <v>0</v>
      </c>
      <c r="P244" t="n">
        <v>0</v>
      </c>
      <c r="Q244" t="n">
        <v>0</v>
      </c>
      <c r="R244" s="2" t="inlineStr"/>
    </row>
    <row r="245" ht="15" customHeight="1">
      <c r="A245" t="inlineStr">
        <is>
          <t>A 67863-2019</t>
        </is>
      </c>
      <c r="B245" s="1" t="n">
        <v>43809</v>
      </c>
      <c r="C245" s="1" t="n">
        <v>45630</v>
      </c>
      <c r="D245" t="inlineStr">
        <is>
          <t>JÄMTLANDS LÄN</t>
        </is>
      </c>
      <c r="E245" t="inlineStr">
        <is>
          <t>ÖSTERSUND</t>
        </is>
      </c>
      <c r="G245" t="n">
        <v>2.3</v>
      </c>
      <c r="H245" t="n">
        <v>0</v>
      </c>
      <c r="I245" t="n">
        <v>0</v>
      </c>
      <c r="J245" t="n">
        <v>0</v>
      </c>
      <c r="K245" t="n">
        <v>0</v>
      </c>
      <c r="L245" t="n">
        <v>0</v>
      </c>
      <c r="M245" t="n">
        <v>0</v>
      </c>
      <c r="N245" t="n">
        <v>0</v>
      </c>
      <c r="O245" t="n">
        <v>0</v>
      </c>
      <c r="P245" t="n">
        <v>0</v>
      </c>
      <c r="Q245" t="n">
        <v>0</v>
      </c>
      <c r="R245" s="2" t="inlineStr"/>
    </row>
    <row r="246" ht="15" customHeight="1">
      <c r="A246" t="inlineStr">
        <is>
          <t>A 68238-2019</t>
        </is>
      </c>
      <c r="B246" s="1" t="n">
        <v>43817</v>
      </c>
      <c r="C246" s="1" t="n">
        <v>45630</v>
      </c>
      <c r="D246" t="inlineStr">
        <is>
          <t>JÄMTLANDS LÄN</t>
        </is>
      </c>
      <c r="E246" t="inlineStr">
        <is>
          <t>ÖSTERSUND</t>
        </is>
      </c>
      <c r="G246" t="n">
        <v>2.7</v>
      </c>
      <c r="H246" t="n">
        <v>0</v>
      </c>
      <c r="I246" t="n">
        <v>0</v>
      </c>
      <c r="J246" t="n">
        <v>0</v>
      </c>
      <c r="K246" t="n">
        <v>0</v>
      </c>
      <c r="L246" t="n">
        <v>0</v>
      </c>
      <c r="M246" t="n">
        <v>0</v>
      </c>
      <c r="N246" t="n">
        <v>0</v>
      </c>
      <c r="O246" t="n">
        <v>0</v>
      </c>
      <c r="P246" t="n">
        <v>0</v>
      </c>
      <c r="Q246" t="n">
        <v>0</v>
      </c>
      <c r="R246" s="2" t="inlineStr"/>
    </row>
    <row r="247" ht="15" customHeight="1">
      <c r="A247" t="inlineStr">
        <is>
          <t>A 745-2020</t>
        </is>
      </c>
      <c r="B247" s="1" t="n">
        <v>43838</v>
      </c>
      <c r="C247" s="1" t="n">
        <v>45630</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1088-2020</t>
        </is>
      </c>
      <c r="B248" s="1" t="n">
        <v>43840</v>
      </c>
      <c r="C248" s="1" t="n">
        <v>45630</v>
      </c>
      <c r="D248" t="inlineStr">
        <is>
          <t>JÄMTLANDS LÄN</t>
        </is>
      </c>
      <c r="E248" t="inlineStr">
        <is>
          <t>ÖSTERSUND</t>
        </is>
      </c>
      <c r="G248" t="n">
        <v>4.4</v>
      </c>
      <c r="H248" t="n">
        <v>0</v>
      </c>
      <c r="I248" t="n">
        <v>0</v>
      </c>
      <c r="J248" t="n">
        <v>0</v>
      </c>
      <c r="K248" t="n">
        <v>0</v>
      </c>
      <c r="L248" t="n">
        <v>0</v>
      </c>
      <c r="M248" t="n">
        <v>0</v>
      </c>
      <c r="N248" t="n">
        <v>0</v>
      </c>
      <c r="O248" t="n">
        <v>0</v>
      </c>
      <c r="P248" t="n">
        <v>0</v>
      </c>
      <c r="Q248" t="n">
        <v>0</v>
      </c>
      <c r="R248" s="2" t="inlineStr"/>
    </row>
    <row r="249" ht="15" customHeight="1">
      <c r="A249" t="inlineStr">
        <is>
          <t>A 1268-2020</t>
        </is>
      </c>
      <c r="B249" s="1" t="n">
        <v>43840</v>
      </c>
      <c r="C249" s="1" t="n">
        <v>45630</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1077-2020</t>
        </is>
      </c>
      <c r="B250" s="1" t="n">
        <v>43840</v>
      </c>
      <c r="C250" s="1" t="n">
        <v>45630</v>
      </c>
      <c r="D250" t="inlineStr">
        <is>
          <t>JÄMTLANDS LÄN</t>
        </is>
      </c>
      <c r="E250" t="inlineStr">
        <is>
          <t>ÖSTERSUND</t>
        </is>
      </c>
      <c r="G250" t="n">
        <v>1.6</v>
      </c>
      <c r="H250" t="n">
        <v>0</v>
      </c>
      <c r="I250" t="n">
        <v>0</v>
      </c>
      <c r="J250" t="n">
        <v>0</v>
      </c>
      <c r="K250" t="n">
        <v>0</v>
      </c>
      <c r="L250" t="n">
        <v>0</v>
      </c>
      <c r="M250" t="n">
        <v>0</v>
      </c>
      <c r="N250" t="n">
        <v>0</v>
      </c>
      <c r="O250" t="n">
        <v>0</v>
      </c>
      <c r="P250" t="n">
        <v>0</v>
      </c>
      <c r="Q250" t="n">
        <v>0</v>
      </c>
      <c r="R250" s="2" t="inlineStr"/>
    </row>
    <row r="251" ht="15" customHeight="1">
      <c r="A251" t="inlineStr">
        <is>
          <t>A 5905-2020</t>
        </is>
      </c>
      <c r="B251" s="1" t="n">
        <v>43861</v>
      </c>
      <c r="C251" s="1" t="n">
        <v>45630</v>
      </c>
      <c r="D251" t="inlineStr">
        <is>
          <t>JÄMTLANDS LÄN</t>
        </is>
      </c>
      <c r="E251" t="inlineStr">
        <is>
          <t>ÖSTERSUND</t>
        </is>
      </c>
      <c r="G251" t="n">
        <v>2.6</v>
      </c>
      <c r="H251" t="n">
        <v>0</v>
      </c>
      <c r="I251" t="n">
        <v>0</v>
      </c>
      <c r="J251" t="n">
        <v>0</v>
      </c>
      <c r="K251" t="n">
        <v>0</v>
      </c>
      <c r="L251" t="n">
        <v>0</v>
      </c>
      <c r="M251" t="n">
        <v>0</v>
      </c>
      <c r="N251" t="n">
        <v>0</v>
      </c>
      <c r="O251" t="n">
        <v>0</v>
      </c>
      <c r="P251" t="n">
        <v>0</v>
      </c>
      <c r="Q251" t="n">
        <v>0</v>
      </c>
      <c r="R251" s="2" t="inlineStr"/>
    </row>
    <row r="252" ht="15" customHeight="1">
      <c r="A252" t="inlineStr">
        <is>
          <t>A 6028-2020</t>
        </is>
      </c>
      <c r="B252" s="1" t="n">
        <v>43864</v>
      </c>
      <c r="C252" s="1" t="n">
        <v>45630</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6522-2020</t>
        </is>
      </c>
      <c r="B253" s="1" t="n">
        <v>43864</v>
      </c>
      <c r="C253" s="1" t="n">
        <v>45630</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6566-2020</t>
        </is>
      </c>
      <c r="B254" s="1" t="n">
        <v>43865</v>
      </c>
      <c r="C254" s="1" t="n">
        <v>45630</v>
      </c>
      <c r="D254" t="inlineStr">
        <is>
          <t>JÄMTLANDS LÄN</t>
        </is>
      </c>
      <c r="E254" t="inlineStr">
        <is>
          <t>ÖSTERSUND</t>
        </is>
      </c>
      <c r="G254" t="n">
        <v>2.8</v>
      </c>
      <c r="H254" t="n">
        <v>0</v>
      </c>
      <c r="I254" t="n">
        <v>0</v>
      </c>
      <c r="J254" t="n">
        <v>0</v>
      </c>
      <c r="K254" t="n">
        <v>0</v>
      </c>
      <c r="L254" t="n">
        <v>0</v>
      </c>
      <c r="M254" t="n">
        <v>0</v>
      </c>
      <c r="N254" t="n">
        <v>0</v>
      </c>
      <c r="O254" t="n">
        <v>0</v>
      </c>
      <c r="P254" t="n">
        <v>0</v>
      </c>
      <c r="Q254" t="n">
        <v>0</v>
      </c>
      <c r="R254" s="2" t="inlineStr"/>
    </row>
    <row r="255" ht="15" customHeight="1">
      <c r="A255" t="inlineStr">
        <is>
          <t>A 7255-2020</t>
        </is>
      </c>
      <c r="B255" s="1" t="n">
        <v>43871</v>
      </c>
      <c r="C255" s="1" t="n">
        <v>45630</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7570-2020</t>
        </is>
      </c>
      <c r="B256" s="1" t="n">
        <v>43871</v>
      </c>
      <c r="C256" s="1" t="n">
        <v>45630</v>
      </c>
      <c r="D256" t="inlineStr">
        <is>
          <t>JÄMTLANDS LÄN</t>
        </is>
      </c>
      <c r="E256" t="inlineStr">
        <is>
          <t>ÖSTERSUND</t>
        </is>
      </c>
      <c r="G256" t="n">
        <v>1.6</v>
      </c>
      <c r="H256" t="n">
        <v>0</v>
      </c>
      <c r="I256" t="n">
        <v>0</v>
      </c>
      <c r="J256" t="n">
        <v>0</v>
      </c>
      <c r="K256" t="n">
        <v>0</v>
      </c>
      <c r="L256" t="n">
        <v>0</v>
      </c>
      <c r="M256" t="n">
        <v>0</v>
      </c>
      <c r="N256" t="n">
        <v>0</v>
      </c>
      <c r="O256" t="n">
        <v>0</v>
      </c>
      <c r="P256" t="n">
        <v>0</v>
      </c>
      <c r="Q256" t="n">
        <v>0</v>
      </c>
      <c r="R256" s="2" t="inlineStr"/>
    </row>
    <row r="257" ht="15" customHeight="1">
      <c r="A257" t="inlineStr">
        <is>
          <t>A 8401-2020</t>
        </is>
      </c>
      <c r="B257" s="1" t="n">
        <v>43875</v>
      </c>
      <c r="C257" s="1" t="n">
        <v>45630</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11566-2020</t>
        </is>
      </c>
      <c r="B258" s="1" t="n">
        <v>43893</v>
      </c>
      <c r="C258" s="1" t="n">
        <v>45630</v>
      </c>
      <c r="D258" t="inlineStr">
        <is>
          <t>JÄMTLANDS LÄN</t>
        </is>
      </c>
      <c r="E258" t="inlineStr">
        <is>
          <t>ÖSTERSUND</t>
        </is>
      </c>
      <c r="G258" t="n">
        <v>2</v>
      </c>
      <c r="H258" t="n">
        <v>0</v>
      </c>
      <c r="I258" t="n">
        <v>0</v>
      </c>
      <c r="J258" t="n">
        <v>0</v>
      </c>
      <c r="K258" t="n">
        <v>0</v>
      </c>
      <c r="L258" t="n">
        <v>0</v>
      </c>
      <c r="M258" t="n">
        <v>0</v>
      </c>
      <c r="N258" t="n">
        <v>0</v>
      </c>
      <c r="O258" t="n">
        <v>0</v>
      </c>
      <c r="P258" t="n">
        <v>0</v>
      </c>
      <c r="Q258" t="n">
        <v>0</v>
      </c>
      <c r="R258" s="2" t="inlineStr"/>
    </row>
    <row r="259" ht="15" customHeight="1">
      <c r="A259" t="inlineStr">
        <is>
          <t>A 12202-2020</t>
        </is>
      </c>
      <c r="B259" s="1" t="n">
        <v>43895</v>
      </c>
      <c r="C259" s="1" t="n">
        <v>45630</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13264-2020</t>
        </is>
      </c>
      <c r="B260" s="1" t="n">
        <v>43901</v>
      </c>
      <c r="C260" s="1" t="n">
        <v>45630</v>
      </c>
      <c r="D260" t="inlineStr">
        <is>
          <t>JÄMTLANDS LÄN</t>
        </is>
      </c>
      <c r="E260" t="inlineStr">
        <is>
          <t>ÖSTERSUND</t>
        </is>
      </c>
      <c r="G260" t="n">
        <v>4.4</v>
      </c>
      <c r="H260" t="n">
        <v>0</v>
      </c>
      <c r="I260" t="n">
        <v>0</v>
      </c>
      <c r="J260" t="n">
        <v>0</v>
      </c>
      <c r="K260" t="n">
        <v>0</v>
      </c>
      <c r="L260" t="n">
        <v>0</v>
      </c>
      <c r="M260" t="n">
        <v>0</v>
      </c>
      <c r="N260" t="n">
        <v>0</v>
      </c>
      <c r="O260" t="n">
        <v>0</v>
      </c>
      <c r="P260" t="n">
        <v>0</v>
      </c>
      <c r="Q260" t="n">
        <v>0</v>
      </c>
      <c r="R260" s="2" t="inlineStr"/>
    </row>
    <row r="261" ht="15" customHeight="1">
      <c r="A261" t="inlineStr">
        <is>
          <t>A 14917-2020</t>
        </is>
      </c>
      <c r="B261" s="1" t="n">
        <v>43906</v>
      </c>
      <c r="C261" s="1" t="n">
        <v>45630</v>
      </c>
      <c r="D261" t="inlineStr">
        <is>
          <t>JÄMTLANDS LÄN</t>
        </is>
      </c>
      <c r="E261" t="inlineStr">
        <is>
          <t>ÖSTERSUND</t>
        </is>
      </c>
      <c r="G261" t="n">
        <v>12.9</v>
      </c>
      <c r="H261" t="n">
        <v>0</v>
      </c>
      <c r="I261" t="n">
        <v>0</v>
      </c>
      <c r="J261" t="n">
        <v>0</v>
      </c>
      <c r="K261" t="n">
        <v>0</v>
      </c>
      <c r="L261" t="n">
        <v>0</v>
      </c>
      <c r="M261" t="n">
        <v>0</v>
      </c>
      <c r="N261" t="n">
        <v>0</v>
      </c>
      <c r="O261" t="n">
        <v>0</v>
      </c>
      <c r="P261" t="n">
        <v>0</v>
      </c>
      <c r="Q261" t="n">
        <v>0</v>
      </c>
      <c r="R261" s="2" t="inlineStr"/>
    </row>
    <row r="262" ht="15" customHeight="1">
      <c r="A262" t="inlineStr">
        <is>
          <t>A 15797-2020</t>
        </is>
      </c>
      <c r="B262" s="1" t="n">
        <v>43909</v>
      </c>
      <c r="C262" s="1" t="n">
        <v>45630</v>
      </c>
      <c r="D262" t="inlineStr">
        <is>
          <t>JÄMTLANDS LÄN</t>
        </is>
      </c>
      <c r="E262" t="inlineStr">
        <is>
          <t>ÖSTERSUND</t>
        </is>
      </c>
      <c r="G262" t="n">
        <v>3.5</v>
      </c>
      <c r="H262" t="n">
        <v>0</v>
      </c>
      <c r="I262" t="n">
        <v>0</v>
      </c>
      <c r="J262" t="n">
        <v>0</v>
      </c>
      <c r="K262" t="n">
        <v>0</v>
      </c>
      <c r="L262" t="n">
        <v>0</v>
      </c>
      <c r="M262" t="n">
        <v>0</v>
      </c>
      <c r="N262" t="n">
        <v>0</v>
      </c>
      <c r="O262" t="n">
        <v>0</v>
      </c>
      <c r="P262" t="n">
        <v>0</v>
      </c>
      <c r="Q262" t="n">
        <v>0</v>
      </c>
      <c r="R262" s="2" t="inlineStr"/>
    </row>
    <row r="263" ht="15" customHeight="1">
      <c r="A263" t="inlineStr">
        <is>
          <t>A 14903-2020</t>
        </is>
      </c>
      <c r="B263" s="1" t="n">
        <v>43910</v>
      </c>
      <c r="C263" s="1" t="n">
        <v>45630</v>
      </c>
      <c r="D263" t="inlineStr">
        <is>
          <t>JÄMTLANDS LÄN</t>
        </is>
      </c>
      <c r="E263" t="inlineStr">
        <is>
          <t>ÖSTERSUND</t>
        </is>
      </c>
      <c r="F263" t="inlineStr">
        <is>
          <t>Kyrkan</t>
        </is>
      </c>
      <c r="G263" t="n">
        <v>2.3</v>
      </c>
      <c r="H263" t="n">
        <v>0</v>
      </c>
      <c r="I263" t="n">
        <v>0</v>
      </c>
      <c r="J263" t="n">
        <v>0</v>
      </c>
      <c r="K263" t="n">
        <v>0</v>
      </c>
      <c r="L263" t="n">
        <v>0</v>
      </c>
      <c r="M263" t="n">
        <v>0</v>
      </c>
      <c r="N263" t="n">
        <v>0</v>
      </c>
      <c r="O263" t="n">
        <v>0</v>
      </c>
      <c r="P263" t="n">
        <v>0</v>
      </c>
      <c r="Q263" t="n">
        <v>0</v>
      </c>
      <c r="R263" s="2" t="inlineStr"/>
    </row>
    <row r="264" ht="15" customHeight="1">
      <c r="A264" t="inlineStr">
        <is>
          <t>A 17464-2020</t>
        </is>
      </c>
      <c r="B264" s="1" t="n">
        <v>43917</v>
      </c>
      <c r="C264" s="1" t="n">
        <v>45630</v>
      </c>
      <c r="D264" t="inlineStr">
        <is>
          <t>JÄMTLANDS LÄN</t>
        </is>
      </c>
      <c r="E264" t="inlineStr">
        <is>
          <t>ÖSTERSUND</t>
        </is>
      </c>
      <c r="G264" t="n">
        <v>3.8</v>
      </c>
      <c r="H264" t="n">
        <v>0</v>
      </c>
      <c r="I264" t="n">
        <v>0</v>
      </c>
      <c r="J264" t="n">
        <v>0</v>
      </c>
      <c r="K264" t="n">
        <v>0</v>
      </c>
      <c r="L264" t="n">
        <v>0</v>
      </c>
      <c r="M264" t="n">
        <v>0</v>
      </c>
      <c r="N264" t="n">
        <v>0</v>
      </c>
      <c r="O264" t="n">
        <v>0</v>
      </c>
      <c r="P264" t="n">
        <v>0</v>
      </c>
      <c r="Q264" t="n">
        <v>0</v>
      </c>
      <c r="R264" s="2" t="inlineStr"/>
    </row>
    <row r="265" ht="15" customHeight="1">
      <c r="A265" t="inlineStr">
        <is>
          <t>A 18339-2020</t>
        </is>
      </c>
      <c r="B265" s="1" t="n">
        <v>43928</v>
      </c>
      <c r="C265" s="1" t="n">
        <v>45630</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18683-2020</t>
        </is>
      </c>
      <c r="B266" s="1" t="n">
        <v>43930</v>
      </c>
      <c r="C266" s="1" t="n">
        <v>45630</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19631-2020</t>
        </is>
      </c>
      <c r="B267" s="1" t="n">
        <v>43936</v>
      </c>
      <c r="C267" s="1" t="n">
        <v>45630</v>
      </c>
      <c r="D267" t="inlineStr">
        <is>
          <t>JÄMTLANDS LÄN</t>
        </is>
      </c>
      <c r="E267" t="inlineStr">
        <is>
          <t>ÖSTERSUND</t>
        </is>
      </c>
      <c r="G267" t="n">
        <v>5.5</v>
      </c>
      <c r="H267" t="n">
        <v>0</v>
      </c>
      <c r="I267" t="n">
        <v>0</v>
      </c>
      <c r="J267" t="n">
        <v>0</v>
      </c>
      <c r="K267" t="n">
        <v>0</v>
      </c>
      <c r="L267" t="n">
        <v>0</v>
      </c>
      <c r="M267" t="n">
        <v>0</v>
      </c>
      <c r="N267" t="n">
        <v>0</v>
      </c>
      <c r="O267" t="n">
        <v>0</v>
      </c>
      <c r="P267" t="n">
        <v>0</v>
      </c>
      <c r="Q267" t="n">
        <v>0</v>
      </c>
      <c r="R267" s="2" t="inlineStr"/>
    </row>
    <row r="268" ht="15" customHeight="1">
      <c r="A268" t="inlineStr">
        <is>
          <t>A 19923-2020</t>
        </is>
      </c>
      <c r="B268" s="1" t="n">
        <v>43943</v>
      </c>
      <c r="C268" s="1" t="n">
        <v>45630</v>
      </c>
      <c r="D268" t="inlineStr">
        <is>
          <t>JÄMTLANDS LÄN</t>
        </is>
      </c>
      <c r="E268" t="inlineStr">
        <is>
          <t>ÖSTERSUND</t>
        </is>
      </c>
      <c r="G268" t="n">
        <v>0.5</v>
      </c>
      <c r="H268" t="n">
        <v>0</v>
      </c>
      <c r="I268" t="n">
        <v>0</v>
      </c>
      <c r="J268" t="n">
        <v>0</v>
      </c>
      <c r="K268" t="n">
        <v>0</v>
      </c>
      <c r="L268" t="n">
        <v>0</v>
      </c>
      <c r="M268" t="n">
        <v>0</v>
      </c>
      <c r="N268" t="n">
        <v>0</v>
      </c>
      <c r="O268" t="n">
        <v>0</v>
      </c>
      <c r="P268" t="n">
        <v>0</v>
      </c>
      <c r="Q268" t="n">
        <v>0</v>
      </c>
      <c r="R268" s="2" t="inlineStr"/>
    </row>
    <row r="269" ht="15" customHeight="1">
      <c r="A269" t="inlineStr">
        <is>
          <t>A 20198-2020</t>
        </is>
      </c>
      <c r="B269" s="1" t="n">
        <v>43944</v>
      </c>
      <c r="C269" s="1" t="n">
        <v>45630</v>
      </c>
      <c r="D269" t="inlineStr">
        <is>
          <t>JÄMTLANDS LÄN</t>
        </is>
      </c>
      <c r="E269" t="inlineStr">
        <is>
          <t>ÖSTERSUND</t>
        </is>
      </c>
      <c r="G269" t="n">
        <v>2</v>
      </c>
      <c r="H269" t="n">
        <v>0</v>
      </c>
      <c r="I269" t="n">
        <v>0</v>
      </c>
      <c r="J269" t="n">
        <v>0</v>
      </c>
      <c r="K269" t="n">
        <v>0</v>
      </c>
      <c r="L269" t="n">
        <v>0</v>
      </c>
      <c r="M269" t="n">
        <v>0</v>
      </c>
      <c r="N269" t="n">
        <v>0</v>
      </c>
      <c r="O269" t="n">
        <v>0</v>
      </c>
      <c r="P269" t="n">
        <v>0</v>
      </c>
      <c r="Q269" t="n">
        <v>0</v>
      </c>
      <c r="R269" s="2" t="inlineStr"/>
    </row>
    <row r="270" ht="15" customHeight="1">
      <c r="A270" t="inlineStr">
        <is>
          <t>A 23507-2020</t>
        </is>
      </c>
      <c r="B270" s="1" t="n">
        <v>43969</v>
      </c>
      <c r="C270" s="1" t="n">
        <v>45630</v>
      </c>
      <c r="D270" t="inlineStr">
        <is>
          <t>JÄMTLANDS LÄN</t>
        </is>
      </c>
      <c r="E270" t="inlineStr">
        <is>
          <t>ÖSTERSUND</t>
        </is>
      </c>
      <c r="G270" t="n">
        <v>5.8</v>
      </c>
      <c r="H270" t="n">
        <v>0</v>
      </c>
      <c r="I270" t="n">
        <v>0</v>
      </c>
      <c r="J270" t="n">
        <v>0</v>
      </c>
      <c r="K270" t="n">
        <v>0</v>
      </c>
      <c r="L270" t="n">
        <v>0</v>
      </c>
      <c r="M270" t="n">
        <v>0</v>
      </c>
      <c r="N270" t="n">
        <v>0</v>
      </c>
      <c r="O270" t="n">
        <v>0</v>
      </c>
      <c r="P270" t="n">
        <v>0</v>
      </c>
      <c r="Q270" t="n">
        <v>0</v>
      </c>
      <c r="R270" s="2" t="inlineStr"/>
    </row>
    <row r="271" ht="15" customHeight="1">
      <c r="A271" t="inlineStr">
        <is>
          <t>A 23445-2020</t>
        </is>
      </c>
      <c r="B271" s="1" t="n">
        <v>43969</v>
      </c>
      <c r="C271" s="1" t="n">
        <v>45630</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24259-2020</t>
        </is>
      </c>
      <c r="B272" s="1" t="n">
        <v>43970</v>
      </c>
      <c r="C272" s="1" t="n">
        <v>45630</v>
      </c>
      <c r="D272" t="inlineStr">
        <is>
          <t>JÄMTLANDS LÄN</t>
        </is>
      </c>
      <c r="E272" t="inlineStr">
        <is>
          <t>ÖSTERSUND</t>
        </is>
      </c>
      <c r="G272" t="n">
        <v>0.6</v>
      </c>
      <c r="H272" t="n">
        <v>0</v>
      </c>
      <c r="I272" t="n">
        <v>0</v>
      </c>
      <c r="J272" t="n">
        <v>0</v>
      </c>
      <c r="K272" t="n">
        <v>0</v>
      </c>
      <c r="L272" t="n">
        <v>0</v>
      </c>
      <c r="M272" t="n">
        <v>0</v>
      </c>
      <c r="N272" t="n">
        <v>0</v>
      </c>
      <c r="O272" t="n">
        <v>0</v>
      </c>
      <c r="P272" t="n">
        <v>0</v>
      </c>
      <c r="Q272" t="n">
        <v>0</v>
      </c>
      <c r="R272" s="2" t="inlineStr"/>
    </row>
    <row r="273" ht="15" customHeight="1">
      <c r="A273" t="inlineStr">
        <is>
          <t>A 24253-2020</t>
        </is>
      </c>
      <c r="B273" s="1" t="n">
        <v>43970</v>
      </c>
      <c r="C273" s="1" t="n">
        <v>45630</v>
      </c>
      <c r="D273" t="inlineStr">
        <is>
          <t>JÄMTLANDS LÄN</t>
        </is>
      </c>
      <c r="E273" t="inlineStr">
        <is>
          <t>ÖSTERSUND</t>
        </is>
      </c>
      <c r="G273" t="n">
        <v>1.2</v>
      </c>
      <c r="H273" t="n">
        <v>0</v>
      </c>
      <c r="I273" t="n">
        <v>0</v>
      </c>
      <c r="J273" t="n">
        <v>0</v>
      </c>
      <c r="K273" t="n">
        <v>0</v>
      </c>
      <c r="L273" t="n">
        <v>0</v>
      </c>
      <c r="M273" t="n">
        <v>0</v>
      </c>
      <c r="N273" t="n">
        <v>0</v>
      </c>
      <c r="O273" t="n">
        <v>0</v>
      </c>
      <c r="P273" t="n">
        <v>0</v>
      </c>
      <c r="Q273" t="n">
        <v>0</v>
      </c>
      <c r="R273" s="2" t="inlineStr"/>
    </row>
    <row r="274" ht="15" customHeight="1">
      <c r="A274" t="inlineStr">
        <is>
          <t>A 25148-2020</t>
        </is>
      </c>
      <c r="B274" s="1" t="n">
        <v>43978</v>
      </c>
      <c r="C274" s="1" t="n">
        <v>45630</v>
      </c>
      <c r="D274" t="inlineStr">
        <is>
          <t>JÄMTLANDS LÄN</t>
        </is>
      </c>
      <c r="E274" t="inlineStr">
        <is>
          <t>ÖSTERSUND</t>
        </is>
      </c>
      <c r="G274" t="n">
        <v>0.4</v>
      </c>
      <c r="H274" t="n">
        <v>0</v>
      </c>
      <c r="I274" t="n">
        <v>0</v>
      </c>
      <c r="J274" t="n">
        <v>0</v>
      </c>
      <c r="K274" t="n">
        <v>0</v>
      </c>
      <c r="L274" t="n">
        <v>0</v>
      </c>
      <c r="M274" t="n">
        <v>0</v>
      </c>
      <c r="N274" t="n">
        <v>0</v>
      </c>
      <c r="O274" t="n">
        <v>0</v>
      </c>
      <c r="P274" t="n">
        <v>0</v>
      </c>
      <c r="Q274" t="n">
        <v>0</v>
      </c>
      <c r="R274" s="2" t="inlineStr"/>
    </row>
    <row r="275" ht="15" customHeight="1">
      <c r="A275" t="inlineStr">
        <is>
          <t>A 26410-2020</t>
        </is>
      </c>
      <c r="B275" s="1" t="n">
        <v>43986</v>
      </c>
      <c r="C275" s="1" t="n">
        <v>45630</v>
      </c>
      <c r="D275" t="inlineStr">
        <is>
          <t>JÄMTLANDS LÄN</t>
        </is>
      </c>
      <c r="E275" t="inlineStr">
        <is>
          <t>ÖSTERSUND</t>
        </is>
      </c>
      <c r="G275" t="n">
        <v>2.1</v>
      </c>
      <c r="H275" t="n">
        <v>0</v>
      </c>
      <c r="I275" t="n">
        <v>0</v>
      </c>
      <c r="J275" t="n">
        <v>0</v>
      </c>
      <c r="K275" t="n">
        <v>0</v>
      </c>
      <c r="L275" t="n">
        <v>0</v>
      </c>
      <c r="M275" t="n">
        <v>0</v>
      </c>
      <c r="N275" t="n">
        <v>0</v>
      </c>
      <c r="O275" t="n">
        <v>0</v>
      </c>
      <c r="P275" t="n">
        <v>0</v>
      </c>
      <c r="Q275" t="n">
        <v>0</v>
      </c>
      <c r="R275" s="2" t="inlineStr"/>
    </row>
    <row r="276" ht="15" customHeight="1">
      <c r="A276" t="inlineStr">
        <is>
          <t>A 27576-2020</t>
        </is>
      </c>
      <c r="B276" s="1" t="n">
        <v>43992</v>
      </c>
      <c r="C276" s="1" t="n">
        <v>45630</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29635-2020</t>
        </is>
      </c>
      <c r="B277" s="1" t="n">
        <v>44000</v>
      </c>
      <c r="C277" s="1" t="n">
        <v>45630</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29435-2020</t>
        </is>
      </c>
      <c r="B278" s="1" t="n">
        <v>44004</v>
      </c>
      <c r="C278" s="1" t="n">
        <v>45630</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29479-2020</t>
        </is>
      </c>
      <c r="B279" s="1" t="n">
        <v>44005</v>
      </c>
      <c r="C279" s="1" t="n">
        <v>45630</v>
      </c>
      <c r="D279" t="inlineStr">
        <is>
          <t>JÄMTLANDS LÄN</t>
        </is>
      </c>
      <c r="E279" t="inlineStr">
        <is>
          <t>ÖSTERSUND</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29581-2020</t>
        </is>
      </c>
      <c r="B280" s="1" t="n">
        <v>44004</v>
      </c>
      <c r="C280" s="1" t="n">
        <v>45630</v>
      </c>
      <c r="D280" t="inlineStr">
        <is>
          <t>JÄMTLANDS LÄN</t>
        </is>
      </c>
      <c r="E280" t="inlineStr">
        <is>
          <t>ÖSTERSUND</t>
        </is>
      </c>
      <c r="G280" t="n">
        <v>0.4</v>
      </c>
      <c r="H280" t="n">
        <v>0</v>
      </c>
      <c r="I280" t="n">
        <v>0</v>
      </c>
      <c r="J280" t="n">
        <v>0</v>
      </c>
      <c r="K280" t="n">
        <v>0</v>
      </c>
      <c r="L280" t="n">
        <v>0</v>
      </c>
      <c r="M280" t="n">
        <v>0</v>
      </c>
      <c r="N280" t="n">
        <v>0</v>
      </c>
      <c r="O280" t="n">
        <v>0</v>
      </c>
      <c r="P280" t="n">
        <v>0</v>
      </c>
      <c r="Q280" t="n">
        <v>0</v>
      </c>
      <c r="R280" s="2" t="inlineStr"/>
    </row>
    <row r="281" ht="15" customHeight="1">
      <c r="A281" t="inlineStr">
        <is>
          <t>A 30676-2020</t>
        </is>
      </c>
      <c r="B281" s="1" t="n">
        <v>44008</v>
      </c>
      <c r="C281" s="1" t="n">
        <v>45630</v>
      </c>
      <c r="D281" t="inlineStr">
        <is>
          <t>JÄMTLANDS LÄN</t>
        </is>
      </c>
      <c r="E281" t="inlineStr">
        <is>
          <t>ÖSTERSUND</t>
        </is>
      </c>
      <c r="G281" t="n">
        <v>2.4</v>
      </c>
      <c r="H281" t="n">
        <v>0</v>
      </c>
      <c r="I281" t="n">
        <v>0</v>
      </c>
      <c r="J281" t="n">
        <v>0</v>
      </c>
      <c r="K281" t="n">
        <v>0</v>
      </c>
      <c r="L281" t="n">
        <v>0</v>
      </c>
      <c r="M281" t="n">
        <v>0</v>
      </c>
      <c r="N281" t="n">
        <v>0</v>
      </c>
      <c r="O281" t="n">
        <v>0</v>
      </c>
      <c r="P281" t="n">
        <v>0</v>
      </c>
      <c r="Q281" t="n">
        <v>0</v>
      </c>
      <c r="R281" s="2" t="inlineStr"/>
    </row>
    <row r="282" ht="15" customHeight="1">
      <c r="A282" t="inlineStr">
        <is>
          <t>A 33945-2020</t>
        </is>
      </c>
      <c r="B282" s="1" t="n">
        <v>44027</v>
      </c>
      <c r="C282" s="1" t="n">
        <v>45630</v>
      </c>
      <c r="D282" t="inlineStr">
        <is>
          <t>JÄMTLANDS LÄN</t>
        </is>
      </c>
      <c r="E282" t="inlineStr">
        <is>
          <t>ÖSTERSUND</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34703-2020</t>
        </is>
      </c>
      <c r="B283" s="1" t="n">
        <v>44035</v>
      </c>
      <c r="C283" s="1" t="n">
        <v>45630</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37500-2020</t>
        </is>
      </c>
      <c r="B284" s="1" t="n">
        <v>44055</v>
      </c>
      <c r="C284" s="1" t="n">
        <v>45630</v>
      </c>
      <c r="D284" t="inlineStr">
        <is>
          <t>JÄMTLANDS LÄN</t>
        </is>
      </c>
      <c r="E284" t="inlineStr">
        <is>
          <t>ÖSTERSUND</t>
        </is>
      </c>
      <c r="G284" t="n">
        <v>4.8</v>
      </c>
      <c r="H284" t="n">
        <v>0</v>
      </c>
      <c r="I284" t="n">
        <v>0</v>
      </c>
      <c r="J284" t="n">
        <v>0</v>
      </c>
      <c r="K284" t="n">
        <v>0</v>
      </c>
      <c r="L284" t="n">
        <v>0</v>
      </c>
      <c r="M284" t="n">
        <v>0</v>
      </c>
      <c r="N284" t="n">
        <v>0</v>
      </c>
      <c r="O284" t="n">
        <v>0</v>
      </c>
      <c r="P284" t="n">
        <v>0</v>
      </c>
      <c r="Q284" t="n">
        <v>0</v>
      </c>
      <c r="R284" s="2" t="inlineStr"/>
    </row>
    <row r="285" ht="15" customHeight="1">
      <c r="A285" t="inlineStr">
        <is>
          <t>A 38099-2020</t>
        </is>
      </c>
      <c r="B285" s="1" t="n">
        <v>44057</v>
      </c>
      <c r="C285" s="1" t="n">
        <v>45630</v>
      </c>
      <c r="D285" t="inlineStr">
        <is>
          <t>JÄMTLANDS LÄN</t>
        </is>
      </c>
      <c r="E285" t="inlineStr">
        <is>
          <t>ÖSTERSUND</t>
        </is>
      </c>
      <c r="F285" t="inlineStr">
        <is>
          <t>SCA</t>
        </is>
      </c>
      <c r="G285" t="n">
        <v>5.5</v>
      </c>
      <c r="H285" t="n">
        <v>0</v>
      </c>
      <c r="I285" t="n">
        <v>0</v>
      </c>
      <c r="J285" t="n">
        <v>0</v>
      </c>
      <c r="K285" t="n">
        <v>0</v>
      </c>
      <c r="L285" t="n">
        <v>0</v>
      </c>
      <c r="M285" t="n">
        <v>0</v>
      </c>
      <c r="N285" t="n">
        <v>0</v>
      </c>
      <c r="O285" t="n">
        <v>0</v>
      </c>
      <c r="P285" t="n">
        <v>0</v>
      </c>
      <c r="Q285" t="n">
        <v>0</v>
      </c>
      <c r="R285" s="2" t="inlineStr"/>
    </row>
    <row r="286" ht="15" customHeight="1">
      <c r="A286" t="inlineStr">
        <is>
          <t>A 41354-2020</t>
        </is>
      </c>
      <c r="B286" s="1" t="n">
        <v>44072</v>
      </c>
      <c r="C286" s="1" t="n">
        <v>45630</v>
      </c>
      <c r="D286" t="inlineStr">
        <is>
          <t>JÄMTLANDS LÄN</t>
        </is>
      </c>
      <c r="E286" t="inlineStr">
        <is>
          <t>ÖSTERSUND</t>
        </is>
      </c>
      <c r="F286" t="inlineStr">
        <is>
          <t>SCA</t>
        </is>
      </c>
      <c r="G286" t="n">
        <v>0.6</v>
      </c>
      <c r="H286" t="n">
        <v>0</v>
      </c>
      <c r="I286" t="n">
        <v>0</v>
      </c>
      <c r="J286" t="n">
        <v>0</v>
      </c>
      <c r="K286" t="n">
        <v>0</v>
      </c>
      <c r="L286" t="n">
        <v>0</v>
      </c>
      <c r="M286" t="n">
        <v>0</v>
      </c>
      <c r="N286" t="n">
        <v>0</v>
      </c>
      <c r="O286" t="n">
        <v>0</v>
      </c>
      <c r="P286" t="n">
        <v>0</v>
      </c>
      <c r="Q286" t="n">
        <v>0</v>
      </c>
      <c r="R286" s="2" t="inlineStr"/>
    </row>
    <row r="287" ht="15" customHeight="1">
      <c r="A287" t="inlineStr">
        <is>
          <t>A 42712-2020</t>
        </is>
      </c>
      <c r="B287" s="1" t="n">
        <v>44076</v>
      </c>
      <c r="C287" s="1" t="n">
        <v>45630</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42749-2020</t>
        </is>
      </c>
      <c r="B288" s="1" t="n">
        <v>44078</v>
      </c>
      <c r="C288" s="1" t="n">
        <v>45630</v>
      </c>
      <c r="D288" t="inlineStr">
        <is>
          <t>JÄMTLANDS LÄN</t>
        </is>
      </c>
      <c r="E288" t="inlineStr">
        <is>
          <t>ÖSTERSUND</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42765-2020</t>
        </is>
      </c>
      <c r="B289" s="1" t="n">
        <v>44077</v>
      </c>
      <c r="C289" s="1" t="n">
        <v>45630</v>
      </c>
      <c r="D289" t="inlineStr">
        <is>
          <t>JÄMTLANDS LÄN</t>
        </is>
      </c>
      <c r="E289" t="inlineStr">
        <is>
          <t>ÖSTERSUND</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42766-2020</t>
        </is>
      </c>
      <c r="B290" s="1" t="n">
        <v>44077</v>
      </c>
      <c r="C290" s="1" t="n">
        <v>45630</v>
      </c>
      <c r="D290" t="inlineStr">
        <is>
          <t>JÄMTLANDS LÄN</t>
        </is>
      </c>
      <c r="E290" t="inlineStr">
        <is>
          <t>ÖSTERSUND</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43796-2020</t>
        </is>
      </c>
      <c r="B291" s="1" t="n">
        <v>44082</v>
      </c>
      <c r="C291" s="1" t="n">
        <v>45630</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45820-2020</t>
        </is>
      </c>
      <c r="B292" s="1" t="n">
        <v>44090</v>
      </c>
      <c r="C292" s="1" t="n">
        <v>45630</v>
      </c>
      <c r="D292" t="inlineStr">
        <is>
          <t>JÄMTLANDS LÄN</t>
        </is>
      </c>
      <c r="E292" t="inlineStr">
        <is>
          <t>ÖSTERSUND</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50121-2020</t>
        </is>
      </c>
      <c r="B293" s="1" t="n">
        <v>44106</v>
      </c>
      <c r="C293" s="1" t="n">
        <v>45630</v>
      </c>
      <c r="D293" t="inlineStr">
        <is>
          <t>JÄMTLANDS LÄN</t>
        </is>
      </c>
      <c r="E293" t="inlineStr">
        <is>
          <t>ÖSTERSUND</t>
        </is>
      </c>
      <c r="F293" t="inlineStr">
        <is>
          <t>Övriga statliga verk och myndigheter</t>
        </is>
      </c>
      <c r="G293" t="n">
        <v>5.2</v>
      </c>
      <c r="H293" t="n">
        <v>0</v>
      </c>
      <c r="I293" t="n">
        <v>0</v>
      </c>
      <c r="J293" t="n">
        <v>0</v>
      </c>
      <c r="K293" t="n">
        <v>0</v>
      </c>
      <c r="L293" t="n">
        <v>0</v>
      </c>
      <c r="M293" t="n">
        <v>0</v>
      </c>
      <c r="N293" t="n">
        <v>0</v>
      </c>
      <c r="O293" t="n">
        <v>0</v>
      </c>
      <c r="P293" t="n">
        <v>0</v>
      </c>
      <c r="Q293" t="n">
        <v>0</v>
      </c>
      <c r="R293" s="2" t="inlineStr"/>
    </row>
    <row r="294" ht="15" customHeight="1">
      <c r="A294" t="inlineStr">
        <is>
          <t>A 50153-2020</t>
        </is>
      </c>
      <c r="B294" s="1" t="n">
        <v>44106</v>
      </c>
      <c r="C294" s="1" t="n">
        <v>45630</v>
      </c>
      <c r="D294" t="inlineStr">
        <is>
          <t>JÄMTLANDS LÄN</t>
        </is>
      </c>
      <c r="E294" t="inlineStr">
        <is>
          <t>ÖSTERSUND</t>
        </is>
      </c>
      <c r="F294" t="inlineStr">
        <is>
          <t>Övriga statliga verk och myndigheter</t>
        </is>
      </c>
      <c r="G294" t="n">
        <v>4.6</v>
      </c>
      <c r="H294" t="n">
        <v>0</v>
      </c>
      <c r="I294" t="n">
        <v>0</v>
      </c>
      <c r="J294" t="n">
        <v>0</v>
      </c>
      <c r="K294" t="n">
        <v>0</v>
      </c>
      <c r="L294" t="n">
        <v>0</v>
      </c>
      <c r="M294" t="n">
        <v>0</v>
      </c>
      <c r="N294" t="n">
        <v>0</v>
      </c>
      <c r="O294" t="n">
        <v>0</v>
      </c>
      <c r="P294" t="n">
        <v>0</v>
      </c>
      <c r="Q294" t="n">
        <v>0</v>
      </c>
      <c r="R294" s="2" t="inlineStr"/>
    </row>
    <row r="295" ht="15" customHeight="1">
      <c r="A295" t="inlineStr">
        <is>
          <t>A 50144-2020</t>
        </is>
      </c>
      <c r="B295" s="1" t="n">
        <v>44106</v>
      </c>
      <c r="C295" s="1" t="n">
        <v>45630</v>
      </c>
      <c r="D295" t="inlineStr">
        <is>
          <t>JÄMTLANDS LÄN</t>
        </is>
      </c>
      <c r="E295" t="inlineStr">
        <is>
          <t>ÖSTERSUND</t>
        </is>
      </c>
      <c r="F295" t="inlineStr">
        <is>
          <t>Övriga statliga verk och myndigheter</t>
        </is>
      </c>
      <c r="G295" t="n">
        <v>2.2</v>
      </c>
      <c r="H295" t="n">
        <v>0</v>
      </c>
      <c r="I295" t="n">
        <v>0</v>
      </c>
      <c r="J295" t="n">
        <v>0</v>
      </c>
      <c r="K295" t="n">
        <v>0</v>
      </c>
      <c r="L295" t="n">
        <v>0</v>
      </c>
      <c r="M295" t="n">
        <v>0</v>
      </c>
      <c r="N295" t="n">
        <v>0</v>
      </c>
      <c r="O295" t="n">
        <v>0</v>
      </c>
      <c r="P295" t="n">
        <v>0</v>
      </c>
      <c r="Q295" t="n">
        <v>0</v>
      </c>
      <c r="R295" s="2" t="inlineStr"/>
    </row>
    <row r="296" ht="15" customHeight="1">
      <c r="A296" t="inlineStr">
        <is>
          <t>A 50632-2020</t>
        </is>
      </c>
      <c r="B296" s="1" t="n">
        <v>44110</v>
      </c>
      <c r="C296" s="1" t="n">
        <v>45630</v>
      </c>
      <c r="D296" t="inlineStr">
        <is>
          <t>JÄMTLANDS LÄN</t>
        </is>
      </c>
      <c r="E296" t="inlineStr">
        <is>
          <t>ÖSTERSUND</t>
        </is>
      </c>
      <c r="F296" t="inlineStr">
        <is>
          <t>SCA</t>
        </is>
      </c>
      <c r="G296" t="n">
        <v>2.7</v>
      </c>
      <c r="H296" t="n">
        <v>0</v>
      </c>
      <c r="I296" t="n">
        <v>0</v>
      </c>
      <c r="J296" t="n">
        <v>0</v>
      </c>
      <c r="K296" t="n">
        <v>0</v>
      </c>
      <c r="L296" t="n">
        <v>0</v>
      </c>
      <c r="M296" t="n">
        <v>0</v>
      </c>
      <c r="N296" t="n">
        <v>0</v>
      </c>
      <c r="O296" t="n">
        <v>0</v>
      </c>
      <c r="P296" t="n">
        <v>0</v>
      </c>
      <c r="Q296" t="n">
        <v>0</v>
      </c>
      <c r="R296" s="2" t="inlineStr"/>
    </row>
    <row r="297" ht="15" customHeight="1">
      <c r="A297" t="inlineStr">
        <is>
          <t>A 52478-2020</t>
        </is>
      </c>
      <c r="B297" s="1" t="n">
        <v>44113</v>
      </c>
      <c r="C297" s="1" t="n">
        <v>45630</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52535-2020</t>
        </is>
      </c>
      <c r="B298" s="1" t="n">
        <v>44118</v>
      </c>
      <c r="C298" s="1" t="n">
        <v>45630</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52777-2020</t>
        </is>
      </c>
      <c r="B299" s="1" t="n">
        <v>44118</v>
      </c>
      <c r="C299" s="1" t="n">
        <v>45630</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52791-2020</t>
        </is>
      </c>
      <c r="B300" s="1" t="n">
        <v>44118</v>
      </c>
      <c r="C300" s="1" t="n">
        <v>45630</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53323-2020</t>
        </is>
      </c>
      <c r="B301" s="1" t="n">
        <v>44123</v>
      </c>
      <c r="C301" s="1" t="n">
        <v>45630</v>
      </c>
      <c r="D301" t="inlineStr">
        <is>
          <t>JÄMTLANDS LÄN</t>
        </is>
      </c>
      <c r="E301" t="inlineStr">
        <is>
          <t>ÖSTERSUND</t>
        </is>
      </c>
      <c r="F301" t="inlineStr">
        <is>
          <t>Övriga Aktiebolag</t>
        </is>
      </c>
      <c r="G301" t="n">
        <v>2.2</v>
      </c>
      <c r="H301" t="n">
        <v>0</v>
      </c>
      <c r="I301" t="n">
        <v>0</v>
      </c>
      <c r="J301" t="n">
        <v>0</v>
      </c>
      <c r="K301" t="n">
        <v>0</v>
      </c>
      <c r="L301" t="n">
        <v>0</v>
      </c>
      <c r="M301" t="n">
        <v>0</v>
      </c>
      <c r="N301" t="n">
        <v>0</v>
      </c>
      <c r="O301" t="n">
        <v>0</v>
      </c>
      <c r="P301" t="n">
        <v>0</v>
      </c>
      <c r="Q301" t="n">
        <v>0</v>
      </c>
      <c r="R301" s="2" t="inlineStr"/>
    </row>
    <row r="302" ht="15" customHeight="1">
      <c r="A302" t="inlineStr">
        <is>
          <t>A 53967-2020</t>
        </is>
      </c>
      <c r="B302" s="1" t="n">
        <v>44125</v>
      </c>
      <c r="C302" s="1" t="n">
        <v>45630</v>
      </c>
      <c r="D302" t="inlineStr">
        <is>
          <t>JÄMTLANDS LÄN</t>
        </is>
      </c>
      <c r="E302" t="inlineStr">
        <is>
          <t>ÖSTERSUND</t>
        </is>
      </c>
      <c r="G302" t="n">
        <v>25.8</v>
      </c>
      <c r="H302" t="n">
        <v>0</v>
      </c>
      <c r="I302" t="n">
        <v>0</v>
      </c>
      <c r="J302" t="n">
        <v>0</v>
      </c>
      <c r="K302" t="n">
        <v>0</v>
      </c>
      <c r="L302" t="n">
        <v>0</v>
      </c>
      <c r="M302" t="n">
        <v>0</v>
      </c>
      <c r="N302" t="n">
        <v>0</v>
      </c>
      <c r="O302" t="n">
        <v>0</v>
      </c>
      <c r="P302" t="n">
        <v>0</v>
      </c>
      <c r="Q302" t="n">
        <v>0</v>
      </c>
      <c r="R302" s="2" t="inlineStr"/>
    </row>
    <row r="303" ht="15" customHeight="1">
      <c r="A303" t="inlineStr">
        <is>
          <t>A 54539-2020</t>
        </is>
      </c>
      <c r="B303" s="1" t="n">
        <v>44126</v>
      </c>
      <c r="C303" s="1" t="n">
        <v>45630</v>
      </c>
      <c r="D303" t="inlineStr">
        <is>
          <t>JÄMTLANDS LÄN</t>
        </is>
      </c>
      <c r="E303" t="inlineStr">
        <is>
          <t>ÖSTERSUND</t>
        </is>
      </c>
      <c r="G303" t="n">
        <v>4.2</v>
      </c>
      <c r="H303" t="n">
        <v>0</v>
      </c>
      <c r="I303" t="n">
        <v>0</v>
      </c>
      <c r="J303" t="n">
        <v>0</v>
      </c>
      <c r="K303" t="n">
        <v>0</v>
      </c>
      <c r="L303" t="n">
        <v>0</v>
      </c>
      <c r="M303" t="n">
        <v>0</v>
      </c>
      <c r="N303" t="n">
        <v>0</v>
      </c>
      <c r="O303" t="n">
        <v>0</v>
      </c>
      <c r="P303" t="n">
        <v>0</v>
      </c>
      <c r="Q303" t="n">
        <v>0</v>
      </c>
      <c r="R303" s="2" t="inlineStr"/>
    </row>
    <row r="304" ht="15" customHeight="1">
      <c r="A304" t="inlineStr">
        <is>
          <t>A 54844-2020</t>
        </is>
      </c>
      <c r="B304" s="1" t="n">
        <v>44126</v>
      </c>
      <c r="C304" s="1" t="n">
        <v>45630</v>
      </c>
      <c r="D304" t="inlineStr">
        <is>
          <t>JÄMTLANDS LÄN</t>
        </is>
      </c>
      <c r="E304" t="inlineStr">
        <is>
          <t>ÖSTERSUND</t>
        </is>
      </c>
      <c r="G304" t="n">
        <v>6.9</v>
      </c>
      <c r="H304" t="n">
        <v>0</v>
      </c>
      <c r="I304" t="n">
        <v>0</v>
      </c>
      <c r="J304" t="n">
        <v>0</v>
      </c>
      <c r="K304" t="n">
        <v>0</v>
      </c>
      <c r="L304" t="n">
        <v>0</v>
      </c>
      <c r="M304" t="n">
        <v>0</v>
      </c>
      <c r="N304" t="n">
        <v>0</v>
      </c>
      <c r="O304" t="n">
        <v>0</v>
      </c>
      <c r="P304" t="n">
        <v>0</v>
      </c>
      <c r="Q304" t="n">
        <v>0</v>
      </c>
      <c r="R304" s="2" t="inlineStr"/>
    </row>
    <row r="305" ht="15" customHeight="1">
      <c r="A305" t="inlineStr">
        <is>
          <t>A 56220-2020</t>
        </is>
      </c>
      <c r="B305" s="1" t="n">
        <v>44133</v>
      </c>
      <c r="C305" s="1" t="n">
        <v>45630</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56486-2020</t>
        </is>
      </c>
      <c r="B306" s="1" t="n">
        <v>44137</v>
      </c>
      <c r="C306" s="1" t="n">
        <v>45630</v>
      </c>
      <c r="D306" t="inlineStr">
        <is>
          <t>JÄMTLANDS LÄN</t>
        </is>
      </c>
      <c r="E306" t="inlineStr">
        <is>
          <t>ÖSTERSUND</t>
        </is>
      </c>
      <c r="G306" t="n">
        <v>5.8</v>
      </c>
      <c r="H306" t="n">
        <v>0</v>
      </c>
      <c r="I306" t="n">
        <v>0</v>
      </c>
      <c r="J306" t="n">
        <v>0</v>
      </c>
      <c r="K306" t="n">
        <v>0</v>
      </c>
      <c r="L306" t="n">
        <v>0</v>
      </c>
      <c r="M306" t="n">
        <v>0</v>
      </c>
      <c r="N306" t="n">
        <v>0</v>
      </c>
      <c r="O306" t="n">
        <v>0</v>
      </c>
      <c r="P306" t="n">
        <v>0</v>
      </c>
      <c r="Q306" t="n">
        <v>0</v>
      </c>
      <c r="R306" s="2" t="inlineStr"/>
    </row>
    <row r="307" ht="15" customHeight="1">
      <c r="A307" t="inlineStr">
        <is>
          <t>A 56636-2020</t>
        </is>
      </c>
      <c r="B307" s="1" t="n">
        <v>44137</v>
      </c>
      <c r="C307" s="1" t="n">
        <v>45630</v>
      </c>
      <c r="D307" t="inlineStr">
        <is>
          <t>JÄMTLANDS LÄN</t>
        </is>
      </c>
      <c r="E307" t="inlineStr">
        <is>
          <t>ÖSTERSUND</t>
        </is>
      </c>
      <c r="F307" t="inlineStr">
        <is>
          <t>Övriga Aktiebolag</t>
        </is>
      </c>
      <c r="G307" t="n">
        <v>16.2</v>
      </c>
      <c r="H307" t="n">
        <v>0</v>
      </c>
      <c r="I307" t="n">
        <v>0</v>
      </c>
      <c r="J307" t="n">
        <v>0</v>
      </c>
      <c r="K307" t="n">
        <v>0</v>
      </c>
      <c r="L307" t="n">
        <v>0</v>
      </c>
      <c r="M307" t="n">
        <v>0</v>
      </c>
      <c r="N307" t="n">
        <v>0</v>
      </c>
      <c r="O307" t="n">
        <v>0</v>
      </c>
      <c r="P307" t="n">
        <v>0</v>
      </c>
      <c r="Q307" t="n">
        <v>0</v>
      </c>
      <c r="R307" s="2" t="inlineStr"/>
    </row>
    <row r="308" ht="15" customHeight="1">
      <c r="A308" t="inlineStr">
        <is>
          <t>A 56642-2020</t>
        </is>
      </c>
      <c r="B308" s="1" t="n">
        <v>44137</v>
      </c>
      <c r="C308" s="1" t="n">
        <v>45630</v>
      </c>
      <c r="D308" t="inlineStr">
        <is>
          <t>JÄMTLANDS LÄN</t>
        </is>
      </c>
      <c r="E308" t="inlineStr">
        <is>
          <t>ÖSTERSUND</t>
        </is>
      </c>
      <c r="F308" t="inlineStr">
        <is>
          <t>Övriga Aktiebolag</t>
        </is>
      </c>
      <c r="G308" t="n">
        <v>6</v>
      </c>
      <c r="H308" t="n">
        <v>0</v>
      </c>
      <c r="I308" t="n">
        <v>0</v>
      </c>
      <c r="J308" t="n">
        <v>0</v>
      </c>
      <c r="K308" t="n">
        <v>0</v>
      </c>
      <c r="L308" t="n">
        <v>0</v>
      </c>
      <c r="M308" t="n">
        <v>0</v>
      </c>
      <c r="N308" t="n">
        <v>0</v>
      </c>
      <c r="O308" t="n">
        <v>0</v>
      </c>
      <c r="P308" t="n">
        <v>0</v>
      </c>
      <c r="Q308" t="n">
        <v>0</v>
      </c>
      <c r="R308" s="2" t="inlineStr"/>
    </row>
    <row r="309" ht="15" customHeight="1">
      <c r="A309" t="inlineStr">
        <is>
          <t>A 57616-2020</t>
        </is>
      </c>
      <c r="B309" s="1" t="n">
        <v>44140</v>
      </c>
      <c r="C309" s="1" t="n">
        <v>45630</v>
      </c>
      <c r="D309" t="inlineStr">
        <is>
          <t>JÄMTLANDS LÄN</t>
        </is>
      </c>
      <c r="E309" t="inlineStr">
        <is>
          <t>ÖSTERSUND</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57624-2020</t>
        </is>
      </c>
      <c r="B310" s="1" t="n">
        <v>44140</v>
      </c>
      <c r="C310" s="1" t="n">
        <v>45630</v>
      </c>
      <c r="D310" t="inlineStr">
        <is>
          <t>JÄMTLANDS LÄN</t>
        </is>
      </c>
      <c r="E310" t="inlineStr">
        <is>
          <t>ÖSTERSUND</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57791-2020</t>
        </is>
      </c>
      <c r="B311" s="1" t="n">
        <v>44141</v>
      </c>
      <c r="C311" s="1" t="n">
        <v>45630</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57771-2020</t>
        </is>
      </c>
      <c r="B312" s="1" t="n">
        <v>44141</v>
      </c>
      <c r="C312" s="1" t="n">
        <v>45630</v>
      </c>
      <c r="D312" t="inlineStr">
        <is>
          <t>JÄMTLANDS LÄN</t>
        </is>
      </c>
      <c r="E312" t="inlineStr">
        <is>
          <t>ÖSTERSUND</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60050-2020</t>
        </is>
      </c>
      <c r="B313" s="1" t="n">
        <v>44151</v>
      </c>
      <c r="C313" s="1" t="n">
        <v>45630</v>
      </c>
      <c r="D313" t="inlineStr">
        <is>
          <t>JÄMTLANDS LÄN</t>
        </is>
      </c>
      <c r="E313" t="inlineStr">
        <is>
          <t>ÖSTERSUND</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60126-2020</t>
        </is>
      </c>
      <c r="B314" s="1" t="n">
        <v>44152</v>
      </c>
      <c r="C314" s="1" t="n">
        <v>45630</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63171-2020</t>
        </is>
      </c>
      <c r="B315" s="1" t="n">
        <v>44162</v>
      </c>
      <c r="C315" s="1" t="n">
        <v>45630</v>
      </c>
      <c r="D315" t="inlineStr">
        <is>
          <t>JÄMTLANDS LÄN</t>
        </is>
      </c>
      <c r="E315" t="inlineStr">
        <is>
          <t>ÖSTERSUND</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65410-2020</t>
        </is>
      </c>
      <c r="B316" s="1" t="n">
        <v>44173</v>
      </c>
      <c r="C316" s="1" t="n">
        <v>45630</v>
      </c>
      <c r="D316" t="inlineStr">
        <is>
          <t>JÄMTLANDS LÄN</t>
        </is>
      </c>
      <c r="E316" t="inlineStr">
        <is>
          <t>ÖSTERSUND</t>
        </is>
      </c>
      <c r="F316" t="inlineStr">
        <is>
          <t>Kommuner</t>
        </is>
      </c>
      <c r="G316" t="n">
        <v>0.8</v>
      </c>
      <c r="H316" t="n">
        <v>0</v>
      </c>
      <c r="I316" t="n">
        <v>0</v>
      </c>
      <c r="J316" t="n">
        <v>0</v>
      </c>
      <c r="K316" t="n">
        <v>0</v>
      </c>
      <c r="L316" t="n">
        <v>0</v>
      </c>
      <c r="M316" t="n">
        <v>0</v>
      </c>
      <c r="N316" t="n">
        <v>0</v>
      </c>
      <c r="O316" t="n">
        <v>0</v>
      </c>
      <c r="P316" t="n">
        <v>0</v>
      </c>
      <c r="Q316" t="n">
        <v>0</v>
      </c>
      <c r="R316" s="2" t="inlineStr"/>
    </row>
    <row r="317" ht="15" customHeight="1">
      <c r="A317" t="inlineStr">
        <is>
          <t>A 66269-2020</t>
        </is>
      </c>
      <c r="B317" s="1" t="n">
        <v>44174</v>
      </c>
      <c r="C317" s="1" t="n">
        <v>45630</v>
      </c>
      <c r="D317" t="inlineStr">
        <is>
          <t>JÄMTLANDS LÄN</t>
        </is>
      </c>
      <c r="E317" t="inlineStr">
        <is>
          <t>ÖSTERSUND</t>
        </is>
      </c>
      <c r="F317" t="inlineStr">
        <is>
          <t>Övriga statliga verk och myndigheter</t>
        </is>
      </c>
      <c r="G317" t="n">
        <v>10</v>
      </c>
      <c r="H317" t="n">
        <v>0</v>
      </c>
      <c r="I317" t="n">
        <v>0</v>
      </c>
      <c r="J317" t="n">
        <v>0</v>
      </c>
      <c r="K317" t="n">
        <v>0</v>
      </c>
      <c r="L317" t="n">
        <v>0</v>
      </c>
      <c r="M317" t="n">
        <v>0</v>
      </c>
      <c r="N317" t="n">
        <v>0</v>
      </c>
      <c r="O317" t="n">
        <v>0</v>
      </c>
      <c r="P317" t="n">
        <v>0</v>
      </c>
      <c r="Q317" t="n">
        <v>0</v>
      </c>
      <c r="R317" s="2" t="inlineStr"/>
    </row>
    <row r="318" ht="15" customHeight="1">
      <c r="A318" t="inlineStr">
        <is>
          <t>A 66288-2020</t>
        </is>
      </c>
      <c r="B318" s="1" t="n">
        <v>44174</v>
      </c>
      <c r="C318" s="1" t="n">
        <v>45630</v>
      </c>
      <c r="D318" t="inlineStr">
        <is>
          <t>JÄMTLANDS LÄN</t>
        </is>
      </c>
      <c r="E318" t="inlineStr">
        <is>
          <t>ÖSTERSUND</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66286-2020</t>
        </is>
      </c>
      <c r="B319" s="1" t="n">
        <v>44174</v>
      </c>
      <c r="C319" s="1" t="n">
        <v>45630</v>
      </c>
      <c r="D319" t="inlineStr">
        <is>
          <t>JÄMTLANDS LÄN</t>
        </is>
      </c>
      <c r="E319" t="inlineStr">
        <is>
          <t>ÖSTERSUND</t>
        </is>
      </c>
      <c r="F319" t="inlineStr">
        <is>
          <t>Övriga statliga verk och myndigheter</t>
        </is>
      </c>
      <c r="G319" t="n">
        <v>1.1</v>
      </c>
      <c r="H319" t="n">
        <v>0</v>
      </c>
      <c r="I319" t="n">
        <v>0</v>
      </c>
      <c r="J319" t="n">
        <v>0</v>
      </c>
      <c r="K319" t="n">
        <v>0</v>
      </c>
      <c r="L319" t="n">
        <v>0</v>
      </c>
      <c r="M319" t="n">
        <v>0</v>
      </c>
      <c r="N319" t="n">
        <v>0</v>
      </c>
      <c r="O319" t="n">
        <v>0</v>
      </c>
      <c r="P319" t="n">
        <v>0</v>
      </c>
      <c r="Q319" t="n">
        <v>0</v>
      </c>
      <c r="R319" s="2" t="inlineStr"/>
    </row>
    <row r="320" ht="15" customHeight="1">
      <c r="A320" t="inlineStr">
        <is>
          <t>A 67646-2020</t>
        </is>
      </c>
      <c r="B320" s="1" t="n">
        <v>44180</v>
      </c>
      <c r="C320" s="1" t="n">
        <v>45630</v>
      </c>
      <c r="D320" t="inlineStr">
        <is>
          <t>JÄMTLANDS LÄN</t>
        </is>
      </c>
      <c r="E320" t="inlineStr">
        <is>
          <t>ÖSTERSUND</t>
        </is>
      </c>
      <c r="G320" t="n">
        <v>1.9</v>
      </c>
      <c r="H320" t="n">
        <v>0</v>
      </c>
      <c r="I320" t="n">
        <v>0</v>
      </c>
      <c r="J320" t="n">
        <v>0</v>
      </c>
      <c r="K320" t="n">
        <v>0</v>
      </c>
      <c r="L320" t="n">
        <v>0</v>
      </c>
      <c r="M320" t="n">
        <v>0</v>
      </c>
      <c r="N320" t="n">
        <v>0</v>
      </c>
      <c r="O320" t="n">
        <v>0</v>
      </c>
      <c r="P320" t="n">
        <v>0</v>
      </c>
      <c r="Q320" t="n">
        <v>0</v>
      </c>
      <c r="R320" s="2" t="inlineStr"/>
    </row>
    <row r="321" ht="15" customHeight="1">
      <c r="A321" t="inlineStr">
        <is>
          <t>A 67643-2020</t>
        </is>
      </c>
      <c r="B321" s="1" t="n">
        <v>44180</v>
      </c>
      <c r="C321" s="1" t="n">
        <v>45630</v>
      </c>
      <c r="D321" t="inlineStr">
        <is>
          <t>JÄMTLANDS LÄN</t>
        </is>
      </c>
      <c r="E321" t="inlineStr">
        <is>
          <t>ÖSTERSUND</t>
        </is>
      </c>
      <c r="G321" t="n">
        <v>1.6</v>
      </c>
      <c r="H321" t="n">
        <v>0</v>
      </c>
      <c r="I321" t="n">
        <v>0</v>
      </c>
      <c r="J321" t="n">
        <v>0</v>
      </c>
      <c r="K321" t="n">
        <v>0</v>
      </c>
      <c r="L321" t="n">
        <v>0</v>
      </c>
      <c r="M321" t="n">
        <v>0</v>
      </c>
      <c r="N321" t="n">
        <v>0</v>
      </c>
      <c r="O321" t="n">
        <v>0</v>
      </c>
      <c r="P321" t="n">
        <v>0</v>
      </c>
      <c r="Q321" t="n">
        <v>0</v>
      </c>
      <c r="R321" s="2" t="inlineStr"/>
    </row>
    <row r="322" ht="15" customHeight="1">
      <c r="A322" t="inlineStr">
        <is>
          <t>A 68408-2020</t>
        </is>
      </c>
      <c r="B322" s="1" t="n">
        <v>44186</v>
      </c>
      <c r="C322" s="1" t="n">
        <v>45630</v>
      </c>
      <c r="D322" t="inlineStr">
        <is>
          <t>JÄMTLANDS LÄN</t>
        </is>
      </c>
      <c r="E322" t="inlineStr">
        <is>
          <t>ÖSTERSUND</t>
        </is>
      </c>
      <c r="G322" t="n">
        <v>0.5</v>
      </c>
      <c r="H322" t="n">
        <v>0</v>
      </c>
      <c r="I322" t="n">
        <v>0</v>
      </c>
      <c r="J322" t="n">
        <v>0</v>
      </c>
      <c r="K322" t="n">
        <v>0</v>
      </c>
      <c r="L322" t="n">
        <v>0</v>
      </c>
      <c r="M322" t="n">
        <v>0</v>
      </c>
      <c r="N322" t="n">
        <v>0</v>
      </c>
      <c r="O322" t="n">
        <v>0</v>
      </c>
      <c r="P322" t="n">
        <v>0</v>
      </c>
      <c r="Q322" t="n">
        <v>0</v>
      </c>
      <c r="R322" s="2" t="inlineStr"/>
    </row>
    <row r="323" ht="15" customHeight="1">
      <c r="A323" t="inlineStr">
        <is>
          <t>A 68937-2020</t>
        </is>
      </c>
      <c r="B323" s="1" t="n">
        <v>44187</v>
      </c>
      <c r="C323" s="1" t="n">
        <v>45630</v>
      </c>
      <c r="D323" t="inlineStr">
        <is>
          <t>JÄMTLANDS LÄN</t>
        </is>
      </c>
      <c r="E323" t="inlineStr">
        <is>
          <t>ÖSTERSUND</t>
        </is>
      </c>
      <c r="G323" t="n">
        <v>4.7</v>
      </c>
      <c r="H323" t="n">
        <v>0</v>
      </c>
      <c r="I323" t="n">
        <v>0</v>
      </c>
      <c r="J323" t="n">
        <v>0</v>
      </c>
      <c r="K323" t="n">
        <v>0</v>
      </c>
      <c r="L323" t="n">
        <v>0</v>
      </c>
      <c r="M323" t="n">
        <v>0</v>
      </c>
      <c r="N323" t="n">
        <v>0</v>
      </c>
      <c r="O323" t="n">
        <v>0</v>
      </c>
      <c r="P323" t="n">
        <v>0</v>
      </c>
      <c r="Q323" t="n">
        <v>0</v>
      </c>
      <c r="R323" s="2" t="inlineStr"/>
    </row>
    <row r="324" ht="15" customHeight="1">
      <c r="A324" t="inlineStr">
        <is>
          <t>A 126-2021</t>
        </is>
      </c>
      <c r="B324" s="1" t="n">
        <v>44200</v>
      </c>
      <c r="C324" s="1" t="n">
        <v>45630</v>
      </c>
      <c r="D324" t="inlineStr">
        <is>
          <t>JÄMTLANDS LÄN</t>
        </is>
      </c>
      <c r="E324" t="inlineStr">
        <is>
          <t>ÖSTERSUND</t>
        </is>
      </c>
      <c r="G324" t="n">
        <v>1.6</v>
      </c>
      <c r="H324" t="n">
        <v>0</v>
      </c>
      <c r="I324" t="n">
        <v>0</v>
      </c>
      <c r="J324" t="n">
        <v>0</v>
      </c>
      <c r="K324" t="n">
        <v>0</v>
      </c>
      <c r="L324" t="n">
        <v>0</v>
      </c>
      <c r="M324" t="n">
        <v>0</v>
      </c>
      <c r="N324" t="n">
        <v>0</v>
      </c>
      <c r="O324" t="n">
        <v>0</v>
      </c>
      <c r="P324" t="n">
        <v>0</v>
      </c>
      <c r="Q324" t="n">
        <v>0</v>
      </c>
      <c r="R324" s="2" t="inlineStr"/>
    </row>
    <row r="325" ht="15" customHeight="1">
      <c r="A325" t="inlineStr">
        <is>
          <t>A 501-2021</t>
        </is>
      </c>
      <c r="B325" s="1" t="n">
        <v>44200</v>
      </c>
      <c r="C325" s="1" t="n">
        <v>45630</v>
      </c>
      <c r="D325" t="inlineStr">
        <is>
          <t>JÄMTLANDS LÄN</t>
        </is>
      </c>
      <c r="E325" t="inlineStr">
        <is>
          <t>ÖSTERSUND</t>
        </is>
      </c>
      <c r="G325" t="n">
        <v>0.5</v>
      </c>
      <c r="H325" t="n">
        <v>0</v>
      </c>
      <c r="I325" t="n">
        <v>0</v>
      </c>
      <c r="J325" t="n">
        <v>0</v>
      </c>
      <c r="K325" t="n">
        <v>0</v>
      </c>
      <c r="L325" t="n">
        <v>0</v>
      </c>
      <c r="M325" t="n">
        <v>0</v>
      </c>
      <c r="N325" t="n">
        <v>0</v>
      </c>
      <c r="O325" t="n">
        <v>0</v>
      </c>
      <c r="P325" t="n">
        <v>0</v>
      </c>
      <c r="Q325" t="n">
        <v>0</v>
      </c>
      <c r="R325" s="2" t="inlineStr"/>
    </row>
    <row r="326" ht="15" customHeight="1">
      <c r="A326" t="inlineStr">
        <is>
          <t>A 1322-2021</t>
        </is>
      </c>
      <c r="B326" s="1" t="n">
        <v>44208</v>
      </c>
      <c r="C326" s="1" t="n">
        <v>45630</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2686-2021</t>
        </is>
      </c>
      <c r="B327" s="1" t="n">
        <v>44214</v>
      </c>
      <c r="C327" s="1" t="n">
        <v>45630</v>
      </c>
      <c r="D327" t="inlineStr">
        <is>
          <t>JÄMTLANDS LÄN</t>
        </is>
      </c>
      <c r="E327" t="inlineStr">
        <is>
          <t>ÖSTERSUND</t>
        </is>
      </c>
      <c r="G327" t="n">
        <v>1.6</v>
      </c>
      <c r="H327" t="n">
        <v>0</v>
      </c>
      <c r="I327" t="n">
        <v>0</v>
      </c>
      <c r="J327" t="n">
        <v>0</v>
      </c>
      <c r="K327" t="n">
        <v>0</v>
      </c>
      <c r="L327" t="n">
        <v>0</v>
      </c>
      <c r="M327" t="n">
        <v>0</v>
      </c>
      <c r="N327" t="n">
        <v>0</v>
      </c>
      <c r="O327" t="n">
        <v>0</v>
      </c>
      <c r="P327" t="n">
        <v>0</v>
      </c>
      <c r="Q327" t="n">
        <v>0</v>
      </c>
      <c r="R327" s="2" t="inlineStr"/>
    </row>
    <row r="328" ht="15" customHeight="1">
      <c r="A328" t="inlineStr">
        <is>
          <t>A 5460-2021</t>
        </is>
      </c>
      <c r="B328" s="1" t="n">
        <v>44229</v>
      </c>
      <c r="C328" s="1" t="n">
        <v>45630</v>
      </c>
      <c r="D328" t="inlineStr">
        <is>
          <t>JÄMTLANDS LÄN</t>
        </is>
      </c>
      <c r="E328" t="inlineStr">
        <is>
          <t>ÖSTERSUND</t>
        </is>
      </c>
      <c r="G328" t="n">
        <v>14.2</v>
      </c>
      <c r="H328" t="n">
        <v>0</v>
      </c>
      <c r="I328" t="n">
        <v>0</v>
      </c>
      <c r="J328" t="n">
        <v>0</v>
      </c>
      <c r="K328" t="n">
        <v>0</v>
      </c>
      <c r="L328" t="n">
        <v>0</v>
      </c>
      <c r="M328" t="n">
        <v>0</v>
      </c>
      <c r="N328" t="n">
        <v>0</v>
      </c>
      <c r="O328" t="n">
        <v>0</v>
      </c>
      <c r="P328" t="n">
        <v>0</v>
      </c>
      <c r="Q328" t="n">
        <v>0</v>
      </c>
      <c r="R328" s="2" t="inlineStr"/>
    </row>
    <row r="329" ht="15" customHeight="1">
      <c r="A329" t="inlineStr">
        <is>
          <t>A 6578-2021</t>
        </is>
      </c>
      <c r="B329" s="1" t="n">
        <v>44236</v>
      </c>
      <c r="C329" s="1" t="n">
        <v>45630</v>
      </c>
      <c r="D329" t="inlineStr">
        <is>
          <t>JÄMTLANDS LÄN</t>
        </is>
      </c>
      <c r="E329" t="inlineStr">
        <is>
          <t>ÖSTERSUND</t>
        </is>
      </c>
      <c r="G329" t="n">
        <v>1.4</v>
      </c>
      <c r="H329" t="n">
        <v>0</v>
      </c>
      <c r="I329" t="n">
        <v>0</v>
      </c>
      <c r="J329" t="n">
        <v>0</v>
      </c>
      <c r="K329" t="n">
        <v>0</v>
      </c>
      <c r="L329" t="n">
        <v>0</v>
      </c>
      <c r="M329" t="n">
        <v>0</v>
      </c>
      <c r="N329" t="n">
        <v>0</v>
      </c>
      <c r="O329" t="n">
        <v>0</v>
      </c>
      <c r="P329" t="n">
        <v>0</v>
      </c>
      <c r="Q329" t="n">
        <v>0</v>
      </c>
      <c r="R329" s="2" t="inlineStr"/>
    </row>
    <row r="330" ht="15" customHeight="1">
      <c r="A330" t="inlineStr">
        <is>
          <t>A 8396-2021</t>
        </is>
      </c>
      <c r="B330" s="1" t="n">
        <v>44238</v>
      </c>
      <c r="C330" s="1" t="n">
        <v>45630</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10590-2021</t>
        </is>
      </c>
      <c r="B331" s="1" t="n">
        <v>44258</v>
      </c>
      <c r="C331" s="1" t="n">
        <v>45630</v>
      </c>
      <c r="D331" t="inlineStr">
        <is>
          <t>JÄMTLANDS LÄN</t>
        </is>
      </c>
      <c r="E331" t="inlineStr">
        <is>
          <t>ÖSTERSUND</t>
        </is>
      </c>
      <c r="G331" t="n">
        <v>0.5</v>
      </c>
      <c r="H331" t="n">
        <v>0</v>
      </c>
      <c r="I331" t="n">
        <v>0</v>
      </c>
      <c r="J331" t="n">
        <v>0</v>
      </c>
      <c r="K331" t="n">
        <v>0</v>
      </c>
      <c r="L331" t="n">
        <v>0</v>
      </c>
      <c r="M331" t="n">
        <v>0</v>
      </c>
      <c r="N331" t="n">
        <v>0</v>
      </c>
      <c r="O331" t="n">
        <v>0</v>
      </c>
      <c r="P331" t="n">
        <v>0</v>
      </c>
      <c r="Q331" t="n">
        <v>0</v>
      </c>
      <c r="R331" s="2" t="inlineStr"/>
    </row>
    <row r="332" ht="15" customHeight="1">
      <c r="A332" t="inlineStr">
        <is>
          <t>A 10911-2021</t>
        </is>
      </c>
      <c r="B332" s="1" t="n">
        <v>44259</v>
      </c>
      <c r="C332" s="1" t="n">
        <v>45630</v>
      </c>
      <c r="D332" t="inlineStr">
        <is>
          <t>JÄMTLANDS LÄN</t>
        </is>
      </c>
      <c r="E332" t="inlineStr">
        <is>
          <t>ÖSTERSUND</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10834-2021</t>
        </is>
      </c>
      <c r="B333" s="1" t="n">
        <v>44259</v>
      </c>
      <c r="C333" s="1" t="n">
        <v>45630</v>
      </c>
      <c r="D333" t="inlineStr">
        <is>
          <t>JÄMTLANDS LÄN</t>
        </is>
      </c>
      <c r="E333" t="inlineStr">
        <is>
          <t>ÖSTERSUND</t>
        </is>
      </c>
      <c r="G333" t="n">
        <v>12.2</v>
      </c>
      <c r="H333" t="n">
        <v>0</v>
      </c>
      <c r="I333" t="n">
        <v>0</v>
      </c>
      <c r="J333" t="n">
        <v>0</v>
      </c>
      <c r="K333" t="n">
        <v>0</v>
      </c>
      <c r="L333" t="n">
        <v>0</v>
      </c>
      <c r="M333" t="n">
        <v>0</v>
      </c>
      <c r="N333" t="n">
        <v>0</v>
      </c>
      <c r="O333" t="n">
        <v>0</v>
      </c>
      <c r="P333" t="n">
        <v>0</v>
      </c>
      <c r="Q333" t="n">
        <v>0</v>
      </c>
      <c r="R333" s="2" t="inlineStr"/>
    </row>
    <row r="334" ht="15" customHeight="1">
      <c r="A334" t="inlineStr">
        <is>
          <t>A 12710-2021</t>
        </is>
      </c>
      <c r="B334" s="1" t="n">
        <v>44270</v>
      </c>
      <c r="C334" s="1" t="n">
        <v>45630</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12705-2021</t>
        </is>
      </c>
      <c r="B335" s="1" t="n">
        <v>44270</v>
      </c>
      <c r="C335" s="1" t="n">
        <v>45630</v>
      </c>
      <c r="D335" t="inlineStr">
        <is>
          <t>JÄMTLANDS LÄN</t>
        </is>
      </c>
      <c r="E335" t="inlineStr">
        <is>
          <t>ÖSTERSUND</t>
        </is>
      </c>
      <c r="G335" t="n">
        <v>3.5</v>
      </c>
      <c r="H335" t="n">
        <v>0</v>
      </c>
      <c r="I335" t="n">
        <v>0</v>
      </c>
      <c r="J335" t="n">
        <v>0</v>
      </c>
      <c r="K335" t="n">
        <v>0</v>
      </c>
      <c r="L335" t="n">
        <v>0</v>
      </c>
      <c r="M335" t="n">
        <v>0</v>
      </c>
      <c r="N335" t="n">
        <v>0</v>
      </c>
      <c r="O335" t="n">
        <v>0</v>
      </c>
      <c r="P335" t="n">
        <v>0</v>
      </c>
      <c r="Q335" t="n">
        <v>0</v>
      </c>
      <c r="R335" s="2" t="inlineStr"/>
    </row>
    <row r="336" ht="15" customHeight="1">
      <c r="A336" t="inlineStr">
        <is>
          <t>A 14155-2021</t>
        </is>
      </c>
      <c r="B336" s="1" t="n">
        <v>44278</v>
      </c>
      <c r="C336" s="1" t="n">
        <v>45630</v>
      </c>
      <c r="D336" t="inlineStr">
        <is>
          <t>JÄMTLANDS LÄN</t>
        </is>
      </c>
      <c r="E336" t="inlineStr">
        <is>
          <t>ÖSTERSUND</t>
        </is>
      </c>
      <c r="G336" t="n">
        <v>2.6</v>
      </c>
      <c r="H336" t="n">
        <v>0</v>
      </c>
      <c r="I336" t="n">
        <v>0</v>
      </c>
      <c r="J336" t="n">
        <v>0</v>
      </c>
      <c r="K336" t="n">
        <v>0</v>
      </c>
      <c r="L336" t="n">
        <v>0</v>
      </c>
      <c r="M336" t="n">
        <v>0</v>
      </c>
      <c r="N336" t="n">
        <v>0</v>
      </c>
      <c r="O336" t="n">
        <v>0</v>
      </c>
      <c r="P336" t="n">
        <v>0</v>
      </c>
      <c r="Q336" t="n">
        <v>0</v>
      </c>
      <c r="R336" s="2" t="inlineStr"/>
    </row>
    <row r="337" ht="15" customHeight="1">
      <c r="A337" t="inlineStr">
        <is>
          <t>A 15659-2021</t>
        </is>
      </c>
      <c r="B337" s="1" t="n">
        <v>44298</v>
      </c>
      <c r="C337" s="1" t="n">
        <v>45630</v>
      </c>
      <c r="D337" t="inlineStr">
        <is>
          <t>JÄMTLANDS LÄN</t>
        </is>
      </c>
      <c r="E337" t="inlineStr">
        <is>
          <t>ÖSTERSUND</t>
        </is>
      </c>
      <c r="G337" t="n">
        <v>13.3</v>
      </c>
      <c r="H337" t="n">
        <v>0</v>
      </c>
      <c r="I337" t="n">
        <v>0</v>
      </c>
      <c r="J337" t="n">
        <v>0</v>
      </c>
      <c r="K337" t="n">
        <v>0</v>
      </c>
      <c r="L337" t="n">
        <v>0</v>
      </c>
      <c r="M337" t="n">
        <v>0</v>
      </c>
      <c r="N337" t="n">
        <v>0</v>
      </c>
      <c r="O337" t="n">
        <v>0</v>
      </c>
      <c r="P337" t="n">
        <v>0</v>
      </c>
      <c r="Q337" t="n">
        <v>0</v>
      </c>
      <c r="R337" s="2" t="inlineStr"/>
    </row>
    <row r="338" ht="15" customHeight="1">
      <c r="A338" t="inlineStr">
        <is>
          <t>A 17362-2021</t>
        </is>
      </c>
      <c r="B338" s="1" t="n">
        <v>44298</v>
      </c>
      <c r="C338" s="1" t="n">
        <v>45630</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17596-2021</t>
        </is>
      </c>
      <c r="B339" s="1" t="n">
        <v>44299</v>
      </c>
      <c r="C339" s="1" t="n">
        <v>45630</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19541-2021</t>
        </is>
      </c>
      <c r="B340" s="1" t="n">
        <v>44312</v>
      </c>
      <c r="C340" s="1" t="n">
        <v>45630</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20290-2021</t>
        </is>
      </c>
      <c r="B341" s="1" t="n">
        <v>44314</v>
      </c>
      <c r="C341" s="1" t="n">
        <v>45630</v>
      </c>
      <c r="D341" t="inlineStr">
        <is>
          <t>JÄMTLANDS LÄN</t>
        </is>
      </c>
      <c r="E341" t="inlineStr">
        <is>
          <t>ÖSTERSUND</t>
        </is>
      </c>
      <c r="F341" t="inlineStr">
        <is>
          <t>SCA</t>
        </is>
      </c>
      <c r="G341" t="n">
        <v>8.1</v>
      </c>
      <c r="H341" t="n">
        <v>0</v>
      </c>
      <c r="I341" t="n">
        <v>0</v>
      </c>
      <c r="J341" t="n">
        <v>0</v>
      </c>
      <c r="K341" t="n">
        <v>0</v>
      </c>
      <c r="L341" t="n">
        <v>0</v>
      </c>
      <c r="M341" t="n">
        <v>0</v>
      </c>
      <c r="N341" t="n">
        <v>0</v>
      </c>
      <c r="O341" t="n">
        <v>0</v>
      </c>
      <c r="P341" t="n">
        <v>0</v>
      </c>
      <c r="Q341" t="n">
        <v>0</v>
      </c>
      <c r="R341" s="2" t="inlineStr"/>
    </row>
    <row r="342" ht="15" customHeight="1">
      <c r="A342" t="inlineStr">
        <is>
          <t>A 20620-2021</t>
        </is>
      </c>
      <c r="B342" s="1" t="n">
        <v>44316</v>
      </c>
      <c r="C342" s="1" t="n">
        <v>45630</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21306-2021</t>
        </is>
      </c>
      <c r="B343" s="1" t="n">
        <v>44320</v>
      </c>
      <c r="C343" s="1" t="n">
        <v>45630</v>
      </c>
      <c r="D343" t="inlineStr">
        <is>
          <t>JÄMTLANDS LÄN</t>
        </is>
      </c>
      <c r="E343" t="inlineStr">
        <is>
          <t>ÖSTERSUND</t>
        </is>
      </c>
      <c r="G343" t="n">
        <v>4.5</v>
      </c>
      <c r="H343" t="n">
        <v>0</v>
      </c>
      <c r="I343" t="n">
        <v>0</v>
      </c>
      <c r="J343" t="n">
        <v>0</v>
      </c>
      <c r="K343" t="n">
        <v>0</v>
      </c>
      <c r="L343" t="n">
        <v>0</v>
      </c>
      <c r="M343" t="n">
        <v>0</v>
      </c>
      <c r="N343" t="n">
        <v>0</v>
      </c>
      <c r="O343" t="n">
        <v>0</v>
      </c>
      <c r="P343" t="n">
        <v>0</v>
      </c>
      <c r="Q343" t="n">
        <v>0</v>
      </c>
      <c r="R343" s="2" t="inlineStr"/>
    </row>
    <row r="344" ht="15" customHeight="1">
      <c r="A344" t="inlineStr">
        <is>
          <t>A 21849-2021</t>
        </is>
      </c>
      <c r="B344" s="1" t="n">
        <v>44322</v>
      </c>
      <c r="C344" s="1" t="n">
        <v>45630</v>
      </c>
      <c r="D344" t="inlineStr">
        <is>
          <t>JÄMTLANDS LÄN</t>
        </is>
      </c>
      <c r="E344" t="inlineStr">
        <is>
          <t>ÖSTERSUND</t>
        </is>
      </c>
      <c r="G344" t="n">
        <v>2.5</v>
      </c>
      <c r="H344" t="n">
        <v>0</v>
      </c>
      <c r="I344" t="n">
        <v>0</v>
      </c>
      <c r="J344" t="n">
        <v>0</v>
      </c>
      <c r="K344" t="n">
        <v>0</v>
      </c>
      <c r="L344" t="n">
        <v>0</v>
      </c>
      <c r="M344" t="n">
        <v>0</v>
      </c>
      <c r="N344" t="n">
        <v>0</v>
      </c>
      <c r="O344" t="n">
        <v>0</v>
      </c>
      <c r="P344" t="n">
        <v>0</v>
      </c>
      <c r="Q344" t="n">
        <v>0</v>
      </c>
      <c r="R344" s="2" t="inlineStr"/>
    </row>
    <row r="345" ht="15" customHeight="1">
      <c r="A345" t="inlineStr">
        <is>
          <t>A 22126-2021</t>
        </is>
      </c>
      <c r="B345" s="1" t="n">
        <v>44323</v>
      </c>
      <c r="C345" s="1" t="n">
        <v>45630</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23187-2021</t>
        </is>
      </c>
      <c r="B346" s="1" t="n">
        <v>44328</v>
      </c>
      <c r="C346" s="1" t="n">
        <v>45630</v>
      </c>
      <c r="D346" t="inlineStr">
        <is>
          <t>JÄMTLANDS LÄN</t>
        </is>
      </c>
      <c r="E346" t="inlineStr">
        <is>
          <t>ÖSTERSUND</t>
        </is>
      </c>
      <c r="G346" t="n">
        <v>1.8</v>
      </c>
      <c r="H346" t="n">
        <v>0</v>
      </c>
      <c r="I346" t="n">
        <v>0</v>
      </c>
      <c r="J346" t="n">
        <v>0</v>
      </c>
      <c r="K346" t="n">
        <v>0</v>
      </c>
      <c r="L346" t="n">
        <v>0</v>
      </c>
      <c r="M346" t="n">
        <v>0</v>
      </c>
      <c r="N346" t="n">
        <v>0</v>
      </c>
      <c r="O346" t="n">
        <v>0</v>
      </c>
      <c r="P346" t="n">
        <v>0</v>
      </c>
      <c r="Q346" t="n">
        <v>0</v>
      </c>
      <c r="R346" s="2" t="inlineStr"/>
    </row>
    <row r="347" ht="15" customHeight="1">
      <c r="A347" t="inlineStr">
        <is>
          <t>A 23895-2021</t>
        </is>
      </c>
      <c r="B347" s="1" t="n">
        <v>44335</v>
      </c>
      <c r="C347" s="1" t="n">
        <v>45630</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24312-2021</t>
        </is>
      </c>
      <c r="B348" s="1" t="n">
        <v>44336</v>
      </c>
      <c r="C348" s="1" t="n">
        <v>45630</v>
      </c>
      <c r="D348" t="inlineStr">
        <is>
          <t>JÄMTLANDS LÄN</t>
        </is>
      </c>
      <c r="E348" t="inlineStr">
        <is>
          <t>ÖSTERSUND</t>
        </is>
      </c>
      <c r="G348" t="n">
        <v>10.6</v>
      </c>
      <c r="H348" t="n">
        <v>0</v>
      </c>
      <c r="I348" t="n">
        <v>0</v>
      </c>
      <c r="J348" t="n">
        <v>0</v>
      </c>
      <c r="K348" t="n">
        <v>0</v>
      </c>
      <c r="L348" t="n">
        <v>0</v>
      </c>
      <c r="M348" t="n">
        <v>0</v>
      </c>
      <c r="N348" t="n">
        <v>0</v>
      </c>
      <c r="O348" t="n">
        <v>0</v>
      </c>
      <c r="P348" t="n">
        <v>0</v>
      </c>
      <c r="Q348" t="n">
        <v>0</v>
      </c>
      <c r="R348" s="2" t="inlineStr"/>
    </row>
    <row r="349" ht="15" customHeight="1">
      <c r="A349" t="inlineStr">
        <is>
          <t>A 24706-2021</t>
        </is>
      </c>
      <c r="B349" s="1" t="n">
        <v>44340</v>
      </c>
      <c r="C349" s="1" t="n">
        <v>45630</v>
      </c>
      <c r="D349" t="inlineStr">
        <is>
          <t>JÄMTLANDS LÄN</t>
        </is>
      </c>
      <c r="E349" t="inlineStr">
        <is>
          <t>ÖSTERSUND</t>
        </is>
      </c>
      <c r="G349" t="n">
        <v>5.6</v>
      </c>
      <c r="H349" t="n">
        <v>0</v>
      </c>
      <c r="I349" t="n">
        <v>0</v>
      </c>
      <c r="J349" t="n">
        <v>0</v>
      </c>
      <c r="K349" t="n">
        <v>0</v>
      </c>
      <c r="L349" t="n">
        <v>0</v>
      </c>
      <c r="M349" t="n">
        <v>0</v>
      </c>
      <c r="N349" t="n">
        <v>0</v>
      </c>
      <c r="O349" t="n">
        <v>0</v>
      </c>
      <c r="P349" t="n">
        <v>0</v>
      </c>
      <c r="Q349" t="n">
        <v>0</v>
      </c>
      <c r="R349" s="2" t="inlineStr"/>
    </row>
    <row r="350" ht="15" customHeight="1">
      <c r="A350" t="inlineStr">
        <is>
          <t>A 24721-2021</t>
        </is>
      </c>
      <c r="B350" s="1" t="n">
        <v>44340</v>
      </c>
      <c r="C350" s="1" t="n">
        <v>45630</v>
      </c>
      <c r="D350" t="inlineStr">
        <is>
          <t>JÄMTLANDS LÄN</t>
        </is>
      </c>
      <c r="E350" t="inlineStr">
        <is>
          <t>ÖSTERSUND</t>
        </is>
      </c>
      <c r="G350" t="n">
        <v>2.7</v>
      </c>
      <c r="H350" t="n">
        <v>0</v>
      </c>
      <c r="I350" t="n">
        <v>0</v>
      </c>
      <c r="J350" t="n">
        <v>0</v>
      </c>
      <c r="K350" t="n">
        <v>0</v>
      </c>
      <c r="L350" t="n">
        <v>0</v>
      </c>
      <c r="M350" t="n">
        <v>0</v>
      </c>
      <c r="N350" t="n">
        <v>0</v>
      </c>
      <c r="O350" t="n">
        <v>0</v>
      </c>
      <c r="P350" t="n">
        <v>0</v>
      </c>
      <c r="Q350" t="n">
        <v>0</v>
      </c>
      <c r="R350" s="2" t="inlineStr"/>
    </row>
    <row r="351" ht="15" customHeight="1">
      <c r="A351" t="inlineStr">
        <is>
          <t>A 26254-2021</t>
        </is>
      </c>
      <c r="B351" s="1" t="n">
        <v>44347</v>
      </c>
      <c r="C351" s="1" t="n">
        <v>45630</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26259-2021</t>
        </is>
      </c>
      <c r="B352" s="1" t="n">
        <v>44347</v>
      </c>
      <c r="C352" s="1" t="n">
        <v>45630</v>
      </c>
      <c r="D352" t="inlineStr">
        <is>
          <t>JÄMTLANDS LÄN</t>
        </is>
      </c>
      <c r="E352" t="inlineStr">
        <is>
          <t>ÖSTERSUND</t>
        </is>
      </c>
      <c r="G352" t="n">
        <v>4.3</v>
      </c>
      <c r="H352" t="n">
        <v>0</v>
      </c>
      <c r="I352" t="n">
        <v>0</v>
      </c>
      <c r="J352" t="n">
        <v>0</v>
      </c>
      <c r="K352" t="n">
        <v>0</v>
      </c>
      <c r="L352" t="n">
        <v>0</v>
      </c>
      <c r="M352" t="n">
        <v>0</v>
      </c>
      <c r="N352" t="n">
        <v>0</v>
      </c>
      <c r="O352" t="n">
        <v>0</v>
      </c>
      <c r="P352" t="n">
        <v>0</v>
      </c>
      <c r="Q352" t="n">
        <v>0</v>
      </c>
      <c r="R352" s="2" t="inlineStr"/>
    </row>
    <row r="353" ht="15" customHeight="1">
      <c r="A353" t="inlineStr">
        <is>
          <t>A 27061-2021</t>
        </is>
      </c>
      <c r="B353" s="1" t="n">
        <v>44349</v>
      </c>
      <c r="C353" s="1" t="n">
        <v>45630</v>
      </c>
      <c r="D353" t="inlineStr">
        <is>
          <t>JÄMTLANDS LÄN</t>
        </is>
      </c>
      <c r="E353" t="inlineStr">
        <is>
          <t>ÖSTERSUND</t>
        </is>
      </c>
      <c r="G353" t="n">
        <v>3.2</v>
      </c>
      <c r="H353" t="n">
        <v>0</v>
      </c>
      <c r="I353" t="n">
        <v>0</v>
      </c>
      <c r="J353" t="n">
        <v>0</v>
      </c>
      <c r="K353" t="n">
        <v>0</v>
      </c>
      <c r="L353" t="n">
        <v>0</v>
      </c>
      <c r="M353" t="n">
        <v>0</v>
      </c>
      <c r="N353" t="n">
        <v>0</v>
      </c>
      <c r="O353" t="n">
        <v>0</v>
      </c>
      <c r="P353" t="n">
        <v>0</v>
      </c>
      <c r="Q353" t="n">
        <v>0</v>
      </c>
      <c r="R353" s="2" t="inlineStr"/>
    </row>
    <row r="354" ht="15" customHeight="1">
      <c r="A354" t="inlineStr">
        <is>
          <t>A 27004-2021</t>
        </is>
      </c>
      <c r="B354" s="1" t="n">
        <v>44349</v>
      </c>
      <c r="C354" s="1" t="n">
        <v>45630</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29582-2021</t>
        </is>
      </c>
      <c r="B355" s="1" t="n">
        <v>44362</v>
      </c>
      <c r="C355" s="1" t="n">
        <v>45630</v>
      </c>
      <c r="D355" t="inlineStr">
        <is>
          <t>JÄMTLANDS LÄN</t>
        </is>
      </c>
      <c r="E355" t="inlineStr">
        <is>
          <t>ÖSTERSUND</t>
        </is>
      </c>
      <c r="G355" t="n">
        <v>31.5</v>
      </c>
      <c r="H355" t="n">
        <v>0</v>
      </c>
      <c r="I355" t="n">
        <v>0</v>
      </c>
      <c r="J355" t="n">
        <v>0</v>
      </c>
      <c r="K355" t="n">
        <v>0</v>
      </c>
      <c r="L355" t="n">
        <v>0</v>
      </c>
      <c r="M355" t="n">
        <v>0</v>
      </c>
      <c r="N355" t="n">
        <v>0</v>
      </c>
      <c r="O355" t="n">
        <v>0</v>
      </c>
      <c r="P355" t="n">
        <v>0</v>
      </c>
      <c r="Q355" t="n">
        <v>0</v>
      </c>
      <c r="R355" s="2" t="inlineStr"/>
    </row>
    <row r="356" ht="15" customHeight="1">
      <c r="A356" t="inlineStr">
        <is>
          <t>A 29707-2021</t>
        </is>
      </c>
      <c r="B356" s="1" t="n">
        <v>44362</v>
      </c>
      <c r="C356" s="1" t="n">
        <v>45630</v>
      </c>
      <c r="D356" t="inlineStr">
        <is>
          <t>JÄMTLANDS LÄN</t>
        </is>
      </c>
      <c r="E356" t="inlineStr">
        <is>
          <t>ÖSTERSUND</t>
        </is>
      </c>
      <c r="G356" t="n">
        <v>4</v>
      </c>
      <c r="H356" t="n">
        <v>0</v>
      </c>
      <c r="I356" t="n">
        <v>0</v>
      </c>
      <c r="J356" t="n">
        <v>0</v>
      </c>
      <c r="K356" t="n">
        <v>0</v>
      </c>
      <c r="L356" t="n">
        <v>0</v>
      </c>
      <c r="M356" t="n">
        <v>0</v>
      </c>
      <c r="N356" t="n">
        <v>0</v>
      </c>
      <c r="O356" t="n">
        <v>0</v>
      </c>
      <c r="P356" t="n">
        <v>0</v>
      </c>
      <c r="Q356" t="n">
        <v>0</v>
      </c>
      <c r="R356" s="2" t="inlineStr"/>
    </row>
    <row r="357" ht="15" customHeight="1">
      <c r="A357" t="inlineStr">
        <is>
          <t>A 31040-2021</t>
        </is>
      </c>
      <c r="B357" s="1" t="n">
        <v>44368</v>
      </c>
      <c r="C357" s="1" t="n">
        <v>45630</v>
      </c>
      <c r="D357" t="inlineStr">
        <is>
          <t>JÄMTLANDS LÄN</t>
        </is>
      </c>
      <c r="E357" t="inlineStr">
        <is>
          <t>ÖSTERSUND</t>
        </is>
      </c>
      <c r="G357" t="n">
        <v>4.3</v>
      </c>
      <c r="H357" t="n">
        <v>0</v>
      </c>
      <c r="I357" t="n">
        <v>0</v>
      </c>
      <c r="J357" t="n">
        <v>0</v>
      </c>
      <c r="K357" t="n">
        <v>0</v>
      </c>
      <c r="L357" t="n">
        <v>0</v>
      </c>
      <c r="M357" t="n">
        <v>0</v>
      </c>
      <c r="N357" t="n">
        <v>0</v>
      </c>
      <c r="O357" t="n">
        <v>0</v>
      </c>
      <c r="P357" t="n">
        <v>0</v>
      </c>
      <c r="Q357" t="n">
        <v>0</v>
      </c>
      <c r="R357" s="2" t="inlineStr"/>
    </row>
    <row r="358" ht="15" customHeight="1">
      <c r="A358" t="inlineStr">
        <is>
          <t>A 32994-2021</t>
        </is>
      </c>
      <c r="B358" s="1" t="n">
        <v>44375</v>
      </c>
      <c r="C358" s="1" t="n">
        <v>45630</v>
      </c>
      <c r="D358" t="inlineStr">
        <is>
          <t>JÄMTLANDS LÄN</t>
        </is>
      </c>
      <c r="E358" t="inlineStr">
        <is>
          <t>ÖSTERSUND</t>
        </is>
      </c>
      <c r="G358" t="n">
        <v>0.1</v>
      </c>
      <c r="H358" t="n">
        <v>0</v>
      </c>
      <c r="I358" t="n">
        <v>0</v>
      </c>
      <c r="J358" t="n">
        <v>0</v>
      </c>
      <c r="K358" t="n">
        <v>0</v>
      </c>
      <c r="L358" t="n">
        <v>0</v>
      </c>
      <c r="M358" t="n">
        <v>0</v>
      </c>
      <c r="N358" t="n">
        <v>0</v>
      </c>
      <c r="O358" t="n">
        <v>0</v>
      </c>
      <c r="P358" t="n">
        <v>0</v>
      </c>
      <c r="Q358" t="n">
        <v>0</v>
      </c>
      <c r="R358" s="2" t="inlineStr"/>
    </row>
    <row r="359" ht="15" customHeight="1">
      <c r="A359" t="inlineStr">
        <is>
          <t>A 33004-2021</t>
        </is>
      </c>
      <c r="B359" s="1" t="n">
        <v>44375</v>
      </c>
      <c r="C359" s="1" t="n">
        <v>45630</v>
      </c>
      <c r="D359" t="inlineStr">
        <is>
          <t>JÄMTLANDS LÄN</t>
        </is>
      </c>
      <c r="E359" t="inlineStr">
        <is>
          <t>ÖSTERSUND</t>
        </is>
      </c>
      <c r="G359" t="n">
        <v>0.6</v>
      </c>
      <c r="H359" t="n">
        <v>0</v>
      </c>
      <c r="I359" t="n">
        <v>0</v>
      </c>
      <c r="J359" t="n">
        <v>0</v>
      </c>
      <c r="K359" t="n">
        <v>0</v>
      </c>
      <c r="L359" t="n">
        <v>0</v>
      </c>
      <c r="M359" t="n">
        <v>0</v>
      </c>
      <c r="N359" t="n">
        <v>0</v>
      </c>
      <c r="O359" t="n">
        <v>0</v>
      </c>
      <c r="P359" t="n">
        <v>0</v>
      </c>
      <c r="Q359" t="n">
        <v>0</v>
      </c>
      <c r="R359" s="2" t="inlineStr"/>
    </row>
    <row r="360" ht="15" customHeight="1">
      <c r="A360" t="inlineStr">
        <is>
          <t>A 32998-2021</t>
        </is>
      </c>
      <c r="B360" s="1" t="n">
        <v>44375</v>
      </c>
      <c r="C360" s="1" t="n">
        <v>45630</v>
      </c>
      <c r="D360" t="inlineStr">
        <is>
          <t>JÄMTLANDS LÄN</t>
        </is>
      </c>
      <c r="E360" t="inlineStr">
        <is>
          <t>ÖSTERSUND</t>
        </is>
      </c>
      <c r="G360" t="n">
        <v>0.1</v>
      </c>
      <c r="H360" t="n">
        <v>0</v>
      </c>
      <c r="I360" t="n">
        <v>0</v>
      </c>
      <c r="J360" t="n">
        <v>0</v>
      </c>
      <c r="K360" t="n">
        <v>0</v>
      </c>
      <c r="L360" t="n">
        <v>0</v>
      </c>
      <c r="M360" t="n">
        <v>0</v>
      </c>
      <c r="N360" t="n">
        <v>0</v>
      </c>
      <c r="O360" t="n">
        <v>0</v>
      </c>
      <c r="P360" t="n">
        <v>0</v>
      </c>
      <c r="Q360" t="n">
        <v>0</v>
      </c>
      <c r="R360" s="2" t="inlineStr"/>
    </row>
    <row r="361" ht="15" customHeight="1">
      <c r="A361" t="inlineStr">
        <is>
          <t>A 32986-2021</t>
        </is>
      </c>
      <c r="B361" s="1" t="n">
        <v>44375</v>
      </c>
      <c r="C361" s="1" t="n">
        <v>45630</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33002-2021</t>
        </is>
      </c>
      <c r="B362" s="1" t="n">
        <v>44375</v>
      </c>
      <c r="C362" s="1" t="n">
        <v>45630</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32990-2021</t>
        </is>
      </c>
      <c r="B363" s="1" t="n">
        <v>44375</v>
      </c>
      <c r="C363" s="1" t="n">
        <v>45630</v>
      </c>
      <c r="D363" t="inlineStr">
        <is>
          <t>JÄMTLANDS LÄN</t>
        </is>
      </c>
      <c r="E363" t="inlineStr">
        <is>
          <t>ÖSTERSUND</t>
        </is>
      </c>
      <c r="G363" t="n">
        <v>0.2</v>
      </c>
      <c r="H363" t="n">
        <v>0</v>
      </c>
      <c r="I363" t="n">
        <v>0</v>
      </c>
      <c r="J363" t="n">
        <v>0</v>
      </c>
      <c r="K363" t="n">
        <v>0</v>
      </c>
      <c r="L363" t="n">
        <v>0</v>
      </c>
      <c r="M363" t="n">
        <v>0</v>
      </c>
      <c r="N363" t="n">
        <v>0</v>
      </c>
      <c r="O363" t="n">
        <v>0</v>
      </c>
      <c r="P363" t="n">
        <v>0</v>
      </c>
      <c r="Q363" t="n">
        <v>0</v>
      </c>
      <c r="R363" s="2" t="inlineStr"/>
    </row>
    <row r="364" ht="15" customHeight="1">
      <c r="A364" t="inlineStr">
        <is>
          <t>A 33831-2021</t>
        </is>
      </c>
      <c r="B364" s="1" t="n">
        <v>44378</v>
      </c>
      <c r="C364" s="1" t="n">
        <v>45630</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35032-2021</t>
        </is>
      </c>
      <c r="B365" s="1" t="n">
        <v>44383</v>
      </c>
      <c r="C365" s="1" t="n">
        <v>45630</v>
      </c>
      <c r="D365" t="inlineStr">
        <is>
          <t>JÄMTLANDS LÄN</t>
        </is>
      </c>
      <c r="E365" t="inlineStr">
        <is>
          <t>ÖSTERSUND</t>
        </is>
      </c>
      <c r="G365" t="n">
        <v>0.9</v>
      </c>
      <c r="H365" t="n">
        <v>0</v>
      </c>
      <c r="I365" t="n">
        <v>0</v>
      </c>
      <c r="J365" t="n">
        <v>0</v>
      </c>
      <c r="K365" t="n">
        <v>0</v>
      </c>
      <c r="L365" t="n">
        <v>0</v>
      </c>
      <c r="M365" t="n">
        <v>0</v>
      </c>
      <c r="N365" t="n">
        <v>0</v>
      </c>
      <c r="O365" t="n">
        <v>0</v>
      </c>
      <c r="P365" t="n">
        <v>0</v>
      </c>
      <c r="Q365" t="n">
        <v>0</v>
      </c>
      <c r="R365" s="2" t="inlineStr"/>
    </row>
    <row r="366" ht="15" customHeight="1">
      <c r="A366" t="inlineStr">
        <is>
          <t>A 35755-2021</t>
        </is>
      </c>
      <c r="B366" s="1" t="n">
        <v>44385</v>
      </c>
      <c r="C366" s="1" t="n">
        <v>45630</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38142-2021</t>
        </is>
      </c>
      <c r="B367" s="1" t="n">
        <v>44405</v>
      </c>
      <c r="C367" s="1" t="n">
        <v>45630</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38647-2021</t>
        </is>
      </c>
      <c r="B368" s="1" t="n">
        <v>44410</v>
      </c>
      <c r="C368" s="1" t="n">
        <v>45630</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38644-2021</t>
        </is>
      </c>
      <c r="B369" s="1" t="n">
        <v>44410</v>
      </c>
      <c r="C369" s="1" t="n">
        <v>45630</v>
      </c>
      <c r="D369" t="inlineStr">
        <is>
          <t>JÄMTLANDS LÄN</t>
        </is>
      </c>
      <c r="E369" t="inlineStr">
        <is>
          <t>ÖSTERSUND</t>
        </is>
      </c>
      <c r="G369" t="n">
        <v>1</v>
      </c>
      <c r="H369" t="n">
        <v>0</v>
      </c>
      <c r="I369" t="n">
        <v>0</v>
      </c>
      <c r="J369" t="n">
        <v>0</v>
      </c>
      <c r="K369" t="n">
        <v>0</v>
      </c>
      <c r="L369" t="n">
        <v>0</v>
      </c>
      <c r="M369" t="n">
        <v>0</v>
      </c>
      <c r="N369" t="n">
        <v>0</v>
      </c>
      <c r="O369" t="n">
        <v>0</v>
      </c>
      <c r="P369" t="n">
        <v>0</v>
      </c>
      <c r="Q369" t="n">
        <v>0</v>
      </c>
      <c r="R369" s="2" t="inlineStr"/>
    </row>
    <row r="370" ht="15" customHeight="1">
      <c r="A370" t="inlineStr">
        <is>
          <t>A 39735-2021</t>
        </is>
      </c>
      <c r="B370" s="1" t="n">
        <v>44414</v>
      </c>
      <c r="C370" s="1" t="n">
        <v>45630</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40038-2021</t>
        </is>
      </c>
      <c r="B371" s="1" t="n">
        <v>44418</v>
      </c>
      <c r="C371" s="1" t="n">
        <v>45630</v>
      </c>
      <c r="D371" t="inlineStr">
        <is>
          <t>JÄMTLANDS LÄN</t>
        </is>
      </c>
      <c r="E371" t="inlineStr">
        <is>
          <t>ÖSTERSUND</t>
        </is>
      </c>
      <c r="G371" t="n">
        <v>7</v>
      </c>
      <c r="H371" t="n">
        <v>0</v>
      </c>
      <c r="I371" t="n">
        <v>0</v>
      </c>
      <c r="J371" t="n">
        <v>0</v>
      </c>
      <c r="K371" t="n">
        <v>0</v>
      </c>
      <c r="L371" t="n">
        <v>0</v>
      </c>
      <c r="M371" t="n">
        <v>0</v>
      </c>
      <c r="N371" t="n">
        <v>0</v>
      </c>
      <c r="O371" t="n">
        <v>0</v>
      </c>
      <c r="P371" t="n">
        <v>0</v>
      </c>
      <c r="Q371" t="n">
        <v>0</v>
      </c>
      <c r="R371" s="2" t="inlineStr"/>
    </row>
    <row r="372" ht="15" customHeight="1">
      <c r="A372" t="inlineStr">
        <is>
          <t>A 41802-2021</t>
        </is>
      </c>
      <c r="B372" s="1" t="n">
        <v>44425</v>
      </c>
      <c r="C372" s="1" t="n">
        <v>45630</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42469-2021</t>
        </is>
      </c>
      <c r="B373" s="1" t="n">
        <v>44427</v>
      </c>
      <c r="C373" s="1" t="n">
        <v>45630</v>
      </c>
      <c r="D373" t="inlineStr">
        <is>
          <t>JÄMTLANDS LÄN</t>
        </is>
      </c>
      <c r="E373" t="inlineStr">
        <is>
          <t>ÖSTERSUND</t>
        </is>
      </c>
      <c r="G373" t="n">
        <v>1.5</v>
      </c>
      <c r="H373" t="n">
        <v>0</v>
      </c>
      <c r="I373" t="n">
        <v>0</v>
      </c>
      <c r="J373" t="n">
        <v>0</v>
      </c>
      <c r="K373" t="n">
        <v>0</v>
      </c>
      <c r="L373" t="n">
        <v>0</v>
      </c>
      <c r="M373" t="n">
        <v>0</v>
      </c>
      <c r="N373" t="n">
        <v>0</v>
      </c>
      <c r="O373" t="n">
        <v>0</v>
      </c>
      <c r="P373" t="n">
        <v>0</v>
      </c>
      <c r="Q373" t="n">
        <v>0</v>
      </c>
      <c r="R373" s="2" t="inlineStr"/>
    </row>
    <row r="374" ht="15" customHeight="1">
      <c r="A374" t="inlineStr">
        <is>
          <t>A 42793-2021</t>
        </is>
      </c>
      <c r="B374" s="1" t="n">
        <v>44428</v>
      </c>
      <c r="C374" s="1" t="n">
        <v>45630</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42832-2021</t>
        </is>
      </c>
      <c r="B375" s="1" t="n">
        <v>44430</v>
      </c>
      <c r="C375" s="1" t="n">
        <v>45630</v>
      </c>
      <c r="D375" t="inlineStr">
        <is>
          <t>JÄMTLANDS LÄN</t>
        </is>
      </c>
      <c r="E375" t="inlineStr">
        <is>
          <t>ÖSTERSUND</t>
        </is>
      </c>
      <c r="G375" t="n">
        <v>9</v>
      </c>
      <c r="H375" t="n">
        <v>0</v>
      </c>
      <c r="I375" t="n">
        <v>0</v>
      </c>
      <c r="J375" t="n">
        <v>0</v>
      </c>
      <c r="K375" t="n">
        <v>0</v>
      </c>
      <c r="L375" t="n">
        <v>0</v>
      </c>
      <c r="M375" t="n">
        <v>0</v>
      </c>
      <c r="N375" t="n">
        <v>0</v>
      </c>
      <c r="O375" t="n">
        <v>0</v>
      </c>
      <c r="P375" t="n">
        <v>0</v>
      </c>
      <c r="Q375" t="n">
        <v>0</v>
      </c>
      <c r="R375" s="2" t="inlineStr"/>
    </row>
    <row r="376" ht="15" customHeight="1">
      <c r="A376" t="inlineStr">
        <is>
          <t>A 43310-2021</t>
        </is>
      </c>
      <c r="B376" s="1" t="n">
        <v>44432</v>
      </c>
      <c r="C376" s="1" t="n">
        <v>45630</v>
      </c>
      <c r="D376" t="inlineStr">
        <is>
          <t>JÄMTLANDS LÄN</t>
        </is>
      </c>
      <c r="E376" t="inlineStr">
        <is>
          <t>ÖSTERSUND</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44013-2021</t>
        </is>
      </c>
      <c r="B377" s="1" t="n">
        <v>44434</v>
      </c>
      <c r="C377" s="1" t="n">
        <v>45630</v>
      </c>
      <c r="D377" t="inlineStr">
        <is>
          <t>JÄMTLANDS LÄN</t>
        </is>
      </c>
      <c r="E377" t="inlineStr">
        <is>
          <t>ÖSTERSUND</t>
        </is>
      </c>
      <c r="G377" t="n">
        <v>1.9</v>
      </c>
      <c r="H377" t="n">
        <v>0</v>
      </c>
      <c r="I377" t="n">
        <v>0</v>
      </c>
      <c r="J377" t="n">
        <v>0</v>
      </c>
      <c r="K377" t="n">
        <v>0</v>
      </c>
      <c r="L377" t="n">
        <v>0</v>
      </c>
      <c r="M377" t="n">
        <v>0</v>
      </c>
      <c r="N377" t="n">
        <v>0</v>
      </c>
      <c r="O377" t="n">
        <v>0</v>
      </c>
      <c r="P377" t="n">
        <v>0</v>
      </c>
      <c r="Q377" t="n">
        <v>0</v>
      </c>
      <c r="R377" s="2" t="inlineStr"/>
    </row>
    <row r="378" ht="15" customHeight="1">
      <c r="A378" t="inlineStr">
        <is>
          <t>A 44051-2021</t>
        </is>
      </c>
      <c r="B378" s="1" t="n">
        <v>44434</v>
      </c>
      <c r="C378" s="1" t="n">
        <v>45630</v>
      </c>
      <c r="D378" t="inlineStr">
        <is>
          <t>JÄMTLANDS LÄN</t>
        </is>
      </c>
      <c r="E378" t="inlineStr">
        <is>
          <t>ÖSTERSUND</t>
        </is>
      </c>
      <c r="G378" t="n">
        <v>2.9</v>
      </c>
      <c r="H378" t="n">
        <v>0</v>
      </c>
      <c r="I378" t="n">
        <v>0</v>
      </c>
      <c r="J378" t="n">
        <v>0</v>
      </c>
      <c r="K378" t="n">
        <v>0</v>
      </c>
      <c r="L378" t="n">
        <v>0</v>
      </c>
      <c r="M378" t="n">
        <v>0</v>
      </c>
      <c r="N378" t="n">
        <v>0</v>
      </c>
      <c r="O378" t="n">
        <v>0</v>
      </c>
      <c r="P378" t="n">
        <v>0</v>
      </c>
      <c r="Q378" t="n">
        <v>0</v>
      </c>
      <c r="R378" s="2" t="inlineStr"/>
    </row>
    <row r="379" ht="15" customHeight="1">
      <c r="A379" t="inlineStr">
        <is>
          <t>A 44267-2021</t>
        </is>
      </c>
      <c r="B379" s="1" t="n">
        <v>44434</v>
      </c>
      <c r="C379" s="1" t="n">
        <v>45630</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46002-2021</t>
        </is>
      </c>
      <c r="B380" s="1" t="n">
        <v>44441</v>
      </c>
      <c r="C380" s="1" t="n">
        <v>45630</v>
      </c>
      <c r="D380" t="inlineStr">
        <is>
          <t>JÄMTLANDS LÄN</t>
        </is>
      </c>
      <c r="E380" t="inlineStr">
        <is>
          <t>ÖSTERSUND</t>
        </is>
      </c>
      <c r="G380" t="n">
        <v>3.6</v>
      </c>
      <c r="H380" t="n">
        <v>0</v>
      </c>
      <c r="I380" t="n">
        <v>0</v>
      </c>
      <c r="J380" t="n">
        <v>0</v>
      </c>
      <c r="K380" t="n">
        <v>0</v>
      </c>
      <c r="L380" t="n">
        <v>0</v>
      </c>
      <c r="M380" t="n">
        <v>0</v>
      </c>
      <c r="N380" t="n">
        <v>0</v>
      </c>
      <c r="O380" t="n">
        <v>0</v>
      </c>
      <c r="P380" t="n">
        <v>0</v>
      </c>
      <c r="Q380" t="n">
        <v>0</v>
      </c>
      <c r="R380" s="2" t="inlineStr"/>
    </row>
    <row r="381" ht="15" customHeight="1">
      <c r="A381" t="inlineStr">
        <is>
          <t>A 46004-2021</t>
        </is>
      </c>
      <c r="B381" s="1" t="n">
        <v>44441</v>
      </c>
      <c r="C381" s="1" t="n">
        <v>45630</v>
      </c>
      <c r="D381" t="inlineStr">
        <is>
          <t>JÄMTLANDS LÄN</t>
        </is>
      </c>
      <c r="E381" t="inlineStr">
        <is>
          <t>ÖSTERSUND</t>
        </is>
      </c>
      <c r="G381" t="n">
        <v>2.1</v>
      </c>
      <c r="H381" t="n">
        <v>0</v>
      </c>
      <c r="I381" t="n">
        <v>0</v>
      </c>
      <c r="J381" t="n">
        <v>0</v>
      </c>
      <c r="K381" t="n">
        <v>0</v>
      </c>
      <c r="L381" t="n">
        <v>0</v>
      </c>
      <c r="M381" t="n">
        <v>0</v>
      </c>
      <c r="N381" t="n">
        <v>0</v>
      </c>
      <c r="O381" t="n">
        <v>0</v>
      </c>
      <c r="P381" t="n">
        <v>0</v>
      </c>
      <c r="Q381" t="n">
        <v>0</v>
      </c>
      <c r="R381" s="2" t="inlineStr"/>
    </row>
    <row r="382" ht="15" customHeight="1">
      <c r="A382" t="inlineStr">
        <is>
          <t>A 46111-2021</t>
        </is>
      </c>
      <c r="B382" s="1" t="n">
        <v>44441</v>
      </c>
      <c r="C382" s="1" t="n">
        <v>45630</v>
      </c>
      <c r="D382" t="inlineStr">
        <is>
          <t>JÄMTLANDS LÄN</t>
        </is>
      </c>
      <c r="E382" t="inlineStr">
        <is>
          <t>ÖSTERSUND</t>
        </is>
      </c>
      <c r="G382" t="n">
        <v>4.6</v>
      </c>
      <c r="H382" t="n">
        <v>0</v>
      </c>
      <c r="I382" t="n">
        <v>0</v>
      </c>
      <c r="J382" t="n">
        <v>0</v>
      </c>
      <c r="K382" t="n">
        <v>0</v>
      </c>
      <c r="L382" t="n">
        <v>0</v>
      </c>
      <c r="M382" t="n">
        <v>0</v>
      </c>
      <c r="N382" t="n">
        <v>0</v>
      </c>
      <c r="O382" t="n">
        <v>0</v>
      </c>
      <c r="P382" t="n">
        <v>0</v>
      </c>
      <c r="Q382" t="n">
        <v>0</v>
      </c>
      <c r="R382" s="2" t="inlineStr"/>
    </row>
    <row r="383" ht="15" customHeight="1">
      <c r="A383" t="inlineStr">
        <is>
          <t>A 46139-2021</t>
        </is>
      </c>
      <c r="B383" s="1" t="n">
        <v>44441</v>
      </c>
      <c r="C383" s="1" t="n">
        <v>45630</v>
      </c>
      <c r="D383" t="inlineStr">
        <is>
          <t>JÄMTLANDS LÄN</t>
        </is>
      </c>
      <c r="E383" t="inlineStr">
        <is>
          <t>ÖSTERSUND</t>
        </is>
      </c>
      <c r="G383" t="n">
        <v>12.8</v>
      </c>
      <c r="H383" t="n">
        <v>0</v>
      </c>
      <c r="I383" t="n">
        <v>0</v>
      </c>
      <c r="J383" t="n">
        <v>0</v>
      </c>
      <c r="K383" t="n">
        <v>0</v>
      </c>
      <c r="L383" t="n">
        <v>0</v>
      </c>
      <c r="M383" t="n">
        <v>0</v>
      </c>
      <c r="N383" t="n">
        <v>0</v>
      </c>
      <c r="O383" t="n">
        <v>0</v>
      </c>
      <c r="P383" t="n">
        <v>0</v>
      </c>
      <c r="Q383" t="n">
        <v>0</v>
      </c>
      <c r="R383" s="2" t="inlineStr"/>
    </row>
    <row r="384" ht="15" customHeight="1">
      <c r="A384" t="inlineStr">
        <is>
          <t>A 48947-2021</t>
        </is>
      </c>
      <c r="B384" s="1" t="n">
        <v>44453</v>
      </c>
      <c r="C384" s="1" t="n">
        <v>45630</v>
      </c>
      <c r="D384" t="inlineStr">
        <is>
          <t>JÄMTLANDS LÄN</t>
        </is>
      </c>
      <c r="E384" t="inlineStr">
        <is>
          <t>ÖSTERSUND</t>
        </is>
      </c>
      <c r="G384" t="n">
        <v>22.3</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45630</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55302-2021</t>
        </is>
      </c>
      <c r="B386" s="1" t="n">
        <v>44475</v>
      </c>
      <c r="C386" s="1" t="n">
        <v>45630</v>
      </c>
      <c r="D386" t="inlineStr">
        <is>
          <t>JÄMTLANDS LÄN</t>
        </is>
      </c>
      <c r="E386" t="inlineStr">
        <is>
          <t>ÖSTERSUND</t>
        </is>
      </c>
      <c r="G386" t="n">
        <v>0.3</v>
      </c>
      <c r="H386" t="n">
        <v>0</v>
      </c>
      <c r="I386" t="n">
        <v>0</v>
      </c>
      <c r="J386" t="n">
        <v>0</v>
      </c>
      <c r="K386" t="n">
        <v>0</v>
      </c>
      <c r="L386" t="n">
        <v>0</v>
      </c>
      <c r="M386" t="n">
        <v>0</v>
      </c>
      <c r="N386" t="n">
        <v>0</v>
      </c>
      <c r="O386" t="n">
        <v>0</v>
      </c>
      <c r="P386" t="n">
        <v>0</v>
      </c>
      <c r="Q386" t="n">
        <v>0</v>
      </c>
      <c r="R386" s="2" t="inlineStr"/>
    </row>
    <row r="387" ht="15" customHeight="1">
      <c r="A387" t="inlineStr">
        <is>
          <t>A 61631-2021</t>
        </is>
      </c>
      <c r="B387" s="1" t="n">
        <v>44501</v>
      </c>
      <c r="C387" s="1" t="n">
        <v>45630</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64092-2021</t>
        </is>
      </c>
      <c r="B388" s="1" t="n">
        <v>44510</v>
      </c>
      <c r="C388" s="1" t="n">
        <v>45630</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64645-2021</t>
        </is>
      </c>
      <c r="B389" s="1" t="n">
        <v>44511</v>
      </c>
      <c r="C389" s="1" t="n">
        <v>45630</v>
      </c>
      <c r="D389" t="inlineStr">
        <is>
          <t>JÄMTLANDS LÄN</t>
        </is>
      </c>
      <c r="E389" t="inlineStr">
        <is>
          <t>ÖSTERSUND</t>
        </is>
      </c>
      <c r="G389" t="n">
        <v>3.2</v>
      </c>
      <c r="H389" t="n">
        <v>0</v>
      </c>
      <c r="I389" t="n">
        <v>0</v>
      </c>
      <c r="J389" t="n">
        <v>0</v>
      </c>
      <c r="K389" t="n">
        <v>0</v>
      </c>
      <c r="L389" t="n">
        <v>0</v>
      </c>
      <c r="M389" t="n">
        <v>0</v>
      </c>
      <c r="N389" t="n">
        <v>0</v>
      </c>
      <c r="O389" t="n">
        <v>0</v>
      </c>
      <c r="P389" t="n">
        <v>0</v>
      </c>
      <c r="Q389" t="n">
        <v>0</v>
      </c>
      <c r="R389" s="2" t="inlineStr"/>
    </row>
    <row r="390" ht="15" customHeight="1">
      <c r="A390" t="inlineStr">
        <is>
          <t>A 65428-2021</t>
        </is>
      </c>
      <c r="B390" s="1" t="n">
        <v>44515</v>
      </c>
      <c r="C390" s="1" t="n">
        <v>45630</v>
      </c>
      <c r="D390" t="inlineStr">
        <is>
          <t>JÄMTLANDS LÄN</t>
        </is>
      </c>
      <c r="E390" t="inlineStr">
        <is>
          <t>ÖSTERSUND</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65866-2021</t>
        </is>
      </c>
      <c r="B391" s="1" t="n">
        <v>44516</v>
      </c>
      <c r="C391" s="1" t="n">
        <v>45630</v>
      </c>
      <c r="D391" t="inlineStr">
        <is>
          <t>JÄMTLANDS LÄN</t>
        </is>
      </c>
      <c r="E391" t="inlineStr">
        <is>
          <t>ÖSTERSUND</t>
        </is>
      </c>
      <c r="G391" t="n">
        <v>2.6</v>
      </c>
      <c r="H391" t="n">
        <v>0</v>
      </c>
      <c r="I391" t="n">
        <v>0</v>
      </c>
      <c r="J391" t="n">
        <v>0</v>
      </c>
      <c r="K391" t="n">
        <v>0</v>
      </c>
      <c r="L391" t="n">
        <v>0</v>
      </c>
      <c r="M391" t="n">
        <v>0</v>
      </c>
      <c r="N391" t="n">
        <v>0</v>
      </c>
      <c r="O391" t="n">
        <v>0</v>
      </c>
      <c r="P391" t="n">
        <v>0</v>
      </c>
      <c r="Q391" t="n">
        <v>0</v>
      </c>
      <c r="R391" s="2" t="inlineStr"/>
    </row>
    <row r="392" ht="15" customHeight="1">
      <c r="A392" t="inlineStr">
        <is>
          <t>A 65991-2021</t>
        </is>
      </c>
      <c r="B392" s="1" t="n">
        <v>44517</v>
      </c>
      <c r="C392" s="1" t="n">
        <v>45630</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66940-2021</t>
        </is>
      </c>
      <c r="B393" s="1" t="n">
        <v>44522</v>
      </c>
      <c r="C393" s="1" t="n">
        <v>45630</v>
      </c>
      <c r="D393" t="inlineStr">
        <is>
          <t>JÄMTLANDS LÄN</t>
        </is>
      </c>
      <c r="E393" t="inlineStr">
        <is>
          <t>ÖSTERSUND</t>
        </is>
      </c>
      <c r="G393" t="n">
        <v>3.6</v>
      </c>
      <c r="H393" t="n">
        <v>0</v>
      </c>
      <c r="I393" t="n">
        <v>0</v>
      </c>
      <c r="J393" t="n">
        <v>0</v>
      </c>
      <c r="K393" t="n">
        <v>0</v>
      </c>
      <c r="L393" t="n">
        <v>0</v>
      </c>
      <c r="M393" t="n">
        <v>0</v>
      </c>
      <c r="N393" t="n">
        <v>0</v>
      </c>
      <c r="O393" t="n">
        <v>0</v>
      </c>
      <c r="P393" t="n">
        <v>0</v>
      </c>
      <c r="Q393" t="n">
        <v>0</v>
      </c>
      <c r="R393" s="2" t="inlineStr"/>
    </row>
    <row r="394" ht="15" customHeight="1">
      <c r="A394" t="inlineStr">
        <is>
          <t>A 67695-2021</t>
        </is>
      </c>
      <c r="B394" s="1" t="n">
        <v>44524</v>
      </c>
      <c r="C394" s="1" t="n">
        <v>45630</v>
      </c>
      <c r="D394" t="inlineStr">
        <is>
          <t>JÄMTLANDS LÄN</t>
        </is>
      </c>
      <c r="E394" t="inlineStr">
        <is>
          <t>ÖSTERSUND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67694-2021</t>
        </is>
      </c>
      <c r="B395" s="1" t="n">
        <v>44524</v>
      </c>
      <c r="C395" s="1" t="n">
        <v>45630</v>
      </c>
      <c r="D395" t="inlineStr">
        <is>
          <t>JÄMTLANDS LÄN</t>
        </is>
      </c>
      <c r="E395" t="inlineStr">
        <is>
          <t>ÖSTERSUND</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69190-2021</t>
        </is>
      </c>
      <c r="B396" s="1" t="n">
        <v>44529</v>
      </c>
      <c r="C396" s="1" t="n">
        <v>45630</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70256-2021</t>
        </is>
      </c>
      <c r="B397" s="1" t="n">
        <v>44533</v>
      </c>
      <c r="C397" s="1" t="n">
        <v>45630</v>
      </c>
      <c r="D397" t="inlineStr">
        <is>
          <t>JÄMTLANDS LÄN</t>
        </is>
      </c>
      <c r="E397" t="inlineStr">
        <is>
          <t>ÖSTERSUND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70678-2021</t>
        </is>
      </c>
      <c r="B398" s="1" t="n">
        <v>44537</v>
      </c>
      <c r="C398" s="1" t="n">
        <v>45630</v>
      </c>
      <c r="D398" t="inlineStr">
        <is>
          <t>JÄMTLANDS LÄN</t>
        </is>
      </c>
      <c r="E398" t="inlineStr">
        <is>
          <t>ÖSTERSUND</t>
        </is>
      </c>
      <c r="G398" t="n">
        <v>21</v>
      </c>
      <c r="H398" t="n">
        <v>0</v>
      </c>
      <c r="I398" t="n">
        <v>0</v>
      </c>
      <c r="J398" t="n">
        <v>0</v>
      </c>
      <c r="K398" t="n">
        <v>0</v>
      </c>
      <c r="L398" t="n">
        <v>0</v>
      </c>
      <c r="M398" t="n">
        <v>0</v>
      </c>
      <c r="N398" t="n">
        <v>0</v>
      </c>
      <c r="O398" t="n">
        <v>0</v>
      </c>
      <c r="P398" t="n">
        <v>0</v>
      </c>
      <c r="Q398" t="n">
        <v>0</v>
      </c>
      <c r="R398" s="2" t="inlineStr"/>
    </row>
    <row r="399" ht="15" customHeight="1">
      <c r="A399" t="inlineStr">
        <is>
          <t>A 70816-2021</t>
        </is>
      </c>
      <c r="B399" s="1" t="n">
        <v>44537</v>
      </c>
      <c r="C399" s="1" t="n">
        <v>45630</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71823-2021</t>
        </is>
      </c>
      <c r="B400" s="1" t="n">
        <v>44539</v>
      </c>
      <c r="C400" s="1" t="n">
        <v>45630</v>
      </c>
      <c r="D400" t="inlineStr">
        <is>
          <t>JÄMTLANDS LÄN</t>
        </is>
      </c>
      <c r="E400" t="inlineStr">
        <is>
          <t>ÖSTERSUND</t>
        </is>
      </c>
      <c r="G400" t="n">
        <v>10.5</v>
      </c>
      <c r="H400" t="n">
        <v>0</v>
      </c>
      <c r="I400" t="n">
        <v>0</v>
      </c>
      <c r="J400" t="n">
        <v>0</v>
      </c>
      <c r="K400" t="n">
        <v>0</v>
      </c>
      <c r="L400" t="n">
        <v>0</v>
      </c>
      <c r="M400" t="n">
        <v>0</v>
      </c>
      <c r="N400" t="n">
        <v>0</v>
      </c>
      <c r="O400" t="n">
        <v>0</v>
      </c>
      <c r="P400" t="n">
        <v>0</v>
      </c>
      <c r="Q400" t="n">
        <v>0</v>
      </c>
      <c r="R400" s="2" t="inlineStr"/>
    </row>
    <row r="401" ht="15" customHeight="1">
      <c r="A401" t="inlineStr">
        <is>
          <t>A 72089-2021</t>
        </is>
      </c>
      <c r="B401" s="1" t="n">
        <v>44540</v>
      </c>
      <c r="C401" s="1" t="n">
        <v>45630</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72041-2021</t>
        </is>
      </c>
      <c r="B402" s="1" t="n">
        <v>44540</v>
      </c>
      <c r="C402" s="1" t="n">
        <v>45630</v>
      </c>
      <c r="D402" t="inlineStr">
        <is>
          <t>JÄMTLANDS LÄN</t>
        </is>
      </c>
      <c r="E402" t="inlineStr">
        <is>
          <t>ÖSTERSUND</t>
        </is>
      </c>
      <c r="G402" t="n">
        <v>0.4</v>
      </c>
      <c r="H402" t="n">
        <v>0</v>
      </c>
      <c r="I402" t="n">
        <v>0</v>
      </c>
      <c r="J402" t="n">
        <v>0</v>
      </c>
      <c r="K402" t="n">
        <v>0</v>
      </c>
      <c r="L402" t="n">
        <v>0</v>
      </c>
      <c r="M402" t="n">
        <v>0</v>
      </c>
      <c r="N402" t="n">
        <v>0</v>
      </c>
      <c r="O402" t="n">
        <v>0</v>
      </c>
      <c r="P402" t="n">
        <v>0</v>
      </c>
      <c r="Q402" t="n">
        <v>0</v>
      </c>
      <c r="R402" s="2" t="inlineStr"/>
    </row>
    <row r="403" ht="15" customHeight="1">
      <c r="A403" t="inlineStr">
        <is>
          <t>A 72258-2021</t>
        </is>
      </c>
      <c r="B403" s="1" t="n">
        <v>44540</v>
      </c>
      <c r="C403" s="1" t="n">
        <v>45630</v>
      </c>
      <c r="D403" t="inlineStr">
        <is>
          <t>JÄMTLANDS LÄN</t>
        </is>
      </c>
      <c r="E403" t="inlineStr">
        <is>
          <t>ÖSTERSUND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72061-2021</t>
        </is>
      </c>
      <c r="B404" s="1" t="n">
        <v>44540</v>
      </c>
      <c r="C404" s="1" t="n">
        <v>45630</v>
      </c>
      <c r="D404" t="inlineStr">
        <is>
          <t>JÄMTLANDS LÄN</t>
        </is>
      </c>
      <c r="E404" t="inlineStr">
        <is>
          <t>ÖSTERSUND</t>
        </is>
      </c>
      <c r="G404" t="n">
        <v>5.3</v>
      </c>
      <c r="H404" t="n">
        <v>0</v>
      </c>
      <c r="I404" t="n">
        <v>0</v>
      </c>
      <c r="J404" t="n">
        <v>0</v>
      </c>
      <c r="K404" t="n">
        <v>0</v>
      </c>
      <c r="L404" t="n">
        <v>0</v>
      </c>
      <c r="M404" t="n">
        <v>0</v>
      </c>
      <c r="N404" t="n">
        <v>0</v>
      </c>
      <c r="O404" t="n">
        <v>0</v>
      </c>
      <c r="P404" t="n">
        <v>0</v>
      </c>
      <c r="Q404" t="n">
        <v>0</v>
      </c>
      <c r="R404" s="2" t="inlineStr"/>
    </row>
    <row r="405" ht="15" customHeight="1">
      <c r="A405" t="inlineStr">
        <is>
          <t>A 71956-2021</t>
        </is>
      </c>
      <c r="B405" s="1" t="n">
        <v>44544</v>
      </c>
      <c r="C405" s="1" t="n">
        <v>45630</v>
      </c>
      <c r="D405" t="inlineStr">
        <is>
          <t>JÄMTLANDS LÄN</t>
        </is>
      </c>
      <c r="E405" t="inlineStr">
        <is>
          <t>ÖSTERSUND</t>
        </is>
      </c>
      <c r="G405" t="n">
        <v>0.8</v>
      </c>
      <c r="H405" t="n">
        <v>0</v>
      </c>
      <c r="I405" t="n">
        <v>0</v>
      </c>
      <c r="J405" t="n">
        <v>0</v>
      </c>
      <c r="K405" t="n">
        <v>0</v>
      </c>
      <c r="L405" t="n">
        <v>0</v>
      </c>
      <c r="M405" t="n">
        <v>0</v>
      </c>
      <c r="N405" t="n">
        <v>0</v>
      </c>
      <c r="O405" t="n">
        <v>0</v>
      </c>
      <c r="P405" t="n">
        <v>0</v>
      </c>
      <c r="Q405" t="n">
        <v>0</v>
      </c>
      <c r="R405" s="2" t="inlineStr"/>
    </row>
    <row r="406" ht="15" customHeight="1">
      <c r="A406" t="inlineStr">
        <is>
          <t>A 72938-2021</t>
        </is>
      </c>
      <c r="B406" s="1" t="n">
        <v>44547</v>
      </c>
      <c r="C406" s="1" t="n">
        <v>45630</v>
      </c>
      <c r="D406" t="inlineStr">
        <is>
          <t>JÄMTLANDS LÄN</t>
        </is>
      </c>
      <c r="E406" t="inlineStr">
        <is>
          <t>ÖSTERSUND</t>
        </is>
      </c>
      <c r="G406" t="n">
        <v>4.5</v>
      </c>
      <c r="H406" t="n">
        <v>0</v>
      </c>
      <c r="I406" t="n">
        <v>0</v>
      </c>
      <c r="J406" t="n">
        <v>0</v>
      </c>
      <c r="K406" t="n">
        <v>0</v>
      </c>
      <c r="L406" t="n">
        <v>0</v>
      </c>
      <c r="M406" t="n">
        <v>0</v>
      </c>
      <c r="N406" t="n">
        <v>0</v>
      </c>
      <c r="O406" t="n">
        <v>0</v>
      </c>
      <c r="P406" t="n">
        <v>0</v>
      </c>
      <c r="Q406" t="n">
        <v>0</v>
      </c>
      <c r="R406" s="2" t="inlineStr"/>
    </row>
    <row r="407" ht="15" customHeight="1">
      <c r="A407" t="inlineStr">
        <is>
          <t>A 73078-2021</t>
        </is>
      </c>
      <c r="B407" s="1" t="n">
        <v>44550</v>
      </c>
      <c r="C407" s="1" t="n">
        <v>45630</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73066-2021</t>
        </is>
      </c>
      <c r="B408" s="1" t="n">
        <v>44550</v>
      </c>
      <c r="C408" s="1" t="n">
        <v>45630</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73875-2021</t>
        </is>
      </c>
      <c r="B409" s="1" t="n">
        <v>44553</v>
      </c>
      <c r="C409" s="1" t="n">
        <v>45630</v>
      </c>
      <c r="D409" t="inlineStr">
        <is>
          <t>JÄMTLANDS LÄN</t>
        </is>
      </c>
      <c r="E409" t="inlineStr">
        <is>
          <t>ÖSTERSUND</t>
        </is>
      </c>
      <c r="G409" t="n">
        <v>1.3</v>
      </c>
      <c r="H409" t="n">
        <v>0</v>
      </c>
      <c r="I409" t="n">
        <v>0</v>
      </c>
      <c r="J409" t="n">
        <v>0</v>
      </c>
      <c r="K409" t="n">
        <v>0</v>
      </c>
      <c r="L409" t="n">
        <v>0</v>
      </c>
      <c r="M409" t="n">
        <v>0</v>
      </c>
      <c r="N409" t="n">
        <v>0</v>
      </c>
      <c r="O409" t="n">
        <v>0</v>
      </c>
      <c r="P409" t="n">
        <v>0</v>
      </c>
      <c r="Q409" t="n">
        <v>0</v>
      </c>
      <c r="R409" s="2" t="inlineStr"/>
    </row>
    <row r="410" ht="15" customHeight="1">
      <c r="A410" t="inlineStr">
        <is>
          <t>A 73870-2021</t>
        </is>
      </c>
      <c r="B410" s="1" t="n">
        <v>44553</v>
      </c>
      <c r="C410" s="1" t="n">
        <v>45630</v>
      </c>
      <c r="D410" t="inlineStr">
        <is>
          <t>JÄMTLANDS LÄN</t>
        </is>
      </c>
      <c r="E410" t="inlineStr">
        <is>
          <t>ÖSTERSUND</t>
        </is>
      </c>
      <c r="G410" t="n">
        <v>5.3</v>
      </c>
      <c r="H410" t="n">
        <v>0</v>
      </c>
      <c r="I410" t="n">
        <v>0</v>
      </c>
      <c r="J410" t="n">
        <v>0</v>
      </c>
      <c r="K410" t="n">
        <v>0</v>
      </c>
      <c r="L410" t="n">
        <v>0</v>
      </c>
      <c r="M410" t="n">
        <v>0</v>
      </c>
      <c r="N410" t="n">
        <v>0</v>
      </c>
      <c r="O410" t="n">
        <v>0</v>
      </c>
      <c r="P410" t="n">
        <v>0</v>
      </c>
      <c r="Q410" t="n">
        <v>0</v>
      </c>
      <c r="R410" s="2" t="inlineStr"/>
    </row>
    <row r="411" ht="15" customHeight="1">
      <c r="A411" t="inlineStr">
        <is>
          <t>A 154-2022</t>
        </is>
      </c>
      <c r="B411" s="1" t="n">
        <v>44561</v>
      </c>
      <c r="C411" s="1" t="n">
        <v>45630</v>
      </c>
      <c r="D411" t="inlineStr">
        <is>
          <t>JÄMTLANDS LÄN</t>
        </is>
      </c>
      <c r="E411" t="inlineStr">
        <is>
          <t>ÖSTERSUND</t>
        </is>
      </c>
      <c r="G411" t="n">
        <v>4.2</v>
      </c>
      <c r="H411" t="n">
        <v>0</v>
      </c>
      <c r="I411" t="n">
        <v>0</v>
      </c>
      <c r="J411" t="n">
        <v>0</v>
      </c>
      <c r="K411" t="n">
        <v>0</v>
      </c>
      <c r="L411" t="n">
        <v>0</v>
      </c>
      <c r="M411" t="n">
        <v>0</v>
      </c>
      <c r="N411" t="n">
        <v>0</v>
      </c>
      <c r="O411" t="n">
        <v>0</v>
      </c>
      <c r="P411" t="n">
        <v>0</v>
      </c>
      <c r="Q411" t="n">
        <v>0</v>
      </c>
      <c r="R411" s="2" t="inlineStr"/>
    </row>
    <row r="412" ht="15" customHeight="1">
      <c r="A412" t="inlineStr">
        <is>
          <t>A 231-2022</t>
        </is>
      </c>
      <c r="B412" s="1" t="n">
        <v>44564</v>
      </c>
      <c r="C412" s="1" t="n">
        <v>45630</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681-2022</t>
        </is>
      </c>
      <c r="B413" s="1" t="n">
        <v>44566</v>
      </c>
      <c r="C413" s="1" t="n">
        <v>45630</v>
      </c>
      <c r="D413" t="inlineStr">
        <is>
          <t>JÄMTLANDS LÄN</t>
        </is>
      </c>
      <c r="E413" t="inlineStr">
        <is>
          <t>ÖSTERSUND</t>
        </is>
      </c>
      <c r="G413" t="n">
        <v>2.3</v>
      </c>
      <c r="H413" t="n">
        <v>0</v>
      </c>
      <c r="I413" t="n">
        <v>0</v>
      </c>
      <c r="J413" t="n">
        <v>0</v>
      </c>
      <c r="K413" t="n">
        <v>0</v>
      </c>
      <c r="L413" t="n">
        <v>0</v>
      </c>
      <c r="M413" t="n">
        <v>0</v>
      </c>
      <c r="N413" t="n">
        <v>0</v>
      </c>
      <c r="O413" t="n">
        <v>0</v>
      </c>
      <c r="P413" t="n">
        <v>0</v>
      </c>
      <c r="Q413" t="n">
        <v>0</v>
      </c>
      <c r="R413" s="2" t="inlineStr"/>
    </row>
    <row r="414" ht="15" customHeight="1">
      <c r="A414" t="inlineStr">
        <is>
          <t>A 695-2022</t>
        </is>
      </c>
      <c r="B414" s="1" t="n">
        <v>44566</v>
      </c>
      <c r="C414" s="1" t="n">
        <v>45630</v>
      </c>
      <c r="D414" t="inlineStr">
        <is>
          <t>JÄMTLANDS LÄN</t>
        </is>
      </c>
      <c r="E414" t="inlineStr">
        <is>
          <t>ÖSTERSUND</t>
        </is>
      </c>
      <c r="G414" t="n">
        <v>14.9</v>
      </c>
      <c r="H414" t="n">
        <v>0</v>
      </c>
      <c r="I414" t="n">
        <v>0</v>
      </c>
      <c r="J414" t="n">
        <v>0</v>
      </c>
      <c r="K414" t="n">
        <v>0</v>
      </c>
      <c r="L414" t="n">
        <v>0</v>
      </c>
      <c r="M414" t="n">
        <v>0</v>
      </c>
      <c r="N414" t="n">
        <v>0</v>
      </c>
      <c r="O414" t="n">
        <v>0</v>
      </c>
      <c r="P414" t="n">
        <v>0</v>
      </c>
      <c r="Q414" t="n">
        <v>0</v>
      </c>
      <c r="R414" s="2" t="inlineStr"/>
    </row>
    <row r="415" ht="15" customHeight="1">
      <c r="A415" t="inlineStr">
        <is>
          <t>A 2431-2022</t>
        </is>
      </c>
      <c r="B415" s="1" t="n">
        <v>44579</v>
      </c>
      <c r="C415" s="1" t="n">
        <v>45630</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2763-2022</t>
        </is>
      </c>
      <c r="B416" s="1" t="n">
        <v>44580</v>
      </c>
      <c r="C416" s="1" t="n">
        <v>45630</v>
      </c>
      <c r="D416" t="inlineStr">
        <is>
          <t>JÄMTLANDS LÄN</t>
        </is>
      </c>
      <c r="E416" t="inlineStr">
        <is>
          <t>ÖSTERSUND</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2880-2022</t>
        </is>
      </c>
      <c r="B417" s="1" t="n">
        <v>44581</v>
      </c>
      <c r="C417" s="1" t="n">
        <v>45630</v>
      </c>
      <c r="D417" t="inlineStr">
        <is>
          <t>JÄMTLANDS LÄN</t>
        </is>
      </c>
      <c r="E417" t="inlineStr">
        <is>
          <t>ÖSTERSUND</t>
        </is>
      </c>
      <c r="G417" t="n">
        <v>0.5</v>
      </c>
      <c r="H417" t="n">
        <v>0</v>
      </c>
      <c r="I417" t="n">
        <v>0</v>
      </c>
      <c r="J417" t="n">
        <v>0</v>
      </c>
      <c r="K417" t="n">
        <v>0</v>
      </c>
      <c r="L417" t="n">
        <v>0</v>
      </c>
      <c r="M417" t="n">
        <v>0</v>
      </c>
      <c r="N417" t="n">
        <v>0</v>
      </c>
      <c r="O417" t="n">
        <v>0</v>
      </c>
      <c r="P417" t="n">
        <v>0</v>
      </c>
      <c r="Q417" t="n">
        <v>0</v>
      </c>
      <c r="R417" s="2" t="inlineStr"/>
    </row>
    <row r="418" ht="15" customHeight="1">
      <c r="A418" t="inlineStr">
        <is>
          <t>A 3016-2022</t>
        </is>
      </c>
      <c r="B418" s="1" t="n">
        <v>44581</v>
      </c>
      <c r="C418" s="1" t="n">
        <v>45630</v>
      </c>
      <c r="D418" t="inlineStr">
        <is>
          <t>JÄMTLANDS LÄN</t>
        </is>
      </c>
      <c r="E418" t="inlineStr">
        <is>
          <t>ÖSTERSUND</t>
        </is>
      </c>
      <c r="G418" t="n">
        <v>3.3</v>
      </c>
      <c r="H418" t="n">
        <v>0</v>
      </c>
      <c r="I418" t="n">
        <v>0</v>
      </c>
      <c r="J418" t="n">
        <v>0</v>
      </c>
      <c r="K418" t="n">
        <v>0</v>
      </c>
      <c r="L418" t="n">
        <v>0</v>
      </c>
      <c r="M418" t="n">
        <v>0</v>
      </c>
      <c r="N418" t="n">
        <v>0</v>
      </c>
      <c r="O418" t="n">
        <v>0</v>
      </c>
      <c r="P418" t="n">
        <v>0</v>
      </c>
      <c r="Q418" t="n">
        <v>0</v>
      </c>
      <c r="R418" s="2" t="inlineStr"/>
    </row>
    <row r="419" ht="15" customHeight="1">
      <c r="A419" t="inlineStr">
        <is>
          <t>A 5145-2022</t>
        </is>
      </c>
      <c r="B419" s="1" t="n">
        <v>44594</v>
      </c>
      <c r="C419" s="1" t="n">
        <v>45630</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5670-2022</t>
        </is>
      </c>
      <c r="B420" s="1" t="n">
        <v>44595</v>
      </c>
      <c r="C420" s="1" t="n">
        <v>45630</v>
      </c>
      <c r="D420" t="inlineStr">
        <is>
          <t>JÄMTLANDS LÄN</t>
        </is>
      </c>
      <c r="E420" t="inlineStr">
        <is>
          <t>ÖSTERSUND</t>
        </is>
      </c>
      <c r="G420" t="n">
        <v>2.7</v>
      </c>
      <c r="H420" t="n">
        <v>0</v>
      </c>
      <c r="I420" t="n">
        <v>0</v>
      </c>
      <c r="J420" t="n">
        <v>0</v>
      </c>
      <c r="K420" t="n">
        <v>0</v>
      </c>
      <c r="L420" t="n">
        <v>0</v>
      </c>
      <c r="M420" t="n">
        <v>0</v>
      </c>
      <c r="N420" t="n">
        <v>0</v>
      </c>
      <c r="O420" t="n">
        <v>0</v>
      </c>
      <c r="P420" t="n">
        <v>0</v>
      </c>
      <c r="Q420" t="n">
        <v>0</v>
      </c>
      <c r="R420" s="2" t="inlineStr"/>
    </row>
    <row r="421" ht="15" customHeight="1">
      <c r="A421" t="inlineStr">
        <is>
          <t>A 6013-2022</t>
        </is>
      </c>
      <c r="B421" s="1" t="n">
        <v>44599</v>
      </c>
      <c r="C421" s="1" t="n">
        <v>45630</v>
      </c>
      <c r="D421" t="inlineStr">
        <is>
          <t>JÄMTLANDS LÄN</t>
        </is>
      </c>
      <c r="E421" t="inlineStr">
        <is>
          <t>ÖSTERSUND</t>
        </is>
      </c>
      <c r="G421" t="n">
        <v>2.5</v>
      </c>
      <c r="H421" t="n">
        <v>0</v>
      </c>
      <c r="I421" t="n">
        <v>0</v>
      </c>
      <c r="J421" t="n">
        <v>0</v>
      </c>
      <c r="K421" t="n">
        <v>0</v>
      </c>
      <c r="L421" t="n">
        <v>0</v>
      </c>
      <c r="M421" t="n">
        <v>0</v>
      </c>
      <c r="N421" t="n">
        <v>0</v>
      </c>
      <c r="O421" t="n">
        <v>0</v>
      </c>
      <c r="P421" t="n">
        <v>0</v>
      </c>
      <c r="Q421" t="n">
        <v>0</v>
      </c>
      <c r="R421" s="2" t="inlineStr"/>
    </row>
    <row r="422" ht="15" customHeight="1">
      <c r="A422" t="inlineStr">
        <is>
          <t>A 6458-2022</t>
        </is>
      </c>
      <c r="B422" s="1" t="n">
        <v>44601</v>
      </c>
      <c r="C422" s="1" t="n">
        <v>45630</v>
      </c>
      <c r="D422" t="inlineStr">
        <is>
          <t>JÄMTLANDS LÄN</t>
        </is>
      </c>
      <c r="E422" t="inlineStr">
        <is>
          <t>ÖSTERSUND</t>
        </is>
      </c>
      <c r="G422" t="n">
        <v>3.1</v>
      </c>
      <c r="H422" t="n">
        <v>0</v>
      </c>
      <c r="I422" t="n">
        <v>0</v>
      </c>
      <c r="J422" t="n">
        <v>0</v>
      </c>
      <c r="K422" t="n">
        <v>0</v>
      </c>
      <c r="L422" t="n">
        <v>0</v>
      </c>
      <c r="M422" t="n">
        <v>0</v>
      </c>
      <c r="N422" t="n">
        <v>0</v>
      </c>
      <c r="O422" t="n">
        <v>0</v>
      </c>
      <c r="P422" t="n">
        <v>0</v>
      </c>
      <c r="Q422" t="n">
        <v>0</v>
      </c>
      <c r="R422" s="2" t="inlineStr"/>
    </row>
    <row r="423" ht="15" customHeight="1">
      <c r="A423" t="inlineStr">
        <is>
          <t>A 7573-2022</t>
        </is>
      </c>
      <c r="B423" s="1" t="n">
        <v>44607</v>
      </c>
      <c r="C423" s="1" t="n">
        <v>45630</v>
      </c>
      <c r="D423" t="inlineStr">
        <is>
          <t>JÄMTLANDS LÄN</t>
        </is>
      </c>
      <c r="E423" t="inlineStr">
        <is>
          <t>ÖSTERSUND</t>
        </is>
      </c>
      <c r="G423" t="n">
        <v>0.5</v>
      </c>
      <c r="H423" t="n">
        <v>0</v>
      </c>
      <c r="I423" t="n">
        <v>0</v>
      </c>
      <c r="J423" t="n">
        <v>0</v>
      </c>
      <c r="K423" t="n">
        <v>0</v>
      </c>
      <c r="L423" t="n">
        <v>0</v>
      </c>
      <c r="M423" t="n">
        <v>0</v>
      </c>
      <c r="N423" t="n">
        <v>0</v>
      </c>
      <c r="O423" t="n">
        <v>0</v>
      </c>
      <c r="P423" t="n">
        <v>0</v>
      </c>
      <c r="Q423" t="n">
        <v>0</v>
      </c>
      <c r="R423" s="2" t="inlineStr"/>
    </row>
    <row r="424" ht="15" customHeight="1">
      <c r="A424" t="inlineStr">
        <is>
          <t>A 8027-2022</t>
        </is>
      </c>
      <c r="B424" s="1" t="n">
        <v>44609</v>
      </c>
      <c r="C424" s="1" t="n">
        <v>45630</v>
      </c>
      <c r="D424" t="inlineStr">
        <is>
          <t>JÄMTLANDS LÄN</t>
        </is>
      </c>
      <c r="E424" t="inlineStr">
        <is>
          <t>ÖSTERSUND</t>
        </is>
      </c>
      <c r="G424" t="n">
        <v>1.6</v>
      </c>
      <c r="H424" t="n">
        <v>0</v>
      </c>
      <c r="I424" t="n">
        <v>0</v>
      </c>
      <c r="J424" t="n">
        <v>0</v>
      </c>
      <c r="K424" t="n">
        <v>0</v>
      </c>
      <c r="L424" t="n">
        <v>0</v>
      </c>
      <c r="M424" t="n">
        <v>0</v>
      </c>
      <c r="N424" t="n">
        <v>0</v>
      </c>
      <c r="O424" t="n">
        <v>0</v>
      </c>
      <c r="P424" t="n">
        <v>0</v>
      </c>
      <c r="Q424" t="n">
        <v>0</v>
      </c>
      <c r="R424" s="2" t="inlineStr"/>
    </row>
    <row r="425" ht="15" customHeight="1">
      <c r="A425" t="inlineStr">
        <is>
          <t>A 8227-2022</t>
        </is>
      </c>
      <c r="B425" s="1" t="n">
        <v>44609</v>
      </c>
      <c r="C425" s="1" t="n">
        <v>45630</v>
      </c>
      <c r="D425" t="inlineStr">
        <is>
          <t>JÄMTLANDS LÄN</t>
        </is>
      </c>
      <c r="E425" t="inlineStr">
        <is>
          <t>ÖSTERSUND</t>
        </is>
      </c>
      <c r="G425" t="n">
        <v>6.6</v>
      </c>
      <c r="H425" t="n">
        <v>0</v>
      </c>
      <c r="I425" t="n">
        <v>0</v>
      </c>
      <c r="J425" t="n">
        <v>0</v>
      </c>
      <c r="K425" t="n">
        <v>0</v>
      </c>
      <c r="L425" t="n">
        <v>0</v>
      </c>
      <c r="M425" t="n">
        <v>0</v>
      </c>
      <c r="N425" t="n">
        <v>0</v>
      </c>
      <c r="O425" t="n">
        <v>0</v>
      </c>
      <c r="P425" t="n">
        <v>0</v>
      </c>
      <c r="Q425" t="n">
        <v>0</v>
      </c>
      <c r="R425" s="2" t="inlineStr"/>
    </row>
    <row r="426" ht="15" customHeight="1">
      <c r="A426" t="inlineStr">
        <is>
          <t>A 8647-2022</t>
        </is>
      </c>
      <c r="B426" s="1" t="n">
        <v>44613</v>
      </c>
      <c r="C426" s="1" t="n">
        <v>45630</v>
      </c>
      <c r="D426" t="inlineStr">
        <is>
          <t>JÄMTLANDS LÄN</t>
        </is>
      </c>
      <c r="E426" t="inlineStr">
        <is>
          <t>ÖSTERSUND</t>
        </is>
      </c>
      <c r="G426" t="n">
        <v>1.1</v>
      </c>
      <c r="H426" t="n">
        <v>0</v>
      </c>
      <c r="I426" t="n">
        <v>0</v>
      </c>
      <c r="J426" t="n">
        <v>0</v>
      </c>
      <c r="K426" t="n">
        <v>0</v>
      </c>
      <c r="L426" t="n">
        <v>0</v>
      </c>
      <c r="M426" t="n">
        <v>0</v>
      </c>
      <c r="N426" t="n">
        <v>0</v>
      </c>
      <c r="O426" t="n">
        <v>0</v>
      </c>
      <c r="P426" t="n">
        <v>0</v>
      </c>
      <c r="Q426" t="n">
        <v>0</v>
      </c>
      <c r="R426" s="2" t="inlineStr"/>
    </row>
    <row r="427" ht="15" customHeight="1">
      <c r="A427" t="inlineStr">
        <is>
          <t>A 8972-2022</t>
        </is>
      </c>
      <c r="B427" s="1" t="n">
        <v>44614</v>
      </c>
      <c r="C427" s="1" t="n">
        <v>45630</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11740-2022</t>
        </is>
      </c>
      <c r="B428" s="1" t="n">
        <v>44634</v>
      </c>
      <c r="C428" s="1" t="n">
        <v>45630</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11933-2022</t>
        </is>
      </c>
      <c r="B429" s="1" t="n">
        <v>44635</v>
      </c>
      <c r="C429" s="1" t="n">
        <v>45630</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12301-2022</t>
        </is>
      </c>
      <c r="B430" s="1" t="n">
        <v>44637</v>
      </c>
      <c r="C430" s="1" t="n">
        <v>45630</v>
      </c>
      <c r="D430" t="inlineStr">
        <is>
          <t>JÄMTLANDS LÄN</t>
        </is>
      </c>
      <c r="E430" t="inlineStr">
        <is>
          <t>ÖSTERSUND</t>
        </is>
      </c>
      <c r="G430" t="n">
        <v>5.8</v>
      </c>
      <c r="H430" t="n">
        <v>0</v>
      </c>
      <c r="I430" t="n">
        <v>0</v>
      </c>
      <c r="J430" t="n">
        <v>0</v>
      </c>
      <c r="K430" t="n">
        <v>0</v>
      </c>
      <c r="L430" t="n">
        <v>0</v>
      </c>
      <c r="M430" t="n">
        <v>0</v>
      </c>
      <c r="N430" t="n">
        <v>0</v>
      </c>
      <c r="O430" t="n">
        <v>0</v>
      </c>
      <c r="P430" t="n">
        <v>0</v>
      </c>
      <c r="Q430" t="n">
        <v>0</v>
      </c>
      <c r="R430" s="2" t="inlineStr"/>
    </row>
    <row r="431" ht="15" customHeight="1">
      <c r="A431" t="inlineStr">
        <is>
          <t>A 12285-2022</t>
        </is>
      </c>
      <c r="B431" s="1" t="n">
        <v>44637</v>
      </c>
      <c r="C431" s="1" t="n">
        <v>45630</v>
      </c>
      <c r="D431" t="inlineStr">
        <is>
          <t>JÄMTLANDS LÄN</t>
        </is>
      </c>
      <c r="E431" t="inlineStr">
        <is>
          <t>ÖSTERSUND</t>
        </is>
      </c>
      <c r="G431" t="n">
        <v>1.4</v>
      </c>
      <c r="H431" t="n">
        <v>0</v>
      </c>
      <c r="I431" t="n">
        <v>0</v>
      </c>
      <c r="J431" t="n">
        <v>0</v>
      </c>
      <c r="K431" t="n">
        <v>0</v>
      </c>
      <c r="L431" t="n">
        <v>0</v>
      </c>
      <c r="M431" t="n">
        <v>0</v>
      </c>
      <c r="N431" t="n">
        <v>0</v>
      </c>
      <c r="O431" t="n">
        <v>0</v>
      </c>
      <c r="P431" t="n">
        <v>0</v>
      </c>
      <c r="Q431" t="n">
        <v>0</v>
      </c>
      <c r="R431" s="2" t="inlineStr"/>
    </row>
    <row r="432" ht="15" customHeight="1">
      <c r="A432" t="inlineStr">
        <is>
          <t>A 12946-2022</t>
        </is>
      </c>
      <c r="B432" s="1" t="n">
        <v>44642</v>
      </c>
      <c r="C432" s="1" t="n">
        <v>45630</v>
      </c>
      <c r="D432" t="inlineStr">
        <is>
          <t>JÄMTLANDS LÄN</t>
        </is>
      </c>
      <c r="E432" t="inlineStr">
        <is>
          <t>ÖSTERSUND</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13024-2022</t>
        </is>
      </c>
      <c r="B433" s="1" t="n">
        <v>44643</v>
      </c>
      <c r="C433" s="1" t="n">
        <v>45630</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14653-2022</t>
        </is>
      </c>
      <c r="B434" s="1" t="n">
        <v>44655</v>
      </c>
      <c r="C434" s="1" t="n">
        <v>45630</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14657-2022</t>
        </is>
      </c>
      <c r="B435" s="1" t="n">
        <v>44655</v>
      </c>
      <c r="C435" s="1" t="n">
        <v>45630</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14658-2022</t>
        </is>
      </c>
      <c r="B436" s="1" t="n">
        <v>44655</v>
      </c>
      <c r="C436" s="1" t="n">
        <v>45630</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16025-2022</t>
        </is>
      </c>
      <c r="B437" s="1" t="n">
        <v>44665</v>
      </c>
      <c r="C437" s="1" t="n">
        <v>45630</v>
      </c>
      <c r="D437" t="inlineStr">
        <is>
          <t>JÄMTLANDS LÄN</t>
        </is>
      </c>
      <c r="E437" t="inlineStr">
        <is>
          <t>ÖSTERSUND</t>
        </is>
      </c>
      <c r="G437" t="n">
        <v>6</v>
      </c>
      <c r="H437" t="n">
        <v>0</v>
      </c>
      <c r="I437" t="n">
        <v>0</v>
      </c>
      <c r="J437" t="n">
        <v>0</v>
      </c>
      <c r="K437" t="n">
        <v>0</v>
      </c>
      <c r="L437" t="n">
        <v>0</v>
      </c>
      <c r="M437" t="n">
        <v>0</v>
      </c>
      <c r="N437" t="n">
        <v>0</v>
      </c>
      <c r="O437" t="n">
        <v>0</v>
      </c>
      <c r="P437" t="n">
        <v>0</v>
      </c>
      <c r="Q437" t="n">
        <v>0</v>
      </c>
      <c r="R437" s="2" t="inlineStr"/>
    </row>
    <row r="438" ht="15" customHeight="1">
      <c r="A438" t="inlineStr">
        <is>
          <t>A 16034-2022</t>
        </is>
      </c>
      <c r="B438" s="1" t="n">
        <v>44665</v>
      </c>
      <c r="C438" s="1" t="n">
        <v>45630</v>
      </c>
      <c r="D438" t="inlineStr">
        <is>
          <t>JÄMTLANDS LÄN</t>
        </is>
      </c>
      <c r="E438" t="inlineStr">
        <is>
          <t>ÖSTERSUND</t>
        </is>
      </c>
      <c r="G438" t="n">
        <v>5.2</v>
      </c>
      <c r="H438" t="n">
        <v>0</v>
      </c>
      <c r="I438" t="n">
        <v>0</v>
      </c>
      <c r="J438" t="n">
        <v>0</v>
      </c>
      <c r="K438" t="n">
        <v>0</v>
      </c>
      <c r="L438" t="n">
        <v>0</v>
      </c>
      <c r="M438" t="n">
        <v>0</v>
      </c>
      <c r="N438" t="n">
        <v>0</v>
      </c>
      <c r="O438" t="n">
        <v>0</v>
      </c>
      <c r="P438" t="n">
        <v>0</v>
      </c>
      <c r="Q438" t="n">
        <v>0</v>
      </c>
      <c r="R438" s="2" t="inlineStr"/>
    </row>
    <row r="439" ht="15" customHeight="1">
      <c r="A439" t="inlineStr">
        <is>
          <t>A 17574-2022</t>
        </is>
      </c>
      <c r="B439" s="1" t="n">
        <v>44680</v>
      </c>
      <c r="C439" s="1" t="n">
        <v>45630</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17732-2022</t>
        </is>
      </c>
      <c r="B440" s="1" t="n">
        <v>44681</v>
      </c>
      <c r="C440" s="1" t="n">
        <v>45630</v>
      </c>
      <c r="D440" t="inlineStr">
        <is>
          <t>JÄMTLANDS LÄN</t>
        </is>
      </c>
      <c r="E440" t="inlineStr">
        <is>
          <t>ÖSTERSUND</t>
        </is>
      </c>
      <c r="G440" t="n">
        <v>5.4</v>
      </c>
      <c r="H440" t="n">
        <v>0</v>
      </c>
      <c r="I440" t="n">
        <v>0</v>
      </c>
      <c r="J440" t="n">
        <v>0</v>
      </c>
      <c r="K440" t="n">
        <v>0</v>
      </c>
      <c r="L440" t="n">
        <v>0</v>
      </c>
      <c r="M440" t="n">
        <v>0</v>
      </c>
      <c r="N440" t="n">
        <v>0</v>
      </c>
      <c r="O440" t="n">
        <v>0</v>
      </c>
      <c r="P440" t="n">
        <v>0</v>
      </c>
      <c r="Q440" t="n">
        <v>0</v>
      </c>
      <c r="R440" s="2" t="inlineStr"/>
    </row>
    <row r="441" ht="15" customHeight="1">
      <c r="A441" t="inlineStr">
        <is>
          <t>A 17734-2022</t>
        </is>
      </c>
      <c r="B441" s="1" t="n">
        <v>44680</v>
      </c>
      <c r="C441" s="1" t="n">
        <v>45630</v>
      </c>
      <c r="D441" t="inlineStr">
        <is>
          <t>JÄMTLANDS LÄN</t>
        </is>
      </c>
      <c r="E441" t="inlineStr">
        <is>
          <t>ÖSTERSUND</t>
        </is>
      </c>
      <c r="G441" t="n">
        <v>26.4</v>
      </c>
      <c r="H441" t="n">
        <v>0</v>
      </c>
      <c r="I441" t="n">
        <v>0</v>
      </c>
      <c r="J441" t="n">
        <v>0</v>
      </c>
      <c r="K441" t="n">
        <v>0</v>
      </c>
      <c r="L441" t="n">
        <v>0</v>
      </c>
      <c r="M441" t="n">
        <v>0</v>
      </c>
      <c r="N441" t="n">
        <v>0</v>
      </c>
      <c r="O441" t="n">
        <v>0</v>
      </c>
      <c r="P441" t="n">
        <v>0</v>
      </c>
      <c r="Q441" t="n">
        <v>0</v>
      </c>
      <c r="R441" s="2" t="inlineStr"/>
    </row>
    <row r="442" ht="15" customHeight="1">
      <c r="A442" t="inlineStr">
        <is>
          <t>A 19022-2022</t>
        </is>
      </c>
      <c r="B442" s="1" t="n">
        <v>44690</v>
      </c>
      <c r="C442" s="1" t="n">
        <v>45630</v>
      </c>
      <c r="D442" t="inlineStr">
        <is>
          <t>JÄMTLANDS LÄN</t>
        </is>
      </c>
      <c r="E442" t="inlineStr">
        <is>
          <t>ÖSTERSUND</t>
        </is>
      </c>
      <c r="G442" t="n">
        <v>17.9</v>
      </c>
      <c r="H442" t="n">
        <v>0</v>
      </c>
      <c r="I442" t="n">
        <v>0</v>
      </c>
      <c r="J442" t="n">
        <v>0</v>
      </c>
      <c r="K442" t="n">
        <v>0</v>
      </c>
      <c r="L442" t="n">
        <v>0</v>
      </c>
      <c r="M442" t="n">
        <v>0</v>
      </c>
      <c r="N442" t="n">
        <v>0</v>
      </c>
      <c r="O442" t="n">
        <v>0</v>
      </c>
      <c r="P442" t="n">
        <v>0</v>
      </c>
      <c r="Q442" t="n">
        <v>0</v>
      </c>
      <c r="R442" s="2" t="inlineStr"/>
    </row>
    <row r="443" ht="15" customHeight="1">
      <c r="A443" t="inlineStr">
        <is>
          <t>A 20960-2022</t>
        </is>
      </c>
      <c r="B443" s="1" t="n">
        <v>44702</v>
      </c>
      <c r="C443" s="1" t="n">
        <v>45630</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20983-2022</t>
        </is>
      </c>
      <c r="B444" s="1" t="n">
        <v>44703</v>
      </c>
      <c r="C444" s="1" t="n">
        <v>45630</v>
      </c>
      <c r="D444" t="inlineStr">
        <is>
          <t>JÄMTLANDS LÄN</t>
        </is>
      </c>
      <c r="E444" t="inlineStr">
        <is>
          <t>ÖSTERSUND</t>
        </is>
      </c>
      <c r="G444" t="n">
        <v>2.2</v>
      </c>
      <c r="H444" t="n">
        <v>0</v>
      </c>
      <c r="I444" t="n">
        <v>0</v>
      </c>
      <c r="J444" t="n">
        <v>0</v>
      </c>
      <c r="K444" t="n">
        <v>0</v>
      </c>
      <c r="L444" t="n">
        <v>0</v>
      </c>
      <c r="M444" t="n">
        <v>0</v>
      </c>
      <c r="N444" t="n">
        <v>0</v>
      </c>
      <c r="O444" t="n">
        <v>0</v>
      </c>
      <c r="P444" t="n">
        <v>0</v>
      </c>
      <c r="Q444" t="n">
        <v>0</v>
      </c>
      <c r="R444" s="2" t="inlineStr"/>
    </row>
    <row r="445" ht="15" customHeight="1">
      <c r="A445" t="inlineStr">
        <is>
          <t>A 21211-2022</t>
        </is>
      </c>
      <c r="B445" s="1" t="n">
        <v>44705</v>
      </c>
      <c r="C445" s="1" t="n">
        <v>45630</v>
      </c>
      <c r="D445" t="inlineStr">
        <is>
          <t>JÄMTLANDS LÄN</t>
        </is>
      </c>
      <c r="E445" t="inlineStr">
        <is>
          <t>ÖSTERSUND</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21495-2022</t>
        </is>
      </c>
      <c r="B446" s="1" t="n">
        <v>44706</v>
      </c>
      <c r="C446" s="1" t="n">
        <v>45630</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22083-2022</t>
        </is>
      </c>
      <c r="B447" s="1" t="n">
        <v>44711</v>
      </c>
      <c r="C447" s="1" t="n">
        <v>45630</v>
      </c>
      <c r="D447" t="inlineStr">
        <is>
          <t>JÄMTLANDS LÄN</t>
        </is>
      </c>
      <c r="E447" t="inlineStr">
        <is>
          <t>ÖSTERSUND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22085-2022</t>
        </is>
      </c>
      <c r="B448" s="1" t="n">
        <v>44711</v>
      </c>
      <c r="C448" s="1" t="n">
        <v>45630</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22084-2022</t>
        </is>
      </c>
      <c r="B449" s="1" t="n">
        <v>44711</v>
      </c>
      <c r="C449" s="1" t="n">
        <v>45630</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22082-2022</t>
        </is>
      </c>
      <c r="B450" s="1" t="n">
        <v>44712</v>
      </c>
      <c r="C450" s="1" t="n">
        <v>45630</v>
      </c>
      <c r="D450" t="inlineStr">
        <is>
          <t>JÄMTLANDS LÄN</t>
        </is>
      </c>
      <c r="E450" t="inlineStr">
        <is>
          <t>ÖSTERSUND</t>
        </is>
      </c>
      <c r="G450" t="n">
        <v>2.6</v>
      </c>
      <c r="H450" t="n">
        <v>0</v>
      </c>
      <c r="I450" t="n">
        <v>0</v>
      </c>
      <c r="J450" t="n">
        <v>0</v>
      </c>
      <c r="K450" t="n">
        <v>0</v>
      </c>
      <c r="L450" t="n">
        <v>0</v>
      </c>
      <c r="M450" t="n">
        <v>0</v>
      </c>
      <c r="N450" t="n">
        <v>0</v>
      </c>
      <c r="O450" t="n">
        <v>0</v>
      </c>
      <c r="P450" t="n">
        <v>0</v>
      </c>
      <c r="Q450" t="n">
        <v>0</v>
      </c>
      <c r="R450" s="2" t="inlineStr"/>
    </row>
    <row r="451" ht="15" customHeight="1">
      <c r="A451" t="inlineStr">
        <is>
          <t>A 23555-2022</t>
        </is>
      </c>
      <c r="B451" s="1" t="n">
        <v>44721</v>
      </c>
      <c r="C451" s="1" t="n">
        <v>45630</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23563-2022</t>
        </is>
      </c>
      <c r="B452" s="1" t="n">
        <v>44721</v>
      </c>
      <c r="C452" s="1" t="n">
        <v>45630</v>
      </c>
      <c r="D452" t="inlineStr">
        <is>
          <t>JÄMTLANDS LÄN</t>
        </is>
      </c>
      <c r="E452" t="inlineStr">
        <is>
          <t>ÖSTERSUND</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23551-2022</t>
        </is>
      </c>
      <c r="B453" s="1" t="n">
        <v>44721</v>
      </c>
      <c r="C453" s="1" t="n">
        <v>45630</v>
      </c>
      <c r="D453" t="inlineStr">
        <is>
          <t>JÄMTLANDS LÄN</t>
        </is>
      </c>
      <c r="E453" t="inlineStr">
        <is>
          <t>ÖSTERSUND</t>
        </is>
      </c>
      <c r="G453" t="n">
        <v>0.3</v>
      </c>
      <c r="H453" t="n">
        <v>0</v>
      </c>
      <c r="I453" t="n">
        <v>0</v>
      </c>
      <c r="J453" t="n">
        <v>0</v>
      </c>
      <c r="K453" t="n">
        <v>0</v>
      </c>
      <c r="L453" t="n">
        <v>0</v>
      </c>
      <c r="M453" t="n">
        <v>0</v>
      </c>
      <c r="N453" t="n">
        <v>0</v>
      </c>
      <c r="O453" t="n">
        <v>0</v>
      </c>
      <c r="P453" t="n">
        <v>0</v>
      </c>
      <c r="Q453" t="n">
        <v>0</v>
      </c>
      <c r="R453" s="2" t="inlineStr"/>
    </row>
    <row r="454" ht="15" customHeight="1">
      <c r="A454" t="inlineStr">
        <is>
          <t>A 23992-2022</t>
        </is>
      </c>
      <c r="B454" s="1" t="n">
        <v>44722</v>
      </c>
      <c r="C454" s="1" t="n">
        <v>45630</v>
      </c>
      <c r="D454" t="inlineStr">
        <is>
          <t>JÄMTLANDS LÄN</t>
        </is>
      </c>
      <c r="E454" t="inlineStr">
        <is>
          <t>ÖSTERSUND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23993-2022</t>
        </is>
      </c>
      <c r="B455" s="1" t="n">
        <v>44723</v>
      </c>
      <c r="C455" s="1" t="n">
        <v>45630</v>
      </c>
      <c r="D455" t="inlineStr">
        <is>
          <t>JÄMTLANDS LÄN</t>
        </is>
      </c>
      <c r="E455" t="inlineStr">
        <is>
          <t>ÖSTERSUND</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26321-2022</t>
        </is>
      </c>
      <c r="B456" s="1" t="n">
        <v>44735</v>
      </c>
      <c r="C456" s="1" t="n">
        <v>45630</v>
      </c>
      <c r="D456" t="inlineStr">
        <is>
          <t>JÄMTLANDS LÄN</t>
        </is>
      </c>
      <c r="E456" t="inlineStr">
        <is>
          <t>ÖSTERSUND</t>
        </is>
      </c>
      <c r="G456" t="n">
        <v>1</v>
      </c>
      <c r="H456" t="n">
        <v>0</v>
      </c>
      <c r="I456" t="n">
        <v>0</v>
      </c>
      <c r="J456" t="n">
        <v>0</v>
      </c>
      <c r="K456" t="n">
        <v>0</v>
      </c>
      <c r="L456" t="n">
        <v>0</v>
      </c>
      <c r="M456" t="n">
        <v>0</v>
      </c>
      <c r="N456" t="n">
        <v>0</v>
      </c>
      <c r="O456" t="n">
        <v>0</v>
      </c>
      <c r="P456" t="n">
        <v>0</v>
      </c>
      <c r="Q456" t="n">
        <v>0</v>
      </c>
      <c r="R456" s="2" t="inlineStr"/>
    </row>
    <row r="457" ht="15" customHeight="1">
      <c r="A457" t="inlineStr">
        <is>
          <t>A 26731-2022</t>
        </is>
      </c>
      <c r="B457" s="1" t="n">
        <v>44740</v>
      </c>
      <c r="C457" s="1" t="n">
        <v>45630</v>
      </c>
      <c r="D457" t="inlineStr">
        <is>
          <t>JÄMTLANDS LÄN</t>
        </is>
      </c>
      <c r="E457" t="inlineStr">
        <is>
          <t>ÖSTERSUND</t>
        </is>
      </c>
      <c r="G457" t="n">
        <v>3.1</v>
      </c>
      <c r="H457" t="n">
        <v>0</v>
      </c>
      <c r="I457" t="n">
        <v>0</v>
      </c>
      <c r="J457" t="n">
        <v>0</v>
      </c>
      <c r="K457" t="n">
        <v>0</v>
      </c>
      <c r="L457" t="n">
        <v>0</v>
      </c>
      <c r="M457" t="n">
        <v>0</v>
      </c>
      <c r="N457" t="n">
        <v>0</v>
      </c>
      <c r="O457" t="n">
        <v>0</v>
      </c>
      <c r="P457" t="n">
        <v>0</v>
      </c>
      <c r="Q457" t="n">
        <v>0</v>
      </c>
      <c r="R457" s="2" t="inlineStr"/>
    </row>
    <row r="458" ht="15" customHeight="1">
      <c r="A458" t="inlineStr">
        <is>
          <t>A 27343-2022</t>
        </is>
      </c>
      <c r="B458" s="1" t="n">
        <v>44742</v>
      </c>
      <c r="C458" s="1" t="n">
        <v>45630</v>
      </c>
      <c r="D458" t="inlineStr">
        <is>
          <t>JÄMTLANDS LÄN</t>
        </is>
      </c>
      <c r="E458" t="inlineStr">
        <is>
          <t>ÖSTERSUND</t>
        </is>
      </c>
      <c r="G458" t="n">
        <v>1.5</v>
      </c>
      <c r="H458" t="n">
        <v>0</v>
      </c>
      <c r="I458" t="n">
        <v>0</v>
      </c>
      <c r="J458" t="n">
        <v>0</v>
      </c>
      <c r="K458" t="n">
        <v>0</v>
      </c>
      <c r="L458" t="n">
        <v>0</v>
      </c>
      <c r="M458" t="n">
        <v>0</v>
      </c>
      <c r="N458" t="n">
        <v>0</v>
      </c>
      <c r="O458" t="n">
        <v>0</v>
      </c>
      <c r="P458" t="n">
        <v>0</v>
      </c>
      <c r="Q458" t="n">
        <v>0</v>
      </c>
      <c r="R458" s="2" t="inlineStr"/>
    </row>
    <row r="459" ht="15" customHeight="1">
      <c r="A459" t="inlineStr">
        <is>
          <t>A 27582-2022</t>
        </is>
      </c>
      <c r="B459" s="1" t="n">
        <v>44743</v>
      </c>
      <c r="C459" s="1" t="n">
        <v>45630</v>
      </c>
      <c r="D459" t="inlineStr">
        <is>
          <t>JÄMTLANDS LÄN</t>
        </is>
      </c>
      <c r="E459" t="inlineStr">
        <is>
          <t>ÖSTERSUND</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27575-2022</t>
        </is>
      </c>
      <c r="B460" s="1" t="n">
        <v>44742</v>
      </c>
      <c r="C460" s="1" t="n">
        <v>45630</v>
      </c>
      <c r="D460" t="inlineStr">
        <is>
          <t>JÄMTLANDS LÄN</t>
        </is>
      </c>
      <c r="E460" t="inlineStr">
        <is>
          <t>ÖSTERSUND</t>
        </is>
      </c>
      <c r="F460" t="inlineStr">
        <is>
          <t>SCA</t>
        </is>
      </c>
      <c r="G460" t="n">
        <v>2.4</v>
      </c>
      <c r="H460" t="n">
        <v>0</v>
      </c>
      <c r="I460" t="n">
        <v>0</v>
      </c>
      <c r="J460" t="n">
        <v>0</v>
      </c>
      <c r="K460" t="n">
        <v>0</v>
      </c>
      <c r="L460" t="n">
        <v>0</v>
      </c>
      <c r="M460" t="n">
        <v>0</v>
      </c>
      <c r="N460" t="n">
        <v>0</v>
      </c>
      <c r="O460" t="n">
        <v>0</v>
      </c>
      <c r="P460" t="n">
        <v>0</v>
      </c>
      <c r="Q460" t="n">
        <v>0</v>
      </c>
      <c r="R460" s="2" t="inlineStr"/>
      <c r="U460">
        <f>HYPERLINK("https://klasma.github.io/Logging_2380/knärot/A 27575-2022 karta knärot.png", "A 27575-2022")</f>
        <v/>
      </c>
      <c r="V460">
        <f>HYPERLINK("https://klasma.github.io/Logging_2380/klagomål/A 27575-2022 FSC-klagomål.docx", "A 27575-2022")</f>
        <v/>
      </c>
      <c r="W460">
        <f>HYPERLINK("https://klasma.github.io/Logging_2380/klagomålsmail/A 27575-2022 FSC-klagomål mail.docx", "A 27575-2022")</f>
        <v/>
      </c>
      <c r="X460">
        <f>HYPERLINK("https://klasma.github.io/Logging_2380/tillsyn/A 27575-2022 tillsynsbegäran.docx", "A 27575-2022")</f>
        <v/>
      </c>
      <c r="Y460">
        <f>HYPERLINK("https://klasma.github.io/Logging_2380/tillsynsmail/A 27575-2022 tillsynsbegäran mail.docx", "A 27575-2022")</f>
        <v/>
      </c>
    </row>
    <row r="461" ht="15" customHeight="1">
      <c r="A461" t="inlineStr">
        <is>
          <t>A 27581-2022</t>
        </is>
      </c>
      <c r="B461" s="1" t="n">
        <v>44742</v>
      </c>
      <c r="C461" s="1" t="n">
        <v>45630</v>
      </c>
      <c r="D461" t="inlineStr">
        <is>
          <t>JÄMTLANDS LÄN</t>
        </is>
      </c>
      <c r="E461" t="inlineStr">
        <is>
          <t>ÖSTERSUND</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27780-2022</t>
        </is>
      </c>
      <c r="B462" s="1" t="n">
        <v>44743</v>
      </c>
      <c r="C462" s="1" t="n">
        <v>45630</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29094-2022</t>
        </is>
      </c>
      <c r="B463" s="1" t="n">
        <v>44750</v>
      </c>
      <c r="C463" s="1" t="n">
        <v>45630</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29128-2022</t>
        </is>
      </c>
      <c r="B464" s="1" t="n">
        <v>44750</v>
      </c>
      <c r="C464" s="1" t="n">
        <v>45630</v>
      </c>
      <c r="D464" t="inlineStr">
        <is>
          <t>JÄMTLANDS LÄN</t>
        </is>
      </c>
      <c r="E464" t="inlineStr">
        <is>
          <t>ÖSTERSUND</t>
        </is>
      </c>
      <c r="G464" t="n">
        <v>3</v>
      </c>
      <c r="H464" t="n">
        <v>0</v>
      </c>
      <c r="I464" t="n">
        <v>0</v>
      </c>
      <c r="J464" t="n">
        <v>0</v>
      </c>
      <c r="K464" t="n">
        <v>0</v>
      </c>
      <c r="L464" t="n">
        <v>0</v>
      </c>
      <c r="M464" t="n">
        <v>0</v>
      </c>
      <c r="N464" t="n">
        <v>0</v>
      </c>
      <c r="O464" t="n">
        <v>0</v>
      </c>
      <c r="P464" t="n">
        <v>0</v>
      </c>
      <c r="Q464" t="n">
        <v>0</v>
      </c>
      <c r="R464" s="2" t="inlineStr"/>
    </row>
    <row r="465" ht="15" customHeight="1">
      <c r="A465" t="inlineStr">
        <is>
          <t>A 29829-2022</t>
        </is>
      </c>
      <c r="B465" s="1" t="n">
        <v>44755</v>
      </c>
      <c r="C465" s="1" t="n">
        <v>45630</v>
      </c>
      <c r="D465" t="inlineStr">
        <is>
          <t>JÄMTLANDS LÄN</t>
        </is>
      </c>
      <c r="E465" t="inlineStr">
        <is>
          <t>ÖSTERSUND</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29828-2022</t>
        </is>
      </c>
      <c r="B466" s="1" t="n">
        <v>44755</v>
      </c>
      <c r="C466" s="1" t="n">
        <v>45630</v>
      </c>
      <c r="D466" t="inlineStr">
        <is>
          <t>JÄMTLANDS LÄN</t>
        </is>
      </c>
      <c r="E466" t="inlineStr">
        <is>
          <t>ÖSTERSUND</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30217-2022</t>
        </is>
      </c>
      <c r="B467" s="1" t="n">
        <v>44758</v>
      </c>
      <c r="C467" s="1" t="n">
        <v>45630</v>
      </c>
      <c r="D467" t="inlineStr">
        <is>
          <t>JÄMTLANDS LÄN</t>
        </is>
      </c>
      <c r="E467" t="inlineStr">
        <is>
          <t>ÖSTERSUND</t>
        </is>
      </c>
      <c r="G467" t="n">
        <v>2.9</v>
      </c>
      <c r="H467" t="n">
        <v>0</v>
      </c>
      <c r="I467" t="n">
        <v>0</v>
      </c>
      <c r="J467" t="n">
        <v>0</v>
      </c>
      <c r="K467" t="n">
        <v>0</v>
      </c>
      <c r="L467" t="n">
        <v>0</v>
      </c>
      <c r="M467" t="n">
        <v>0</v>
      </c>
      <c r="N467" t="n">
        <v>0</v>
      </c>
      <c r="O467" t="n">
        <v>0</v>
      </c>
      <c r="P467" t="n">
        <v>0</v>
      </c>
      <c r="Q467" t="n">
        <v>0</v>
      </c>
      <c r="R467" s="2" t="inlineStr"/>
    </row>
    <row r="468" ht="15" customHeight="1">
      <c r="A468" t="inlineStr">
        <is>
          <t>A 33804-2022</t>
        </is>
      </c>
      <c r="B468" s="1" t="n">
        <v>44790</v>
      </c>
      <c r="C468" s="1" t="n">
        <v>45630</v>
      </c>
      <c r="D468" t="inlineStr">
        <is>
          <t>JÄMTLANDS LÄN</t>
        </is>
      </c>
      <c r="E468" t="inlineStr">
        <is>
          <t>ÖSTERSUND</t>
        </is>
      </c>
      <c r="G468" t="n">
        <v>1.8</v>
      </c>
      <c r="H468" t="n">
        <v>0</v>
      </c>
      <c r="I468" t="n">
        <v>0</v>
      </c>
      <c r="J468" t="n">
        <v>0</v>
      </c>
      <c r="K468" t="n">
        <v>0</v>
      </c>
      <c r="L468" t="n">
        <v>0</v>
      </c>
      <c r="M468" t="n">
        <v>0</v>
      </c>
      <c r="N468" t="n">
        <v>0</v>
      </c>
      <c r="O468" t="n">
        <v>0</v>
      </c>
      <c r="P468" t="n">
        <v>0</v>
      </c>
      <c r="Q468" t="n">
        <v>0</v>
      </c>
      <c r="R468" s="2" t="inlineStr"/>
    </row>
    <row r="469" ht="15" customHeight="1">
      <c r="A469" t="inlineStr">
        <is>
          <t>A 33808-2022</t>
        </is>
      </c>
      <c r="B469" s="1" t="n">
        <v>44790</v>
      </c>
      <c r="C469" s="1" t="n">
        <v>45630</v>
      </c>
      <c r="D469" t="inlineStr">
        <is>
          <t>JÄMTLANDS LÄN</t>
        </is>
      </c>
      <c r="E469" t="inlineStr">
        <is>
          <t>ÖSTERSUND</t>
        </is>
      </c>
      <c r="G469" t="n">
        <v>4.1</v>
      </c>
      <c r="H469" t="n">
        <v>0</v>
      </c>
      <c r="I469" t="n">
        <v>0</v>
      </c>
      <c r="J469" t="n">
        <v>0</v>
      </c>
      <c r="K469" t="n">
        <v>0</v>
      </c>
      <c r="L469" t="n">
        <v>0</v>
      </c>
      <c r="M469" t="n">
        <v>0</v>
      </c>
      <c r="N469" t="n">
        <v>0</v>
      </c>
      <c r="O469" t="n">
        <v>0</v>
      </c>
      <c r="P469" t="n">
        <v>0</v>
      </c>
      <c r="Q469" t="n">
        <v>0</v>
      </c>
      <c r="R469" s="2" t="inlineStr"/>
    </row>
    <row r="470" ht="15" customHeight="1">
      <c r="A470" t="inlineStr">
        <is>
          <t>A 33813-2022</t>
        </is>
      </c>
      <c r="B470" s="1" t="n">
        <v>44790</v>
      </c>
      <c r="C470" s="1" t="n">
        <v>45630</v>
      </c>
      <c r="D470" t="inlineStr">
        <is>
          <t>JÄMTLANDS LÄN</t>
        </is>
      </c>
      <c r="E470" t="inlineStr">
        <is>
          <t>ÖSTERSUND</t>
        </is>
      </c>
      <c r="G470" t="n">
        <v>7.9</v>
      </c>
      <c r="H470" t="n">
        <v>0</v>
      </c>
      <c r="I470" t="n">
        <v>0</v>
      </c>
      <c r="J470" t="n">
        <v>0</v>
      </c>
      <c r="K470" t="n">
        <v>0</v>
      </c>
      <c r="L470" t="n">
        <v>0</v>
      </c>
      <c r="M470" t="n">
        <v>0</v>
      </c>
      <c r="N470" t="n">
        <v>0</v>
      </c>
      <c r="O470" t="n">
        <v>0</v>
      </c>
      <c r="P470" t="n">
        <v>0</v>
      </c>
      <c r="Q470" t="n">
        <v>0</v>
      </c>
      <c r="R470" s="2" t="inlineStr"/>
    </row>
    <row r="471" ht="15" customHeight="1">
      <c r="A471" t="inlineStr">
        <is>
          <t>A 33786-2022</t>
        </is>
      </c>
      <c r="B471" s="1" t="n">
        <v>44790</v>
      </c>
      <c r="C471" s="1" t="n">
        <v>45630</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33801-2022</t>
        </is>
      </c>
      <c r="B472" s="1" t="n">
        <v>44790</v>
      </c>
      <c r="C472" s="1" t="n">
        <v>45630</v>
      </c>
      <c r="D472" t="inlineStr">
        <is>
          <t>JÄMTLANDS LÄN</t>
        </is>
      </c>
      <c r="E472" t="inlineStr">
        <is>
          <t>ÖSTERSUND</t>
        </is>
      </c>
      <c r="G472" t="n">
        <v>7.6</v>
      </c>
      <c r="H472" t="n">
        <v>0</v>
      </c>
      <c r="I472" t="n">
        <v>0</v>
      </c>
      <c r="J472" t="n">
        <v>0</v>
      </c>
      <c r="K472" t="n">
        <v>0</v>
      </c>
      <c r="L472" t="n">
        <v>0</v>
      </c>
      <c r="M472" t="n">
        <v>0</v>
      </c>
      <c r="N472" t="n">
        <v>0</v>
      </c>
      <c r="O472" t="n">
        <v>0</v>
      </c>
      <c r="P472" t="n">
        <v>0</v>
      </c>
      <c r="Q472" t="n">
        <v>0</v>
      </c>
      <c r="R472" s="2" t="inlineStr"/>
    </row>
    <row r="473" ht="15" customHeight="1">
      <c r="A473" t="inlineStr">
        <is>
          <t>A 35556-2022</t>
        </is>
      </c>
      <c r="B473" s="1" t="n">
        <v>44799</v>
      </c>
      <c r="C473" s="1" t="n">
        <v>45630</v>
      </c>
      <c r="D473" t="inlineStr">
        <is>
          <t>JÄMTLANDS LÄN</t>
        </is>
      </c>
      <c r="E473" t="inlineStr">
        <is>
          <t>ÖSTERSUND</t>
        </is>
      </c>
      <c r="G473" t="n">
        <v>3.6</v>
      </c>
      <c r="H473" t="n">
        <v>0</v>
      </c>
      <c r="I473" t="n">
        <v>0</v>
      </c>
      <c r="J473" t="n">
        <v>0</v>
      </c>
      <c r="K473" t="n">
        <v>0</v>
      </c>
      <c r="L473" t="n">
        <v>0</v>
      </c>
      <c r="M473" t="n">
        <v>0</v>
      </c>
      <c r="N473" t="n">
        <v>0</v>
      </c>
      <c r="O473" t="n">
        <v>0</v>
      </c>
      <c r="P473" t="n">
        <v>0</v>
      </c>
      <c r="Q473" t="n">
        <v>0</v>
      </c>
      <c r="R473" s="2" t="inlineStr"/>
    </row>
    <row r="474" ht="15" customHeight="1">
      <c r="A474" t="inlineStr">
        <is>
          <t>A 39828-2022</t>
        </is>
      </c>
      <c r="B474" s="1" t="n">
        <v>44817</v>
      </c>
      <c r="C474" s="1" t="n">
        <v>45630</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39928-2022</t>
        </is>
      </c>
      <c r="B475" s="1" t="n">
        <v>44819</v>
      </c>
      <c r="C475" s="1" t="n">
        <v>45630</v>
      </c>
      <c r="D475" t="inlineStr">
        <is>
          <t>JÄMTLANDS LÄN</t>
        </is>
      </c>
      <c r="E475" t="inlineStr">
        <is>
          <t>ÖSTERSUND</t>
        </is>
      </c>
      <c r="F475" t="inlineStr">
        <is>
          <t>SCA</t>
        </is>
      </c>
      <c r="G475" t="n">
        <v>8.9</v>
      </c>
      <c r="H475" t="n">
        <v>0</v>
      </c>
      <c r="I475" t="n">
        <v>0</v>
      </c>
      <c r="J475" t="n">
        <v>0</v>
      </c>
      <c r="K475" t="n">
        <v>0</v>
      </c>
      <c r="L475" t="n">
        <v>0</v>
      </c>
      <c r="M475" t="n">
        <v>0</v>
      </c>
      <c r="N475" t="n">
        <v>0</v>
      </c>
      <c r="O475" t="n">
        <v>0</v>
      </c>
      <c r="P475" t="n">
        <v>0</v>
      </c>
      <c r="Q475" t="n">
        <v>0</v>
      </c>
      <c r="R475" s="2" t="inlineStr"/>
    </row>
    <row r="476" ht="15" customHeight="1">
      <c r="A476" t="inlineStr">
        <is>
          <t>A 40885-2022</t>
        </is>
      </c>
      <c r="B476" s="1" t="n">
        <v>44820</v>
      </c>
      <c r="C476" s="1" t="n">
        <v>45630</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43511-2022</t>
        </is>
      </c>
      <c r="B477" s="1" t="n">
        <v>44837</v>
      </c>
      <c r="C477" s="1" t="n">
        <v>45630</v>
      </c>
      <c r="D477" t="inlineStr">
        <is>
          <t>JÄMTLANDS LÄN</t>
        </is>
      </c>
      <c r="E477" t="inlineStr">
        <is>
          <t>ÖSTERSUND</t>
        </is>
      </c>
      <c r="G477" t="n">
        <v>3.7</v>
      </c>
      <c r="H477" t="n">
        <v>0</v>
      </c>
      <c r="I477" t="n">
        <v>0</v>
      </c>
      <c r="J477" t="n">
        <v>0</v>
      </c>
      <c r="K477" t="n">
        <v>0</v>
      </c>
      <c r="L477" t="n">
        <v>0</v>
      </c>
      <c r="M477" t="n">
        <v>0</v>
      </c>
      <c r="N477" t="n">
        <v>0</v>
      </c>
      <c r="O477" t="n">
        <v>0</v>
      </c>
      <c r="P477" t="n">
        <v>0</v>
      </c>
      <c r="Q477" t="n">
        <v>0</v>
      </c>
      <c r="R477" s="2" t="inlineStr"/>
    </row>
    <row r="478" ht="15" customHeight="1">
      <c r="A478" t="inlineStr">
        <is>
          <t>A 43951-2022</t>
        </is>
      </c>
      <c r="B478" s="1" t="n">
        <v>44838</v>
      </c>
      <c r="C478" s="1" t="n">
        <v>45630</v>
      </c>
      <c r="D478" t="inlineStr">
        <is>
          <t>JÄMTLANDS LÄN</t>
        </is>
      </c>
      <c r="E478" t="inlineStr">
        <is>
          <t>ÖSTERSUND</t>
        </is>
      </c>
      <c r="F478" t="inlineStr">
        <is>
          <t>Övriga Aktiebolag</t>
        </is>
      </c>
      <c r="G478" t="n">
        <v>2.9</v>
      </c>
      <c r="H478" t="n">
        <v>0</v>
      </c>
      <c r="I478" t="n">
        <v>0</v>
      </c>
      <c r="J478" t="n">
        <v>0</v>
      </c>
      <c r="K478" t="n">
        <v>0</v>
      </c>
      <c r="L478" t="n">
        <v>0</v>
      </c>
      <c r="M478" t="n">
        <v>0</v>
      </c>
      <c r="N478" t="n">
        <v>0</v>
      </c>
      <c r="O478" t="n">
        <v>0</v>
      </c>
      <c r="P478" t="n">
        <v>0</v>
      </c>
      <c r="Q478" t="n">
        <v>0</v>
      </c>
      <c r="R478" s="2" t="inlineStr"/>
    </row>
    <row r="479" ht="15" customHeight="1">
      <c r="A479" t="inlineStr">
        <is>
          <t>A 44909-2022</t>
        </is>
      </c>
      <c r="B479" s="1" t="n">
        <v>44840</v>
      </c>
      <c r="C479" s="1" t="n">
        <v>45630</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45004-2022</t>
        </is>
      </c>
      <c r="B480" s="1" t="n">
        <v>44840</v>
      </c>
      <c r="C480" s="1" t="n">
        <v>45630</v>
      </c>
      <c r="D480" t="inlineStr">
        <is>
          <t>JÄMTLANDS LÄN</t>
        </is>
      </c>
      <c r="E480" t="inlineStr">
        <is>
          <t>ÖSTERSUND</t>
        </is>
      </c>
      <c r="G480" t="n">
        <v>2.5</v>
      </c>
      <c r="H480" t="n">
        <v>0</v>
      </c>
      <c r="I480" t="n">
        <v>0</v>
      </c>
      <c r="J480" t="n">
        <v>0</v>
      </c>
      <c r="K480" t="n">
        <v>0</v>
      </c>
      <c r="L480" t="n">
        <v>0</v>
      </c>
      <c r="M480" t="n">
        <v>0</v>
      </c>
      <c r="N480" t="n">
        <v>0</v>
      </c>
      <c r="O480" t="n">
        <v>0</v>
      </c>
      <c r="P480" t="n">
        <v>0</v>
      </c>
      <c r="Q480" t="n">
        <v>0</v>
      </c>
      <c r="R480" s="2" t="inlineStr"/>
    </row>
    <row r="481" ht="15" customHeight="1">
      <c r="A481" t="inlineStr">
        <is>
          <t>A 45654-2022</t>
        </is>
      </c>
      <c r="B481" s="1" t="n">
        <v>44845</v>
      </c>
      <c r="C481" s="1" t="n">
        <v>45630</v>
      </c>
      <c r="D481" t="inlineStr">
        <is>
          <t>JÄMTLANDS LÄN</t>
        </is>
      </c>
      <c r="E481" t="inlineStr">
        <is>
          <t>ÖSTERSUND</t>
        </is>
      </c>
      <c r="G481" t="n">
        <v>0.4</v>
      </c>
      <c r="H481" t="n">
        <v>0</v>
      </c>
      <c r="I481" t="n">
        <v>0</v>
      </c>
      <c r="J481" t="n">
        <v>0</v>
      </c>
      <c r="K481" t="n">
        <v>0</v>
      </c>
      <c r="L481" t="n">
        <v>0</v>
      </c>
      <c r="M481" t="n">
        <v>0</v>
      </c>
      <c r="N481" t="n">
        <v>0</v>
      </c>
      <c r="O481" t="n">
        <v>0</v>
      </c>
      <c r="P481" t="n">
        <v>0</v>
      </c>
      <c r="Q481" t="n">
        <v>0</v>
      </c>
      <c r="R481" s="2" t="inlineStr"/>
    </row>
    <row r="482" ht="15" customHeight="1">
      <c r="A482" t="inlineStr">
        <is>
          <t>A 46913-2022</t>
        </is>
      </c>
      <c r="B482" s="1" t="n">
        <v>44851</v>
      </c>
      <c r="C482" s="1" t="n">
        <v>45630</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47296-2022</t>
        </is>
      </c>
      <c r="B483" s="1" t="n">
        <v>44853</v>
      </c>
      <c r="C483" s="1" t="n">
        <v>45630</v>
      </c>
      <c r="D483" t="inlineStr">
        <is>
          <t>JÄMTLANDS LÄN</t>
        </is>
      </c>
      <c r="E483" t="inlineStr">
        <is>
          <t>ÖSTERSUND</t>
        </is>
      </c>
      <c r="G483" t="n">
        <v>0.5</v>
      </c>
      <c r="H483" t="n">
        <v>0</v>
      </c>
      <c r="I483" t="n">
        <v>0</v>
      </c>
      <c r="J483" t="n">
        <v>0</v>
      </c>
      <c r="K483" t="n">
        <v>0</v>
      </c>
      <c r="L483" t="n">
        <v>0</v>
      </c>
      <c r="M483" t="n">
        <v>0</v>
      </c>
      <c r="N483" t="n">
        <v>0</v>
      </c>
      <c r="O483" t="n">
        <v>0</v>
      </c>
      <c r="P483" t="n">
        <v>0</v>
      </c>
      <c r="Q483" t="n">
        <v>0</v>
      </c>
      <c r="R483" s="2" t="inlineStr"/>
    </row>
    <row r="484" ht="15" customHeight="1">
      <c r="A484" t="inlineStr">
        <is>
          <t>A 47294-2022</t>
        </is>
      </c>
      <c r="B484" s="1" t="n">
        <v>44852</v>
      </c>
      <c r="C484" s="1" t="n">
        <v>45630</v>
      </c>
      <c r="D484" t="inlineStr">
        <is>
          <t>JÄMTLANDS LÄN</t>
        </is>
      </c>
      <c r="E484" t="inlineStr">
        <is>
          <t>ÖSTERSUND</t>
        </is>
      </c>
      <c r="G484" t="n">
        <v>1.7</v>
      </c>
      <c r="H484" t="n">
        <v>0</v>
      </c>
      <c r="I484" t="n">
        <v>0</v>
      </c>
      <c r="J484" t="n">
        <v>0</v>
      </c>
      <c r="K484" t="n">
        <v>0</v>
      </c>
      <c r="L484" t="n">
        <v>0</v>
      </c>
      <c r="M484" t="n">
        <v>0</v>
      </c>
      <c r="N484" t="n">
        <v>0</v>
      </c>
      <c r="O484" t="n">
        <v>0</v>
      </c>
      <c r="P484" t="n">
        <v>0</v>
      </c>
      <c r="Q484" t="n">
        <v>0</v>
      </c>
      <c r="R484" s="2" t="inlineStr"/>
    </row>
    <row r="485" ht="15" customHeight="1">
      <c r="A485" t="inlineStr">
        <is>
          <t>A 47295-2022</t>
        </is>
      </c>
      <c r="B485" s="1" t="n">
        <v>44852</v>
      </c>
      <c r="C485" s="1" t="n">
        <v>45630</v>
      </c>
      <c r="D485" t="inlineStr">
        <is>
          <t>JÄMTLANDS LÄN</t>
        </is>
      </c>
      <c r="E485" t="inlineStr">
        <is>
          <t>ÖSTERSUND</t>
        </is>
      </c>
      <c r="G485" t="n">
        <v>1.1</v>
      </c>
      <c r="H485" t="n">
        <v>0</v>
      </c>
      <c r="I485" t="n">
        <v>0</v>
      </c>
      <c r="J485" t="n">
        <v>0</v>
      </c>
      <c r="K485" t="n">
        <v>0</v>
      </c>
      <c r="L485" t="n">
        <v>0</v>
      </c>
      <c r="M485" t="n">
        <v>0</v>
      </c>
      <c r="N485" t="n">
        <v>0</v>
      </c>
      <c r="O485" t="n">
        <v>0</v>
      </c>
      <c r="P485" t="n">
        <v>0</v>
      </c>
      <c r="Q485" t="n">
        <v>0</v>
      </c>
      <c r="R485" s="2" t="inlineStr"/>
    </row>
    <row r="486" ht="15" customHeight="1">
      <c r="A486" t="inlineStr">
        <is>
          <t>A 49389-2022</t>
        </is>
      </c>
      <c r="B486" s="1" t="n">
        <v>44861</v>
      </c>
      <c r="C486" s="1" t="n">
        <v>45630</v>
      </c>
      <c r="D486" t="inlineStr">
        <is>
          <t>JÄMTLANDS LÄN</t>
        </is>
      </c>
      <c r="E486" t="inlineStr">
        <is>
          <t>ÖSTERSUND</t>
        </is>
      </c>
      <c r="F486" t="inlineStr">
        <is>
          <t>Övriga Aktiebolag</t>
        </is>
      </c>
      <c r="G486" t="n">
        <v>19.2</v>
      </c>
      <c r="H486" t="n">
        <v>0</v>
      </c>
      <c r="I486" t="n">
        <v>0</v>
      </c>
      <c r="J486" t="n">
        <v>0</v>
      </c>
      <c r="K486" t="n">
        <v>0</v>
      </c>
      <c r="L486" t="n">
        <v>0</v>
      </c>
      <c r="M486" t="n">
        <v>0</v>
      </c>
      <c r="N486" t="n">
        <v>0</v>
      </c>
      <c r="O486" t="n">
        <v>0</v>
      </c>
      <c r="P486" t="n">
        <v>0</v>
      </c>
      <c r="Q486" t="n">
        <v>0</v>
      </c>
      <c r="R486" s="2" t="inlineStr"/>
    </row>
    <row r="487" ht="15" customHeight="1">
      <c r="A487" t="inlineStr">
        <is>
          <t>A 50932-2022</t>
        </is>
      </c>
      <c r="B487" s="1" t="n">
        <v>44867</v>
      </c>
      <c r="C487" s="1" t="n">
        <v>45630</v>
      </c>
      <c r="D487" t="inlineStr">
        <is>
          <t>JÄMTLANDS LÄN</t>
        </is>
      </c>
      <c r="E487" t="inlineStr">
        <is>
          <t>ÖSTERSUND</t>
        </is>
      </c>
      <c r="F487" t="inlineStr">
        <is>
          <t>Övriga Aktiebolag</t>
        </is>
      </c>
      <c r="G487" t="n">
        <v>3.9</v>
      </c>
      <c r="H487" t="n">
        <v>0</v>
      </c>
      <c r="I487" t="n">
        <v>0</v>
      </c>
      <c r="J487" t="n">
        <v>0</v>
      </c>
      <c r="K487" t="n">
        <v>0</v>
      </c>
      <c r="L487" t="n">
        <v>0</v>
      </c>
      <c r="M487" t="n">
        <v>0</v>
      </c>
      <c r="N487" t="n">
        <v>0</v>
      </c>
      <c r="O487" t="n">
        <v>0</v>
      </c>
      <c r="P487" t="n">
        <v>0</v>
      </c>
      <c r="Q487" t="n">
        <v>0</v>
      </c>
      <c r="R487" s="2" t="inlineStr"/>
    </row>
    <row r="488" ht="15" customHeight="1">
      <c r="A488" t="inlineStr">
        <is>
          <t>A 51164-2022</t>
        </is>
      </c>
      <c r="B488" s="1" t="n">
        <v>44868</v>
      </c>
      <c r="C488" s="1" t="n">
        <v>45630</v>
      </c>
      <c r="D488" t="inlineStr">
        <is>
          <t>JÄMTLANDS LÄN</t>
        </is>
      </c>
      <c r="E488" t="inlineStr">
        <is>
          <t>ÖSTERSUND</t>
        </is>
      </c>
      <c r="G488" t="n">
        <v>1.2</v>
      </c>
      <c r="H488" t="n">
        <v>0</v>
      </c>
      <c r="I488" t="n">
        <v>0</v>
      </c>
      <c r="J488" t="n">
        <v>0</v>
      </c>
      <c r="K488" t="n">
        <v>0</v>
      </c>
      <c r="L488" t="n">
        <v>0</v>
      </c>
      <c r="M488" t="n">
        <v>0</v>
      </c>
      <c r="N488" t="n">
        <v>0</v>
      </c>
      <c r="O488" t="n">
        <v>0</v>
      </c>
      <c r="P488" t="n">
        <v>0</v>
      </c>
      <c r="Q488" t="n">
        <v>0</v>
      </c>
      <c r="R488" s="2" t="inlineStr"/>
    </row>
    <row r="489" ht="15" customHeight="1">
      <c r="A489" t="inlineStr">
        <is>
          <t>A 52155-2022</t>
        </is>
      </c>
      <c r="B489" s="1" t="n">
        <v>44873</v>
      </c>
      <c r="C489" s="1" t="n">
        <v>45630</v>
      </c>
      <c r="D489" t="inlineStr">
        <is>
          <t>JÄMTLANDS LÄN</t>
        </is>
      </c>
      <c r="E489" t="inlineStr">
        <is>
          <t>ÖSTERSUND</t>
        </is>
      </c>
      <c r="F489" t="inlineStr">
        <is>
          <t>Övriga Aktiebolag</t>
        </is>
      </c>
      <c r="G489" t="n">
        <v>3.4</v>
      </c>
      <c r="H489" t="n">
        <v>0</v>
      </c>
      <c r="I489" t="n">
        <v>0</v>
      </c>
      <c r="J489" t="n">
        <v>0</v>
      </c>
      <c r="K489" t="n">
        <v>0</v>
      </c>
      <c r="L489" t="n">
        <v>0</v>
      </c>
      <c r="M489" t="n">
        <v>0</v>
      </c>
      <c r="N489" t="n">
        <v>0</v>
      </c>
      <c r="O489" t="n">
        <v>0</v>
      </c>
      <c r="P489" t="n">
        <v>0</v>
      </c>
      <c r="Q489" t="n">
        <v>0</v>
      </c>
      <c r="R489" s="2" t="inlineStr"/>
    </row>
    <row r="490" ht="15" customHeight="1">
      <c r="A490" t="inlineStr">
        <is>
          <t>A 52898-2022</t>
        </is>
      </c>
      <c r="B490" s="1" t="n">
        <v>44875</v>
      </c>
      <c r="C490" s="1" t="n">
        <v>45630</v>
      </c>
      <c r="D490" t="inlineStr">
        <is>
          <t>JÄMTLANDS LÄN</t>
        </is>
      </c>
      <c r="E490" t="inlineStr">
        <is>
          <t>ÖSTERSUND</t>
        </is>
      </c>
      <c r="F490" t="inlineStr">
        <is>
          <t>Övriga Aktiebolag</t>
        </is>
      </c>
      <c r="G490" t="n">
        <v>12.1</v>
      </c>
      <c r="H490" t="n">
        <v>0</v>
      </c>
      <c r="I490" t="n">
        <v>0</v>
      </c>
      <c r="J490" t="n">
        <v>0</v>
      </c>
      <c r="K490" t="n">
        <v>0</v>
      </c>
      <c r="L490" t="n">
        <v>0</v>
      </c>
      <c r="M490" t="n">
        <v>0</v>
      </c>
      <c r="N490" t="n">
        <v>0</v>
      </c>
      <c r="O490" t="n">
        <v>0</v>
      </c>
      <c r="P490" t="n">
        <v>0</v>
      </c>
      <c r="Q490" t="n">
        <v>0</v>
      </c>
      <c r="R490" s="2" t="inlineStr"/>
    </row>
    <row r="491" ht="15" customHeight="1">
      <c r="A491" t="inlineStr">
        <is>
          <t>A 53802-2022</t>
        </is>
      </c>
      <c r="B491" s="1" t="n">
        <v>44875</v>
      </c>
      <c r="C491" s="1" t="n">
        <v>45630</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53764-2022</t>
        </is>
      </c>
      <c r="B492" s="1" t="n">
        <v>44875</v>
      </c>
      <c r="C492" s="1" t="n">
        <v>45630</v>
      </c>
      <c r="D492" t="inlineStr">
        <is>
          <t>JÄMTLANDS LÄN</t>
        </is>
      </c>
      <c r="E492" t="inlineStr">
        <is>
          <t>ÖSTERSUND</t>
        </is>
      </c>
      <c r="G492" t="n">
        <v>0.2</v>
      </c>
      <c r="H492" t="n">
        <v>0</v>
      </c>
      <c r="I492" t="n">
        <v>0</v>
      </c>
      <c r="J492" t="n">
        <v>0</v>
      </c>
      <c r="K492" t="n">
        <v>0</v>
      </c>
      <c r="L492" t="n">
        <v>0</v>
      </c>
      <c r="M492" t="n">
        <v>0</v>
      </c>
      <c r="N492" t="n">
        <v>0</v>
      </c>
      <c r="O492" t="n">
        <v>0</v>
      </c>
      <c r="P492" t="n">
        <v>0</v>
      </c>
      <c r="Q492" t="n">
        <v>0</v>
      </c>
      <c r="R492" s="2" t="inlineStr"/>
    </row>
    <row r="493" ht="15" customHeight="1">
      <c r="A493" t="inlineStr">
        <is>
          <t>A 53807-2022</t>
        </is>
      </c>
      <c r="B493" s="1" t="n">
        <v>44875</v>
      </c>
      <c r="C493" s="1" t="n">
        <v>45630</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53453-2022</t>
        </is>
      </c>
      <c r="B494" s="1" t="n">
        <v>44879</v>
      </c>
      <c r="C494" s="1" t="n">
        <v>45630</v>
      </c>
      <c r="D494" t="inlineStr">
        <is>
          <t>JÄMTLANDS LÄN</t>
        </is>
      </c>
      <c r="E494" t="inlineStr">
        <is>
          <t>ÖSTERSUND</t>
        </is>
      </c>
      <c r="G494" t="n">
        <v>22.2</v>
      </c>
      <c r="H494" t="n">
        <v>0</v>
      </c>
      <c r="I494" t="n">
        <v>0</v>
      </c>
      <c r="J494" t="n">
        <v>0</v>
      </c>
      <c r="K494" t="n">
        <v>0</v>
      </c>
      <c r="L494" t="n">
        <v>0</v>
      </c>
      <c r="M494" t="n">
        <v>0</v>
      </c>
      <c r="N494" t="n">
        <v>0</v>
      </c>
      <c r="O494" t="n">
        <v>0</v>
      </c>
      <c r="P494" t="n">
        <v>0</v>
      </c>
      <c r="Q494" t="n">
        <v>0</v>
      </c>
      <c r="R494" s="2" t="inlineStr"/>
    </row>
    <row r="495" ht="15" customHeight="1">
      <c r="A495" t="inlineStr">
        <is>
          <t>A 53556-2022</t>
        </is>
      </c>
      <c r="B495" s="1" t="n">
        <v>44879</v>
      </c>
      <c r="C495" s="1" t="n">
        <v>45630</v>
      </c>
      <c r="D495" t="inlineStr">
        <is>
          <t>JÄMTLANDS LÄN</t>
        </is>
      </c>
      <c r="E495" t="inlineStr">
        <is>
          <t>ÖSTERSUND</t>
        </is>
      </c>
      <c r="F495" t="inlineStr">
        <is>
          <t>Övriga Aktiebolag</t>
        </is>
      </c>
      <c r="G495" t="n">
        <v>3.5</v>
      </c>
      <c r="H495" t="n">
        <v>0</v>
      </c>
      <c r="I495" t="n">
        <v>0</v>
      </c>
      <c r="J495" t="n">
        <v>0</v>
      </c>
      <c r="K495" t="n">
        <v>0</v>
      </c>
      <c r="L495" t="n">
        <v>0</v>
      </c>
      <c r="M495" t="n">
        <v>0</v>
      </c>
      <c r="N495" t="n">
        <v>0</v>
      </c>
      <c r="O495" t="n">
        <v>0</v>
      </c>
      <c r="P495" t="n">
        <v>0</v>
      </c>
      <c r="Q495" t="n">
        <v>0</v>
      </c>
      <c r="R495" s="2" t="inlineStr"/>
    </row>
    <row r="496" ht="15" customHeight="1">
      <c r="A496" t="inlineStr">
        <is>
          <t>A 53714-2022</t>
        </is>
      </c>
      <c r="B496" s="1" t="n">
        <v>44880</v>
      </c>
      <c r="C496" s="1" t="n">
        <v>45630</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54712-2022</t>
        </is>
      </c>
      <c r="B497" s="1" t="n">
        <v>44883</v>
      </c>
      <c r="C497" s="1" t="n">
        <v>45630</v>
      </c>
      <c r="D497" t="inlineStr">
        <is>
          <t>JÄMTLANDS LÄN</t>
        </is>
      </c>
      <c r="E497" t="inlineStr">
        <is>
          <t>ÖSTERSUND</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54663-2022</t>
        </is>
      </c>
      <c r="B498" s="1" t="n">
        <v>44883</v>
      </c>
      <c r="C498" s="1" t="n">
        <v>45630</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55102-2022</t>
        </is>
      </c>
      <c r="B499" s="1" t="n">
        <v>44886</v>
      </c>
      <c r="C499" s="1" t="n">
        <v>45630</v>
      </c>
      <c r="D499" t="inlineStr">
        <is>
          <t>JÄMTLANDS LÄN</t>
        </is>
      </c>
      <c r="E499" t="inlineStr">
        <is>
          <t>ÖSTERSUND</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55008-2022</t>
        </is>
      </c>
      <c r="B500" s="1" t="n">
        <v>44886</v>
      </c>
      <c r="C500" s="1" t="n">
        <v>45630</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55105-2022</t>
        </is>
      </c>
      <c r="B501" s="1" t="n">
        <v>44886</v>
      </c>
      <c r="C501" s="1" t="n">
        <v>45630</v>
      </c>
      <c r="D501" t="inlineStr">
        <is>
          <t>JÄMTLANDS LÄN</t>
        </is>
      </c>
      <c r="E501" t="inlineStr">
        <is>
          <t>ÖSTERSUND</t>
        </is>
      </c>
      <c r="F501" t="inlineStr">
        <is>
          <t>Övriga Aktiebolag</t>
        </is>
      </c>
      <c r="G501" t="n">
        <v>2.4</v>
      </c>
      <c r="H501" t="n">
        <v>0</v>
      </c>
      <c r="I501" t="n">
        <v>0</v>
      </c>
      <c r="J501" t="n">
        <v>0</v>
      </c>
      <c r="K501" t="n">
        <v>0</v>
      </c>
      <c r="L501" t="n">
        <v>0</v>
      </c>
      <c r="M501" t="n">
        <v>0</v>
      </c>
      <c r="N501" t="n">
        <v>0</v>
      </c>
      <c r="O501" t="n">
        <v>0</v>
      </c>
      <c r="P501" t="n">
        <v>0</v>
      </c>
      <c r="Q501" t="n">
        <v>0</v>
      </c>
      <c r="R501" s="2" t="inlineStr"/>
      <c r="U501">
        <f>HYPERLINK("https://klasma.github.io/Logging_2380/knärot/A 55105-2022 karta knärot.png", "A 55105-2022")</f>
        <v/>
      </c>
      <c r="V501">
        <f>HYPERLINK("https://klasma.github.io/Logging_2380/klagomål/A 55105-2022 FSC-klagomål.docx", "A 55105-2022")</f>
        <v/>
      </c>
      <c r="W501">
        <f>HYPERLINK("https://klasma.github.io/Logging_2380/klagomålsmail/A 55105-2022 FSC-klagomål mail.docx", "A 55105-2022")</f>
        <v/>
      </c>
      <c r="X501">
        <f>HYPERLINK("https://klasma.github.io/Logging_2380/tillsyn/A 55105-2022 tillsynsbegäran.docx", "A 55105-2022")</f>
        <v/>
      </c>
      <c r="Y501">
        <f>HYPERLINK("https://klasma.github.io/Logging_2380/tillsynsmail/A 55105-2022 tillsynsbegäran mail.docx", "A 55105-2022")</f>
        <v/>
      </c>
    </row>
    <row r="502" ht="15" customHeight="1">
      <c r="A502" t="inlineStr">
        <is>
          <t>A 55371-2022</t>
        </is>
      </c>
      <c r="B502" s="1" t="n">
        <v>44887</v>
      </c>
      <c r="C502" s="1" t="n">
        <v>45630</v>
      </c>
      <c r="D502" t="inlineStr">
        <is>
          <t>JÄMTLANDS LÄN</t>
        </is>
      </c>
      <c r="E502" t="inlineStr">
        <is>
          <t>ÖSTERSUND</t>
        </is>
      </c>
      <c r="F502" t="inlineStr">
        <is>
          <t>Övriga Aktiebolag</t>
        </is>
      </c>
      <c r="G502" t="n">
        <v>15.4</v>
      </c>
      <c r="H502" t="n">
        <v>0</v>
      </c>
      <c r="I502" t="n">
        <v>0</v>
      </c>
      <c r="J502" t="n">
        <v>0</v>
      </c>
      <c r="K502" t="n">
        <v>0</v>
      </c>
      <c r="L502" t="n">
        <v>0</v>
      </c>
      <c r="M502" t="n">
        <v>0</v>
      </c>
      <c r="N502" t="n">
        <v>0</v>
      </c>
      <c r="O502" t="n">
        <v>0</v>
      </c>
      <c r="P502" t="n">
        <v>0</v>
      </c>
      <c r="Q502" t="n">
        <v>0</v>
      </c>
      <c r="R502" s="2" t="inlineStr"/>
    </row>
    <row r="503" ht="15" customHeight="1">
      <c r="A503" t="inlineStr">
        <is>
          <t>A 55448-2022</t>
        </is>
      </c>
      <c r="B503" s="1" t="n">
        <v>44887</v>
      </c>
      <c r="C503" s="1" t="n">
        <v>45630</v>
      </c>
      <c r="D503" t="inlineStr">
        <is>
          <t>JÄMTLANDS LÄN</t>
        </is>
      </c>
      <c r="E503" t="inlineStr">
        <is>
          <t>ÖSTERSUND</t>
        </is>
      </c>
      <c r="G503" t="n">
        <v>5.2</v>
      </c>
      <c r="H503" t="n">
        <v>0</v>
      </c>
      <c r="I503" t="n">
        <v>0</v>
      </c>
      <c r="J503" t="n">
        <v>0</v>
      </c>
      <c r="K503" t="n">
        <v>0</v>
      </c>
      <c r="L503" t="n">
        <v>0</v>
      </c>
      <c r="M503" t="n">
        <v>0</v>
      </c>
      <c r="N503" t="n">
        <v>0</v>
      </c>
      <c r="O503" t="n">
        <v>0</v>
      </c>
      <c r="P503" t="n">
        <v>0</v>
      </c>
      <c r="Q503" t="n">
        <v>0</v>
      </c>
      <c r="R503" s="2" t="inlineStr"/>
    </row>
    <row r="504" ht="15" customHeight="1">
      <c r="A504" t="inlineStr">
        <is>
          <t>A 56067-2022</t>
        </is>
      </c>
      <c r="B504" s="1" t="n">
        <v>44889</v>
      </c>
      <c r="C504" s="1" t="n">
        <v>45630</v>
      </c>
      <c r="D504" t="inlineStr">
        <is>
          <t>JÄMTLANDS LÄN</t>
        </is>
      </c>
      <c r="E504" t="inlineStr">
        <is>
          <t>ÖSTERSUND</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56148-2022</t>
        </is>
      </c>
      <c r="B505" s="1" t="n">
        <v>44889</v>
      </c>
      <c r="C505" s="1" t="n">
        <v>45630</v>
      </c>
      <c r="D505" t="inlineStr">
        <is>
          <t>JÄMTLANDS LÄN</t>
        </is>
      </c>
      <c r="E505" t="inlineStr">
        <is>
          <t>ÖSTERSUND</t>
        </is>
      </c>
      <c r="G505" t="n">
        <v>1.4</v>
      </c>
      <c r="H505" t="n">
        <v>0</v>
      </c>
      <c r="I505" t="n">
        <v>0</v>
      </c>
      <c r="J505" t="n">
        <v>0</v>
      </c>
      <c r="K505" t="n">
        <v>0</v>
      </c>
      <c r="L505" t="n">
        <v>0</v>
      </c>
      <c r="M505" t="n">
        <v>0</v>
      </c>
      <c r="N505" t="n">
        <v>0</v>
      </c>
      <c r="O505" t="n">
        <v>0</v>
      </c>
      <c r="P505" t="n">
        <v>0</v>
      </c>
      <c r="Q505" t="n">
        <v>0</v>
      </c>
      <c r="R505" s="2" t="inlineStr"/>
    </row>
    <row r="506" ht="15" customHeight="1">
      <c r="A506" t="inlineStr">
        <is>
          <t>A 56111-2022</t>
        </is>
      </c>
      <c r="B506" s="1" t="n">
        <v>44889</v>
      </c>
      <c r="C506" s="1" t="n">
        <v>45630</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57009-2022</t>
        </is>
      </c>
      <c r="B507" s="1" t="n">
        <v>44894</v>
      </c>
      <c r="C507" s="1" t="n">
        <v>45630</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59266-2022</t>
        </is>
      </c>
      <c r="B508" s="1" t="n">
        <v>44904</v>
      </c>
      <c r="C508" s="1" t="n">
        <v>45630</v>
      </c>
      <c r="D508" t="inlineStr">
        <is>
          <t>JÄMTLANDS LÄN</t>
        </is>
      </c>
      <c r="E508" t="inlineStr">
        <is>
          <t>ÖSTERSUND</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59648-2022</t>
        </is>
      </c>
      <c r="B509" s="1" t="n">
        <v>44907</v>
      </c>
      <c r="C509" s="1" t="n">
        <v>45630</v>
      </c>
      <c r="D509" t="inlineStr">
        <is>
          <t>JÄMTLANDS LÄN</t>
        </is>
      </c>
      <c r="E509" t="inlineStr">
        <is>
          <t>ÖSTERSUND</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59649-2022</t>
        </is>
      </c>
      <c r="B510" s="1" t="n">
        <v>44908</v>
      </c>
      <c r="C510" s="1" t="n">
        <v>45630</v>
      </c>
      <c r="D510" t="inlineStr">
        <is>
          <t>JÄMTLANDS LÄN</t>
        </is>
      </c>
      <c r="E510" t="inlineStr">
        <is>
          <t>ÖSTERSUND</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60174-2022</t>
        </is>
      </c>
      <c r="B511" s="1" t="n">
        <v>44910</v>
      </c>
      <c r="C511" s="1" t="n">
        <v>45630</v>
      </c>
      <c r="D511" t="inlineStr">
        <is>
          <t>JÄMTLANDS LÄN</t>
        </is>
      </c>
      <c r="E511" t="inlineStr">
        <is>
          <t>ÖSTERSUND</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61256-2022</t>
        </is>
      </c>
      <c r="B512" s="1" t="n">
        <v>44909</v>
      </c>
      <c r="C512" s="1" t="n">
        <v>45630</v>
      </c>
      <c r="D512" t="inlineStr">
        <is>
          <t>JÄMTLANDS LÄN</t>
        </is>
      </c>
      <c r="E512" t="inlineStr">
        <is>
          <t>ÖSTERSUND</t>
        </is>
      </c>
      <c r="G512" t="n">
        <v>3.9</v>
      </c>
      <c r="H512" t="n">
        <v>0</v>
      </c>
      <c r="I512" t="n">
        <v>0</v>
      </c>
      <c r="J512" t="n">
        <v>0</v>
      </c>
      <c r="K512" t="n">
        <v>0</v>
      </c>
      <c r="L512" t="n">
        <v>0</v>
      </c>
      <c r="M512" t="n">
        <v>0</v>
      </c>
      <c r="N512" t="n">
        <v>0</v>
      </c>
      <c r="O512" t="n">
        <v>0</v>
      </c>
      <c r="P512" t="n">
        <v>0</v>
      </c>
      <c r="Q512" t="n">
        <v>0</v>
      </c>
      <c r="R512" s="2" t="inlineStr"/>
    </row>
    <row r="513" ht="15" customHeight="1">
      <c r="A513" t="inlineStr">
        <is>
          <t>A 60430-2022</t>
        </is>
      </c>
      <c r="B513" s="1" t="n">
        <v>44911</v>
      </c>
      <c r="C513" s="1" t="n">
        <v>45630</v>
      </c>
      <c r="D513" t="inlineStr">
        <is>
          <t>JÄMTLANDS LÄN</t>
        </is>
      </c>
      <c r="E513" t="inlineStr">
        <is>
          <t>ÖSTERSUND</t>
        </is>
      </c>
      <c r="F513" t="inlineStr">
        <is>
          <t>Övriga Aktiebolag</t>
        </is>
      </c>
      <c r="G513" t="n">
        <v>24.2</v>
      </c>
      <c r="H513" t="n">
        <v>0</v>
      </c>
      <c r="I513" t="n">
        <v>0</v>
      </c>
      <c r="J513" t="n">
        <v>0</v>
      </c>
      <c r="K513" t="n">
        <v>0</v>
      </c>
      <c r="L513" t="n">
        <v>0</v>
      </c>
      <c r="M513" t="n">
        <v>0</v>
      </c>
      <c r="N513" t="n">
        <v>0</v>
      </c>
      <c r="O513" t="n">
        <v>0</v>
      </c>
      <c r="P513" t="n">
        <v>0</v>
      </c>
      <c r="Q513" t="n">
        <v>0</v>
      </c>
      <c r="R513" s="2" t="inlineStr"/>
    </row>
    <row r="514" ht="15" customHeight="1">
      <c r="A514" t="inlineStr">
        <is>
          <t>A 60575-2022</t>
        </is>
      </c>
      <c r="B514" s="1" t="n">
        <v>44911</v>
      </c>
      <c r="C514" s="1" t="n">
        <v>45630</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60674-2022</t>
        </is>
      </c>
      <c r="B515" s="1" t="n">
        <v>44911</v>
      </c>
      <c r="C515" s="1" t="n">
        <v>45630</v>
      </c>
      <c r="D515" t="inlineStr">
        <is>
          <t>JÄMTLANDS LÄN</t>
        </is>
      </c>
      <c r="E515" t="inlineStr">
        <is>
          <t>ÖSTERSUND</t>
        </is>
      </c>
      <c r="G515" t="n">
        <v>4.1</v>
      </c>
      <c r="H515" t="n">
        <v>0</v>
      </c>
      <c r="I515" t="n">
        <v>0</v>
      </c>
      <c r="J515" t="n">
        <v>0</v>
      </c>
      <c r="K515" t="n">
        <v>0</v>
      </c>
      <c r="L515" t="n">
        <v>0</v>
      </c>
      <c r="M515" t="n">
        <v>0</v>
      </c>
      <c r="N515" t="n">
        <v>0</v>
      </c>
      <c r="O515" t="n">
        <v>0</v>
      </c>
      <c r="P515" t="n">
        <v>0</v>
      </c>
      <c r="Q515" t="n">
        <v>0</v>
      </c>
      <c r="R515" s="2" t="inlineStr"/>
    </row>
    <row r="516" ht="15" customHeight="1">
      <c r="A516" t="inlineStr">
        <is>
          <t>A 60677-2022</t>
        </is>
      </c>
      <c r="B516" s="1" t="n">
        <v>44911</v>
      </c>
      <c r="C516" s="1" t="n">
        <v>45630</v>
      </c>
      <c r="D516" t="inlineStr">
        <is>
          <t>JÄMTLANDS LÄN</t>
        </is>
      </c>
      <c r="E516" t="inlineStr">
        <is>
          <t>ÖSTERSUND</t>
        </is>
      </c>
      <c r="G516" t="n">
        <v>1.6</v>
      </c>
      <c r="H516" t="n">
        <v>0</v>
      </c>
      <c r="I516" t="n">
        <v>0</v>
      </c>
      <c r="J516" t="n">
        <v>0</v>
      </c>
      <c r="K516" t="n">
        <v>0</v>
      </c>
      <c r="L516" t="n">
        <v>0</v>
      </c>
      <c r="M516" t="n">
        <v>0</v>
      </c>
      <c r="N516" t="n">
        <v>0</v>
      </c>
      <c r="O516" t="n">
        <v>0</v>
      </c>
      <c r="P516" t="n">
        <v>0</v>
      </c>
      <c r="Q516" t="n">
        <v>0</v>
      </c>
      <c r="R516" s="2" t="inlineStr"/>
    </row>
    <row r="517" ht="15" customHeight="1">
      <c r="A517" t="inlineStr">
        <is>
          <t>A 60681-2022</t>
        </is>
      </c>
      <c r="B517" s="1" t="n">
        <v>44911</v>
      </c>
      <c r="C517" s="1" t="n">
        <v>45630</v>
      </c>
      <c r="D517" t="inlineStr">
        <is>
          <t>JÄMTLANDS LÄN</t>
        </is>
      </c>
      <c r="E517" t="inlineStr">
        <is>
          <t>ÖSTERSUND</t>
        </is>
      </c>
      <c r="G517" t="n">
        <v>0.7</v>
      </c>
      <c r="H517" t="n">
        <v>0</v>
      </c>
      <c r="I517" t="n">
        <v>0</v>
      </c>
      <c r="J517" t="n">
        <v>0</v>
      </c>
      <c r="K517" t="n">
        <v>0</v>
      </c>
      <c r="L517" t="n">
        <v>0</v>
      </c>
      <c r="M517" t="n">
        <v>0</v>
      </c>
      <c r="N517" t="n">
        <v>0</v>
      </c>
      <c r="O517" t="n">
        <v>0</v>
      </c>
      <c r="P517" t="n">
        <v>0</v>
      </c>
      <c r="Q517" t="n">
        <v>0</v>
      </c>
      <c r="R517" s="2" t="inlineStr"/>
    </row>
    <row r="518" ht="15" customHeight="1">
      <c r="A518" t="inlineStr">
        <is>
          <t>A 60678-2022</t>
        </is>
      </c>
      <c r="B518" s="1" t="n">
        <v>44911</v>
      </c>
      <c r="C518" s="1" t="n">
        <v>45630</v>
      </c>
      <c r="D518" t="inlineStr">
        <is>
          <t>JÄMTLANDS LÄN</t>
        </is>
      </c>
      <c r="E518" t="inlineStr">
        <is>
          <t>ÖSTERSUND</t>
        </is>
      </c>
      <c r="G518" t="n">
        <v>4.1</v>
      </c>
      <c r="H518" t="n">
        <v>0</v>
      </c>
      <c r="I518" t="n">
        <v>0</v>
      </c>
      <c r="J518" t="n">
        <v>0</v>
      </c>
      <c r="K518" t="n">
        <v>0</v>
      </c>
      <c r="L518" t="n">
        <v>0</v>
      </c>
      <c r="M518" t="n">
        <v>0</v>
      </c>
      <c r="N518" t="n">
        <v>0</v>
      </c>
      <c r="O518" t="n">
        <v>0</v>
      </c>
      <c r="P518" t="n">
        <v>0</v>
      </c>
      <c r="Q518" t="n">
        <v>0</v>
      </c>
      <c r="R518" s="2" t="inlineStr"/>
    </row>
    <row r="519" ht="15" customHeight="1">
      <c r="A519" t="inlineStr">
        <is>
          <t>A 60560-2022</t>
        </is>
      </c>
      <c r="B519" s="1" t="n">
        <v>44911</v>
      </c>
      <c r="C519" s="1" t="n">
        <v>45630</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60676-2022</t>
        </is>
      </c>
      <c r="B520" s="1" t="n">
        <v>44911</v>
      </c>
      <c r="C520" s="1" t="n">
        <v>45630</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60680-2022</t>
        </is>
      </c>
      <c r="B521" s="1" t="n">
        <v>44911</v>
      </c>
      <c r="C521" s="1" t="n">
        <v>45630</v>
      </c>
      <c r="D521" t="inlineStr">
        <is>
          <t>JÄMTLANDS LÄN</t>
        </is>
      </c>
      <c r="E521" t="inlineStr">
        <is>
          <t>ÖSTERSUND</t>
        </is>
      </c>
      <c r="G521" t="n">
        <v>1.3</v>
      </c>
      <c r="H521" t="n">
        <v>0</v>
      </c>
      <c r="I521" t="n">
        <v>0</v>
      </c>
      <c r="J521" t="n">
        <v>0</v>
      </c>
      <c r="K521" t="n">
        <v>0</v>
      </c>
      <c r="L521" t="n">
        <v>0</v>
      </c>
      <c r="M521" t="n">
        <v>0</v>
      </c>
      <c r="N521" t="n">
        <v>0</v>
      </c>
      <c r="O521" t="n">
        <v>0</v>
      </c>
      <c r="P521" t="n">
        <v>0</v>
      </c>
      <c r="Q521" t="n">
        <v>0</v>
      </c>
      <c r="R521" s="2" t="inlineStr"/>
    </row>
    <row r="522" ht="15" customHeight="1">
      <c r="A522" t="inlineStr">
        <is>
          <t>A 60623-2022</t>
        </is>
      </c>
      <c r="B522" s="1" t="n">
        <v>44911</v>
      </c>
      <c r="C522" s="1" t="n">
        <v>45630</v>
      </c>
      <c r="D522" t="inlineStr">
        <is>
          <t>JÄMTLANDS LÄN</t>
        </is>
      </c>
      <c r="E522" t="inlineStr">
        <is>
          <t>ÖSTERSUND</t>
        </is>
      </c>
      <c r="G522" t="n">
        <v>10.9</v>
      </c>
      <c r="H522" t="n">
        <v>0</v>
      </c>
      <c r="I522" t="n">
        <v>0</v>
      </c>
      <c r="J522" t="n">
        <v>0</v>
      </c>
      <c r="K522" t="n">
        <v>0</v>
      </c>
      <c r="L522" t="n">
        <v>0</v>
      </c>
      <c r="M522" t="n">
        <v>0</v>
      </c>
      <c r="N522" t="n">
        <v>0</v>
      </c>
      <c r="O522" t="n">
        <v>0</v>
      </c>
      <c r="P522" t="n">
        <v>0</v>
      </c>
      <c r="Q522" t="n">
        <v>0</v>
      </c>
      <c r="R522" s="2" t="inlineStr"/>
    </row>
    <row r="523" ht="15" customHeight="1">
      <c r="A523" t="inlineStr">
        <is>
          <t>A 60675-2022</t>
        </is>
      </c>
      <c r="B523" s="1" t="n">
        <v>44911</v>
      </c>
      <c r="C523" s="1" t="n">
        <v>45630</v>
      </c>
      <c r="D523" t="inlineStr">
        <is>
          <t>JÄMTLANDS LÄN</t>
        </is>
      </c>
      <c r="E523" t="inlineStr">
        <is>
          <t>ÖSTERSUND</t>
        </is>
      </c>
      <c r="G523" t="n">
        <v>4.3</v>
      </c>
      <c r="H523" t="n">
        <v>0</v>
      </c>
      <c r="I523" t="n">
        <v>0</v>
      </c>
      <c r="J523" t="n">
        <v>0</v>
      </c>
      <c r="K523" t="n">
        <v>0</v>
      </c>
      <c r="L523" t="n">
        <v>0</v>
      </c>
      <c r="M523" t="n">
        <v>0</v>
      </c>
      <c r="N523" t="n">
        <v>0</v>
      </c>
      <c r="O523" t="n">
        <v>0</v>
      </c>
      <c r="P523" t="n">
        <v>0</v>
      </c>
      <c r="Q523" t="n">
        <v>0</v>
      </c>
      <c r="R523" s="2" t="inlineStr"/>
    </row>
    <row r="524" ht="15" customHeight="1">
      <c r="A524" t="inlineStr">
        <is>
          <t>A 60679-2022</t>
        </is>
      </c>
      <c r="B524" s="1" t="n">
        <v>44911</v>
      </c>
      <c r="C524" s="1" t="n">
        <v>45630</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60767-2022</t>
        </is>
      </c>
      <c r="B525" s="1" t="n">
        <v>44914</v>
      </c>
      <c r="C525" s="1" t="n">
        <v>45630</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61653-2022</t>
        </is>
      </c>
      <c r="B526" s="1" t="n">
        <v>44916</v>
      </c>
      <c r="C526" s="1" t="n">
        <v>45630</v>
      </c>
      <c r="D526" t="inlineStr">
        <is>
          <t>JÄMTLANDS LÄN</t>
        </is>
      </c>
      <c r="E526" t="inlineStr">
        <is>
          <t>ÖSTERSUND</t>
        </is>
      </c>
      <c r="G526" t="n">
        <v>7.6</v>
      </c>
      <c r="H526" t="n">
        <v>0</v>
      </c>
      <c r="I526" t="n">
        <v>0</v>
      </c>
      <c r="J526" t="n">
        <v>0</v>
      </c>
      <c r="K526" t="n">
        <v>0</v>
      </c>
      <c r="L526" t="n">
        <v>0</v>
      </c>
      <c r="M526" t="n">
        <v>0</v>
      </c>
      <c r="N526" t="n">
        <v>0</v>
      </c>
      <c r="O526" t="n">
        <v>0</v>
      </c>
      <c r="P526" t="n">
        <v>0</v>
      </c>
      <c r="Q526" t="n">
        <v>0</v>
      </c>
      <c r="R526" s="2" t="inlineStr"/>
    </row>
    <row r="527" ht="15" customHeight="1">
      <c r="A527" t="inlineStr">
        <is>
          <t>A 62040-2022</t>
        </is>
      </c>
      <c r="B527" s="1" t="n">
        <v>44918</v>
      </c>
      <c r="C527" s="1" t="n">
        <v>45630</v>
      </c>
      <c r="D527" t="inlineStr">
        <is>
          <t>JÄMTLANDS LÄN</t>
        </is>
      </c>
      <c r="E527" t="inlineStr">
        <is>
          <t>ÖSTERSUND</t>
        </is>
      </c>
      <c r="G527" t="n">
        <v>2.6</v>
      </c>
      <c r="H527" t="n">
        <v>0</v>
      </c>
      <c r="I527" t="n">
        <v>0</v>
      </c>
      <c r="J527" t="n">
        <v>0</v>
      </c>
      <c r="K527" t="n">
        <v>0</v>
      </c>
      <c r="L527" t="n">
        <v>0</v>
      </c>
      <c r="M527" t="n">
        <v>0</v>
      </c>
      <c r="N527" t="n">
        <v>0</v>
      </c>
      <c r="O527" t="n">
        <v>0</v>
      </c>
      <c r="P527" t="n">
        <v>0</v>
      </c>
      <c r="Q527" t="n">
        <v>0</v>
      </c>
      <c r="R527" s="2" t="inlineStr"/>
    </row>
    <row r="528" ht="15" customHeight="1">
      <c r="A528" t="inlineStr">
        <is>
          <t>A 62043-2022</t>
        </is>
      </c>
      <c r="B528" s="1" t="n">
        <v>44918</v>
      </c>
      <c r="C528" s="1" t="n">
        <v>45630</v>
      </c>
      <c r="D528" t="inlineStr">
        <is>
          <t>JÄMTLANDS LÄN</t>
        </is>
      </c>
      <c r="E528" t="inlineStr">
        <is>
          <t>ÖSTERSUND</t>
        </is>
      </c>
      <c r="G528" t="n">
        <v>5.2</v>
      </c>
      <c r="H528" t="n">
        <v>0</v>
      </c>
      <c r="I528" t="n">
        <v>0</v>
      </c>
      <c r="J528" t="n">
        <v>0</v>
      </c>
      <c r="K528" t="n">
        <v>0</v>
      </c>
      <c r="L528" t="n">
        <v>0</v>
      </c>
      <c r="M528" t="n">
        <v>0</v>
      </c>
      <c r="N528" t="n">
        <v>0</v>
      </c>
      <c r="O528" t="n">
        <v>0</v>
      </c>
      <c r="P528" t="n">
        <v>0</v>
      </c>
      <c r="Q528" t="n">
        <v>0</v>
      </c>
      <c r="R528" s="2" t="inlineStr"/>
    </row>
    <row r="529" ht="15" customHeight="1">
      <c r="A529" t="inlineStr">
        <is>
          <t>A 62227-2022</t>
        </is>
      </c>
      <c r="B529" s="1" t="n">
        <v>44922</v>
      </c>
      <c r="C529" s="1" t="n">
        <v>45630</v>
      </c>
      <c r="D529" t="inlineStr">
        <is>
          <t>JÄMTLANDS LÄN</t>
        </is>
      </c>
      <c r="E529" t="inlineStr">
        <is>
          <t>ÖSTERSUND</t>
        </is>
      </c>
      <c r="G529" t="n">
        <v>2.2</v>
      </c>
      <c r="H529" t="n">
        <v>0</v>
      </c>
      <c r="I529" t="n">
        <v>0</v>
      </c>
      <c r="J529" t="n">
        <v>0</v>
      </c>
      <c r="K529" t="n">
        <v>0</v>
      </c>
      <c r="L529" t="n">
        <v>0</v>
      </c>
      <c r="M529" t="n">
        <v>0</v>
      </c>
      <c r="N529" t="n">
        <v>0</v>
      </c>
      <c r="O529" t="n">
        <v>0</v>
      </c>
      <c r="P529" t="n">
        <v>0</v>
      </c>
      <c r="Q529" t="n">
        <v>0</v>
      </c>
      <c r="R529" s="2" t="inlineStr"/>
    </row>
    <row r="530" ht="15" customHeight="1">
      <c r="A530" t="inlineStr">
        <is>
          <t>A 62225-2022</t>
        </is>
      </c>
      <c r="B530" s="1" t="n">
        <v>44922</v>
      </c>
      <c r="C530" s="1" t="n">
        <v>45630</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62222-2022</t>
        </is>
      </c>
      <c r="B531" s="1" t="n">
        <v>44922</v>
      </c>
      <c r="C531" s="1" t="n">
        <v>45630</v>
      </c>
      <c r="D531" t="inlineStr">
        <is>
          <t>JÄMTLANDS LÄN</t>
        </is>
      </c>
      <c r="E531" t="inlineStr">
        <is>
          <t>ÖSTERSUND</t>
        </is>
      </c>
      <c r="G531" t="n">
        <v>4.1</v>
      </c>
      <c r="H531" t="n">
        <v>0</v>
      </c>
      <c r="I531" t="n">
        <v>0</v>
      </c>
      <c r="J531" t="n">
        <v>0</v>
      </c>
      <c r="K531" t="n">
        <v>0</v>
      </c>
      <c r="L531" t="n">
        <v>0</v>
      </c>
      <c r="M531" t="n">
        <v>0</v>
      </c>
      <c r="N531" t="n">
        <v>0</v>
      </c>
      <c r="O531" t="n">
        <v>0</v>
      </c>
      <c r="P531" t="n">
        <v>0</v>
      </c>
      <c r="Q531" t="n">
        <v>0</v>
      </c>
      <c r="R531" s="2" t="inlineStr"/>
    </row>
    <row r="532" ht="15" customHeight="1">
      <c r="A532" t="inlineStr">
        <is>
          <t>A 296-2023</t>
        </is>
      </c>
      <c r="B532" s="1" t="n">
        <v>44922</v>
      </c>
      <c r="C532" s="1" t="n">
        <v>45630</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12-2023</t>
        </is>
      </c>
      <c r="B533" s="1" t="n">
        <v>44927</v>
      </c>
      <c r="C533" s="1" t="n">
        <v>45630</v>
      </c>
      <c r="D533" t="inlineStr">
        <is>
          <t>JÄMTLANDS LÄN</t>
        </is>
      </c>
      <c r="E533" t="inlineStr">
        <is>
          <t>ÖSTERSUND</t>
        </is>
      </c>
      <c r="G533" t="n">
        <v>4.7</v>
      </c>
      <c r="H533" t="n">
        <v>0</v>
      </c>
      <c r="I533" t="n">
        <v>0</v>
      </c>
      <c r="J533" t="n">
        <v>0</v>
      </c>
      <c r="K533" t="n">
        <v>0</v>
      </c>
      <c r="L533" t="n">
        <v>0</v>
      </c>
      <c r="M533" t="n">
        <v>0</v>
      </c>
      <c r="N533" t="n">
        <v>0</v>
      </c>
      <c r="O533" t="n">
        <v>0</v>
      </c>
      <c r="P533" t="n">
        <v>0</v>
      </c>
      <c r="Q533" t="n">
        <v>0</v>
      </c>
      <c r="R533" s="2" t="inlineStr"/>
    </row>
    <row r="534" ht="15" customHeight="1">
      <c r="A534" t="inlineStr">
        <is>
          <t>A 257-2023</t>
        </is>
      </c>
      <c r="B534" s="1" t="n">
        <v>44928</v>
      </c>
      <c r="C534" s="1" t="n">
        <v>45630</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55-2023</t>
        </is>
      </c>
      <c r="B535" s="1" t="n">
        <v>44928</v>
      </c>
      <c r="C535" s="1" t="n">
        <v>45630</v>
      </c>
      <c r="D535" t="inlineStr">
        <is>
          <t>JÄMTLANDS LÄN</t>
        </is>
      </c>
      <c r="E535" t="inlineStr">
        <is>
          <t>ÖSTERSUND</t>
        </is>
      </c>
      <c r="G535" t="n">
        <v>4</v>
      </c>
      <c r="H535" t="n">
        <v>0</v>
      </c>
      <c r="I535" t="n">
        <v>0</v>
      </c>
      <c r="J535" t="n">
        <v>0</v>
      </c>
      <c r="K535" t="n">
        <v>0</v>
      </c>
      <c r="L535" t="n">
        <v>0</v>
      </c>
      <c r="M535" t="n">
        <v>0</v>
      </c>
      <c r="N535" t="n">
        <v>0</v>
      </c>
      <c r="O535" t="n">
        <v>0</v>
      </c>
      <c r="P535" t="n">
        <v>0</v>
      </c>
      <c r="Q535" t="n">
        <v>0</v>
      </c>
      <c r="R535" s="2" t="inlineStr"/>
    </row>
    <row r="536" ht="15" customHeight="1">
      <c r="A536" t="inlineStr">
        <is>
          <t>A 1234-2023</t>
        </is>
      </c>
      <c r="B536" s="1" t="n">
        <v>44936</v>
      </c>
      <c r="C536" s="1" t="n">
        <v>45630</v>
      </c>
      <c r="D536" t="inlineStr">
        <is>
          <t>JÄMTLANDS LÄN</t>
        </is>
      </c>
      <c r="E536" t="inlineStr">
        <is>
          <t>ÖSTERSUND</t>
        </is>
      </c>
      <c r="G536" t="n">
        <v>2.3</v>
      </c>
      <c r="H536" t="n">
        <v>0</v>
      </c>
      <c r="I536" t="n">
        <v>0</v>
      </c>
      <c r="J536" t="n">
        <v>0</v>
      </c>
      <c r="K536" t="n">
        <v>0</v>
      </c>
      <c r="L536" t="n">
        <v>0</v>
      </c>
      <c r="M536" t="n">
        <v>0</v>
      </c>
      <c r="N536" t="n">
        <v>0</v>
      </c>
      <c r="O536" t="n">
        <v>0</v>
      </c>
      <c r="P536" t="n">
        <v>0</v>
      </c>
      <c r="Q536" t="n">
        <v>0</v>
      </c>
      <c r="R536" s="2" t="inlineStr"/>
    </row>
    <row r="537" ht="15" customHeight="1">
      <c r="A537" t="inlineStr">
        <is>
          <t>A 1893-2023</t>
        </is>
      </c>
      <c r="B537" s="1" t="n">
        <v>44937</v>
      </c>
      <c r="C537" s="1" t="n">
        <v>45630</v>
      </c>
      <c r="D537" t="inlineStr">
        <is>
          <t>JÄMTLANDS LÄN</t>
        </is>
      </c>
      <c r="E537" t="inlineStr">
        <is>
          <t>ÖSTERSUND</t>
        </is>
      </c>
      <c r="G537" t="n">
        <v>11</v>
      </c>
      <c r="H537" t="n">
        <v>0</v>
      </c>
      <c r="I537" t="n">
        <v>0</v>
      </c>
      <c r="J537" t="n">
        <v>0</v>
      </c>
      <c r="K537" t="n">
        <v>0</v>
      </c>
      <c r="L537" t="n">
        <v>0</v>
      </c>
      <c r="M537" t="n">
        <v>0</v>
      </c>
      <c r="N537" t="n">
        <v>0</v>
      </c>
      <c r="O537" t="n">
        <v>0</v>
      </c>
      <c r="P537" t="n">
        <v>0</v>
      </c>
      <c r="Q537" t="n">
        <v>0</v>
      </c>
      <c r="R537" s="2" t="inlineStr"/>
    </row>
    <row r="538" ht="15" customHeight="1">
      <c r="A538" t="inlineStr">
        <is>
          <t>A 2420-2023</t>
        </is>
      </c>
      <c r="B538" s="1" t="n">
        <v>44943</v>
      </c>
      <c r="C538" s="1" t="n">
        <v>45630</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3339-2023</t>
        </is>
      </c>
      <c r="B539" s="1" t="n">
        <v>44949</v>
      </c>
      <c r="C539" s="1" t="n">
        <v>45630</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3749-2023</t>
        </is>
      </c>
      <c r="B540" s="1" t="n">
        <v>44949</v>
      </c>
      <c r="C540" s="1" t="n">
        <v>45630</v>
      </c>
      <c r="D540" t="inlineStr">
        <is>
          <t>JÄMTLANDS LÄN</t>
        </is>
      </c>
      <c r="E540" t="inlineStr">
        <is>
          <t>ÖSTERSUND</t>
        </is>
      </c>
      <c r="G540" t="n">
        <v>0.2</v>
      </c>
      <c r="H540" t="n">
        <v>0</v>
      </c>
      <c r="I540" t="n">
        <v>0</v>
      </c>
      <c r="J540" t="n">
        <v>0</v>
      </c>
      <c r="K540" t="n">
        <v>0</v>
      </c>
      <c r="L540" t="n">
        <v>0</v>
      </c>
      <c r="M540" t="n">
        <v>0</v>
      </c>
      <c r="N540" t="n">
        <v>0</v>
      </c>
      <c r="O540" t="n">
        <v>0</v>
      </c>
      <c r="P540" t="n">
        <v>0</v>
      </c>
      <c r="Q540" t="n">
        <v>0</v>
      </c>
      <c r="R540" s="2" t="inlineStr"/>
    </row>
    <row r="541" ht="15" customHeight="1">
      <c r="A541" t="inlineStr">
        <is>
          <t>A 3949-2023</t>
        </is>
      </c>
      <c r="B541" s="1" t="n">
        <v>44950</v>
      </c>
      <c r="C541" s="1" t="n">
        <v>45630</v>
      </c>
      <c r="D541" t="inlineStr">
        <is>
          <t>JÄMTLANDS LÄN</t>
        </is>
      </c>
      <c r="E541" t="inlineStr">
        <is>
          <t>ÖSTERSUND</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4134-2023</t>
        </is>
      </c>
      <c r="B542" s="1" t="n">
        <v>44952</v>
      </c>
      <c r="C542" s="1" t="n">
        <v>45630</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4135-2023</t>
        </is>
      </c>
      <c r="B543" s="1" t="n">
        <v>44952</v>
      </c>
      <c r="C543" s="1" t="n">
        <v>45630</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4136-2023</t>
        </is>
      </c>
      <c r="B544" s="1" t="n">
        <v>44952</v>
      </c>
      <c r="C544" s="1" t="n">
        <v>45630</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4345-2023</t>
        </is>
      </c>
      <c r="B545" s="1" t="n">
        <v>44954</v>
      </c>
      <c r="C545" s="1" t="n">
        <v>45630</v>
      </c>
      <c r="D545" t="inlineStr">
        <is>
          <t>JÄMTLANDS LÄN</t>
        </is>
      </c>
      <c r="E545" t="inlineStr">
        <is>
          <t>ÖSTERSUND</t>
        </is>
      </c>
      <c r="F545" t="inlineStr">
        <is>
          <t>SCA</t>
        </is>
      </c>
      <c r="G545" t="n">
        <v>7.5</v>
      </c>
      <c r="H545" t="n">
        <v>0</v>
      </c>
      <c r="I545" t="n">
        <v>0</v>
      </c>
      <c r="J545" t="n">
        <v>0</v>
      </c>
      <c r="K545" t="n">
        <v>0</v>
      </c>
      <c r="L545" t="n">
        <v>0</v>
      </c>
      <c r="M545" t="n">
        <v>0</v>
      </c>
      <c r="N545" t="n">
        <v>0</v>
      </c>
      <c r="O545" t="n">
        <v>0</v>
      </c>
      <c r="P545" t="n">
        <v>0</v>
      </c>
      <c r="Q545" t="n">
        <v>0</v>
      </c>
      <c r="R545" s="2" t="inlineStr"/>
    </row>
    <row r="546" ht="15" customHeight="1">
      <c r="A546" t="inlineStr">
        <is>
          <t>A 5197-2023</t>
        </is>
      </c>
      <c r="B546" s="1" t="n">
        <v>44953</v>
      </c>
      <c r="C546" s="1" t="n">
        <v>45630</v>
      </c>
      <c r="D546" t="inlineStr">
        <is>
          <t>JÄMTLANDS LÄN</t>
        </is>
      </c>
      <c r="E546" t="inlineStr">
        <is>
          <t>ÖSTERSUND</t>
        </is>
      </c>
      <c r="G546" t="n">
        <v>1.5</v>
      </c>
      <c r="H546" t="n">
        <v>0</v>
      </c>
      <c r="I546" t="n">
        <v>0</v>
      </c>
      <c r="J546" t="n">
        <v>0</v>
      </c>
      <c r="K546" t="n">
        <v>0</v>
      </c>
      <c r="L546" t="n">
        <v>0</v>
      </c>
      <c r="M546" t="n">
        <v>0</v>
      </c>
      <c r="N546" t="n">
        <v>0</v>
      </c>
      <c r="O546" t="n">
        <v>0</v>
      </c>
      <c r="P546" t="n">
        <v>0</v>
      </c>
      <c r="Q546" t="n">
        <v>0</v>
      </c>
      <c r="R546" s="2" t="inlineStr"/>
    </row>
    <row r="547" ht="15" customHeight="1">
      <c r="A547" t="inlineStr">
        <is>
          <t>A 4872-2023</t>
        </is>
      </c>
      <c r="B547" s="1" t="n">
        <v>44957</v>
      </c>
      <c r="C547" s="1" t="n">
        <v>45630</v>
      </c>
      <c r="D547" t="inlineStr">
        <is>
          <t>JÄMTLANDS LÄN</t>
        </is>
      </c>
      <c r="E547" t="inlineStr">
        <is>
          <t>ÖSTERSUND</t>
        </is>
      </c>
      <c r="G547" t="n">
        <v>10.7</v>
      </c>
      <c r="H547" t="n">
        <v>0</v>
      </c>
      <c r="I547" t="n">
        <v>0</v>
      </c>
      <c r="J547" t="n">
        <v>0</v>
      </c>
      <c r="K547" t="n">
        <v>0</v>
      </c>
      <c r="L547" t="n">
        <v>0</v>
      </c>
      <c r="M547" t="n">
        <v>0</v>
      </c>
      <c r="N547" t="n">
        <v>0</v>
      </c>
      <c r="O547" t="n">
        <v>0</v>
      </c>
      <c r="P547" t="n">
        <v>0</v>
      </c>
      <c r="Q547" t="n">
        <v>0</v>
      </c>
      <c r="R547" s="2" t="inlineStr"/>
    </row>
    <row r="548" ht="15" customHeight="1">
      <c r="A548" t="inlineStr">
        <is>
          <t>A 5951-2023</t>
        </is>
      </c>
      <c r="B548" s="1" t="n">
        <v>44963</v>
      </c>
      <c r="C548" s="1" t="n">
        <v>45630</v>
      </c>
      <c r="D548" t="inlineStr">
        <is>
          <t>JÄMTLANDS LÄN</t>
        </is>
      </c>
      <c r="E548" t="inlineStr">
        <is>
          <t>ÖSTERSUND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5950-2023</t>
        </is>
      </c>
      <c r="B549" s="1" t="n">
        <v>44963</v>
      </c>
      <c r="C549" s="1" t="n">
        <v>45630</v>
      </c>
      <c r="D549" t="inlineStr">
        <is>
          <t>JÄMTLANDS LÄN</t>
        </is>
      </c>
      <c r="E549" t="inlineStr">
        <is>
          <t>ÖSTERSUND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6341-2023</t>
        </is>
      </c>
      <c r="B550" s="1" t="n">
        <v>44965</v>
      </c>
      <c r="C550" s="1" t="n">
        <v>45630</v>
      </c>
      <c r="D550" t="inlineStr">
        <is>
          <t>JÄMTLANDS LÄN</t>
        </is>
      </c>
      <c r="E550" t="inlineStr">
        <is>
          <t>ÖSTERSUND</t>
        </is>
      </c>
      <c r="G550" t="n">
        <v>6</v>
      </c>
      <c r="H550" t="n">
        <v>0</v>
      </c>
      <c r="I550" t="n">
        <v>0</v>
      </c>
      <c r="J550" t="n">
        <v>0</v>
      </c>
      <c r="K550" t="n">
        <v>0</v>
      </c>
      <c r="L550" t="n">
        <v>0</v>
      </c>
      <c r="M550" t="n">
        <v>0</v>
      </c>
      <c r="N550" t="n">
        <v>0</v>
      </c>
      <c r="O550" t="n">
        <v>0</v>
      </c>
      <c r="P550" t="n">
        <v>0</v>
      </c>
      <c r="Q550" t="n">
        <v>0</v>
      </c>
      <c r="R550" s="2" t="inlineStr"/>
    </row>
    <row r="551" ht="15" customHeight="1">
      <c r="A551" t="inlineStr">
        <is>
          <t>A 7327-2023</t>
        </is>
      </c>
      <c r="B551" s="1" t="n">
        <v>44971</v>
      </c>
      <c r="C551" s="1" t="n">
        <v>45630</v>
      </c>
      <c r="D551" t="inlineStr">
        <is>
          <t>JÄMTLANDS LÄN</t>
        </is>
      </c>
      <c r="E551" t="inlineStr">
        <is>
          <t>ÖSTERSUND</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7983-2023</t>
        </is>
      </c>
      <c r="B552" s="1" t="n">
        <v>44970</v>
      </c>
      <c r="C552" s="1" t="n">
        <v>45630</v>
      </c>
      <c r="D552" t="inlineStr">
        <is>
          <t>JÄMTLANDS LÄN</t>
        </is>
      </c>
      <c r="E552" t="inlineStr">
        <is>
          <t>ÖSTERSUND</t>
        </is>
      </c>
      <c r="G552" t="n">
        <v>1.8</v>
      </c>
      <c r="H552" t="n">
        <v>0</v>
      </c>
      <c r="I552" t="n">
        <v>0</v>
      </c>
      <c r="J552" t="n">
        <v>0</v>
      </c>
      <c r="K552" t="n">
        <v>0</v>
      </c>
      <c r="L552" t="n">
        <v>0</v>
      </c>
      <c r="M552" t="n">
        <v>0</v>
      </c>
      <c r="N552" t="n">
        <v>0</v>
      </c>
      <c r="O552" t="n">
        <v>0</v>
      </c>
      <c r="P552" t="n">
        <v>0</v>
      </c>
      <c r="Q552" t="n">
        <v>0</v>
      </c>
      <c r="R552" s="2" t="inlineStr"/>
    </row>
    <row r="553" ht="15" customHeight="1">
      <c r="A553" t="inlineStr">
        <is>
          <t>A 8223-2023</t>
        </is>
      </c>
      <c r="B553" s="1" t="n">
        <v>44971</v>
      </c>
      <c r="C553" s="1" t="n">
        <v>45630</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8423-2023</t>
        </is>
      </c>
      <c r="B554" s="1" t="n">
        <v>44977</v>
      </c>
      <c r="C554" s="1" t="n">
        <v>45630</v>
      </c>
      <c r="D554" t="inlineStr">
        <is>
          <t>JÄMTLANDS LÄN</t>
        </is>
      </c>
      <c r="E554" t="inlineStr">
        <is>
          <t>ÖSTERSUND</t>
        </is>
      </c>
      <c r="F554" t="inlineStr">
        <is>
          <t>Övriga Aktiebolag</t>
        </is>
      </c>
      <c r="G554" t="n">
        <v>53.1</v>
      </c>
      <c r="H554" t="n">
        <v>0</v>
      </c>
      <c r="I554" t="n">
        <v>0</v>
      </c>
      <c r="J554" t="n">
        <v>0</v>
      </c>
      <c r="K554" t="n">
        <v>0</v>
      </c>
      <c r="L554" t="n">
        <v>0</v>
      </c>
      <c r="M554" t="n">
        <v>0</v>
      </c>
      <c r="N554" t="n">
        <v>0</v>
      </c>
      <c r="O554" t="n">
        <v>0</v>
      </c>
      <c r="P554" t="n">
        <v>0</v>
      </c>
      <c r="Q554" t="n">
        <v>0</v>
      </c>
      <c r="R554" s="2" t="inlineStr"/>
    </row>
    <row r="555" ht="15" customHeight="1">
      <c r="A555" t="inlineStr">
        <is>
          <t>A 8675-2023</t>
        </is>
      </c>
      <c r="B555" s="1" t="n">
        <v>44978</v>
      </c>
      <c r="C555" s="1" t="n">
        <v>45630</v>
      </c>
      <c r="D555" t="inlineStr">
        <is>
          <t>JÄMTLANDS LÄN</t>
        </is>
      </c>
      <c r="E555" t="inlineStr">
        <is>
          <t>ÖSTERSUND</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10306-2023</t>
        </is>
      </c>
      <c r="B556" s="1" t="n">
        <v>44986</v>
      </c>
      <c r="C556" s="1" t="n">
        <v>45630</v>
      </c>
      <c r="D556" t="inlineStr">
        <is>
          <t>JÄMTLANDS LÄN</t>
        </is>
      </c>
      <c r="E556" t="inlineStr">
        <is>
          <t>ÖSTERSUND</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10308-2023</t>
        </is>
      </c>
      <c r="B557" s="1" t="n">
        <v>44986</v>
      </c>
      <c r="C557" s="1" t="n">
        <v>45630</v>
      </c>
      <c r="D557" t="inlineStr">
        <is>
          <t>JÄMTLANDS LÄN</t>
        </is>
      </c>
      <c r="E557" t="inlineStr">
        <is>
          <t>ÖSTERSUND</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10307-2023</t>
        </is>
      </c>
      <c r="B558" s="1" t="n">
        <v>44986</v>
      </c>
      <c r="C558" s="1" t="n">
        <v>45630</v>
      </c>
      <c r="D558" t="inlineStr">
        <is>
          <t>JÄMTLANDS LÄN</t>
        </is>
      </c>
      <c r="E558" t="inlineStr">
        <is>
          <t>ÖSTERSUND</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10315-2023</t>
        </is>
      </c>
      <c r="B559" s="1" t="n">
        <v>44986</v>
      </c>
      <c r="C559" s="1" t="n">
        <v>45630</v>
      </c>
      <c r="D559" t="inlineStr">
        <is>
          <t>JÄMTLANDS LÄN</t>
        </is>
      </c>
      <c r="E559" t="inlineStr">
        <is>
          <t>ÖSTERSUND</t>
        </is>
      </c>
      <c r="F559" t="inlineStr">
        <is>
          <t>SCA</t>
        </is>
      </c>
      <c r="G559" t="n">
        <v>6.7</v>
      </c>
      <c r="H559" t="n">
        <v>0</v>
      </c>
      <c r="I559" t="n">
        <v>0</v>
      </c>
      <c r="J559" t="n">
        <v>0</v>
      </c>
      <c r="K559" t="n">
        <v>0</v>
      </c>
      <c r="L559" t="n">
        <v>0</v>
      </c>
      <c r="M559" t="n">
        <v>0</v>
      </c>
      <c r="N559" t="n">
        <v>0</v>
      </c>
      <c r="O559" t="n">
        <v>0</v>
      </c>
      <c r="P559" t="n">
        <v>0</v>
      </c>
      <c r="Q559" t="n">
        <v>0</v>
      </c>
      <c r="R559" s="2" t="inlineStr"/>
    </row>
    <row r="560" ht="15" customHeight="1">
      <c r="A560" t="inlineStr">
        <is>
          <t>A 10305-2023</t>
        </is>
      </c>
      <c r="B560" s="1" t="n">
        <v>44986</v>
      </c>
      <c r="C560" s="1" t="n">
        <v>45630</v>
      </c>
      <c r="D560" t="inlineStr">
        <is>
          <t>JÄMTLANDS LÄN</t>
        </is>
      </c>
      <c r="E560" t="inlineStr">
        <is>
          <t>ÖSTERSUND</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11356-2023</t>
        </is>
      </c>
      <c r="B561" s="1" t="n">
        <v>44993</v>
      </c>
      <c r="C561" s="1" t="n">
        <v>45630</v>
      </c>
      <c r="D561" t="inlineStr">
        <is>
          <t>JÄMTLANDS LÄN</t>
        </is>
      </c>
      <c r="E561" t="inlineStr">
        <is>
          <t>ÖSTERSUND</t>
        </is>
      </c>
      <c r="G561" t="n">
        <v>8.1</v>
      </c>
      <c r="H561" t="n">
        <v>0</v>
      </c>
      <c r="I561" t="n">
        <v>0</v>
      </c>
      <c r="J561" t="n">
        <v>0</v>
      </c>
      <c r="K561" t="n">
        <v>0</v>
      </c>
      <c r="L561" t="n">
        <v>0</v>
      </c>
      <c r="M561" t="n">
        <v>0</v>
      </c>
      <c r="N561" t="n">
        <v>0</v>
      </c>
      <c r="O561" t="n">
        <v>0</v>
      </c>
      <c r="P561" t="n">
        <v>0</v>
      </c>
      <c r="Q561" t="n">
        <v>0</v>
      </c>
      <c r="R561" s="2" t="inlineStr"/>
    </row>
    <row r="562" ht="15" customHeight="1">
      <c r="A562" t="inlineStr">
        <is>
          <t>A 12821-2023</t>
        </is>
      </c>
      <c r="B562" s="1" t="n">
        <v>45000</v>
      </c>
      <c r="C562" s="1" t="n">
        <v>45630</v>
      </c>
      <c r="D562" t="inlineStr">
        <is>
          <t>JÄMTLANDS LÄN</t>
        </is>
      </c>
      <c r="E562" t="inlineStr">
        <is>
          <t>ÖSTERSUND</t>
        </is>
      </c>
      <c r="G562" t="n">
        <v>0.7</v>
      </c>
      <c r="H562" t="n">
        <v>0</v>
      </c>
      <c r="I562" t="n">
        <v>0</v>
      </c>
      <c r="J562" t="n">
        <v>0</v>
      </c>
      <c r="K562" t="n">
        <v>0</v>
      </c>
      <c r="L562" t="n">
        <v>0</v>
      </c>
      <c r="M562" t="n">
        <v>0</v>
      </c>
      <c r="N562" t="n">
        <v>0</v>
      </c>
      <c r="O562" t="n">
        <v>0</v>
      </c>
      <c r="P562" t="n">
        <v>0</v>
      </c>
      <c r="Q562" t="n">
        <v>0</v>
      </c>
      <c r="R562" s="2" t="inlineStr"/>
    </row>
    <row r="563" ht="15" customHeight="1">
      <c r="A563" t="inlineStr">
        <is>
          <t>A 13166-2023</t>
        </is>
      </c>
      <c r="B563" s="1" t="n">
        <v>45002</v>
      </c>
      <c r="C563" s="1" t="n">
        <v>45630</v>
      </c>
      <c r="D563" t="inlineStr">
        <is>
          <t>JÄMTLANDS LÄN</t>
        </is>
      </c>
      <c r="E563" t="inlineStr">
        <is>
          <t>ÖSTERSUND</t>
        </is>
      </c>
      <c r="F563" t="inlineStr">
        <is>
          <t>Övriga statliga verk och myndigheter</t>
        </is>
      </c>
      <c r="G563" t="n">
        <v>1</v>
      </c>
      <c r="H563" t="n">
        <v>0</v>
      </c>
      <c r="I563" t="n">
        <v>0</v>
      </c>
      <c r="J563" t="n">
        <v>0</v>
      </c>
      <c r="K563" t="n">
        <v>0</v>
      </c>
      <c r="L563" t="n">
        <v>0</v>
      </c>
      <c r="M563" t="n">
        <v>0</v>
      </c>
      <c r="N563" t="n">
        <v>0</v>
      </c>
      <c r="O563" t="n">
        <v>0</v>
      </c>
      <c r="P563" t="n">
        <v>0</v>
      </c>
      <c r="Q563" t="n">
        <v>0</v>
      </c>
      <c r="R563" s="2" t="inlineStr"/>
    </row>
    <row r="564" ht="15" customHeight="1">
      <c r="A564" t="inlineStr">
        <is>
          <t>A 13148-2023</t>
        </is>
      </c>
      <c r="B564" s="1" t="n">
        <v>45002</v>
      </c>
      <c r="C564" s="1" t="n">
        <v>45630</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13152-2023</t>
        </is>
      </c>
      <c r="B565" s="1" t="n">
        <v>45002</v>
      </c>
      <c r="C565" s="1" t="n">
        <v>45630</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13282-2023</t>
        </is>
      </c>
      <c r="B566" s="1" t="n">
        <v>45004</v>
      </c>
      <c r="C566" s="1" t="n">
        <v>45630</v>
      </c>
      <c r="D566" t="inlineStr">
        <is>
          <t>JÄMTLANDS LÄN</t>
        </is>
      </c>
      <c r="E566" t="inlineStr">
        <is>
          <t>ÖSTERSUND</t>
        </is>
      </c>
      <c r="G566" t="n">
        <v>28.5</v>
      </c>
      <c r="H566" t="n">
        <v>0</v>
      </c>
      <c r="I566" t="n">
        <v>0</v>
      </c>
      <c r="J566" t="n">
        <v>0</v>
      </c>
      <c r="K566" t="n">
        <v>0</v>
      </c>
      <c r="L566" t="n">
        <v>0</v>
      </c>
      <c r="M566" t="n">
        <v>0</v>
      </c>
      <c r="N566" t="n">
        <v>0</v>
      </c>
      <c r="O566" t="n">
        <v>0</v>
      </c>
      <c r="P566" t="n">
        <v>0</v>
      </c>
      <c r="Q566" t="n">
        <v>0</v>
      </c>
      <c r="R566" s="2" t="inlineStr"/>
    </row>
    <row r="567" ht="15" customHeight="1">
      <c r="A567" t="inlineStr">
        <is>
          <t>A 13921-2023</t>
        </is>
      </c>
      <c r="B567" s="1" t="n">
        <v>45008</v>
      </c>
      <c r="C567" s="1" t="n">
        <v>45630</v>
      </c>
      <c r="D567" t="inlineStr">
        <is>
          <t>JÄMTLANDS LÄN</t>
        </is>
      </c>
      <c r="E567" t="inlineStr">
        <is>
          <t>ÖSTERSUND</t>
        </is>
      </c>
      <c r="G567" t="n">
        <v>0.3</v>
      </c>
      <c r="H567" t="n">
        <v>0</v>
      </c>
      <c r="I567" t="n">
        <v>0</v>
      </c>
      <c r="J567" t="n">
        <v>0</v>
      </c>
      <c r="K567" t="n">
        <v>0</v>
      </c>
      <c r="L567" t="n">
        <v>0</v>
      </c>
      <c r="M567" t="n">
        <v>0</v>
      </c>
      <c r="N567" t="n">
        <v>0</v>
      </c>
      <c r="O567" t="n">
        <v>0</v>
      </c>
      <c r="P567" t="n">
        <v>0</v>
      </c>
      <c r="Q567" t="n">
        <v>0</v>
      </c>
      <c r="R567" s="2" t="inlineStr"/>
    </row>
    <row r="568" ht="15" customHeight="1">
      <c r="A568" t="inlineStr">
        <is>
          <t>A 14520-2023</t>
        </is>
      </c>
      <c r="B568" s="1" t="n">
        <v>45012</v>
      </c>
      <c r="C568" s="1" t="n">
        <v>45630</v>
      </c>
      <c r="D568" t="inlineStr">
        <is>
          <t>JÄMTLANDS LÄN</t>
        </is>
      </c>
      <c r="E568" t="inlineStr">
        <is>
          <t>ÖSTERSUND</t>
        </is>
      </c>
      <c r="G568" t="n">
        <v>1.4</v>
      </c>
      <c r="H568" t="n">
        <v>0</v>
      </c>
      <c r="I568" t="n">
        <v>0</v>
      </c>
      <c r="J568" t="n">
        <v>0</v>
      </c>
      <c r="K568" t="n">
        <v>0</v>
      </c>
      <c r="L568" t="n">
        <v>0</v>
      </c>
      <c r="M568" t="n">
        <v>0</v>
      </c>
      <c r="N568" t="n">
        <v>0</v>
      </c>
      <c r="O568" t="n">
        <v>0</v>
      </c>
      <c r="P568" t="n">
        <v>0</v>
      </c>
      <c r="Q568" t="n">
        <v>0</v>
      </c>
      <c r="R568" s="2" t="inlineStr"/>
    </row>
    <row r="569" ht="15" customHeight="1">
      <c r="A569" t="inlineStr">
        <is>
          <t>A 14523-2023</t>
        </is>
      </c>
      <c r="B569" s="1" t="n">
        <v>45012</v>
      </c>
      <c r="C569" s="1" t="n">
        <v>45630</v>
      </c>
      <c r="D569" t="inlineStr">
        <is>
          <t>JÄMTLANDS LÄN</t>
        </is>
      </c>
      <c r="E569" t="inlineStr">
        <is>
          <t>ÖSTERSUND</t>
        </is>
      </c>
      <c r="G569" t="n">
        <v>4.5</v>
      </c>
      <c r="H569" t="n">
        <v>0</v>
      </c>
      <c r="I569" t="n">
        <v>0</v>
      </c>
      <c r="J569" t="n">
        <v>0</v>
      </c>
      <c r="K569" t="n">
        <v>0</v>
      </c>
      <c r="L569" t="n">
        <v>0</v>
      </c>
      <c r="M569" t="n">
        <v>0</v>
      </c>
      <c r="N569" t="n">
        <v>0</v>
      </c>
      <c r="O569" t="n">
        <v>0</v>
      </c>
      <c r="P569" t="n">
        <v>0</v>
      </c>
      <c r="Q569" t="n">
        <v>0</v>
      </c>
      <c r="R569" s="2" t="inlineStr"/>
    </row>
    <row r="570" ht="15" customHeight="1">
      <c r="A570" t="inlineStr">
        <is>
          <t>A 14521-2023</t>
        </is>
      </c>
      <c r="B570" s="1" t="n">
        <v>45013</v>
      </c>
      <c r="C570" s="1" t="n">
        <v>45630</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14518-2023</t>
        </is>
      </c>
      <c r="B571" s="1" t="n">
        <v>45012</v>
      </c>
      <c r="C571" s="1" t="n">
        <v>45630</v>
      </c>
      <c r="D571" t="inlineStr">
        <is>
          <t>JÄMTLANDS LÄN</t>
        </is>
      </c>
      <c r="E571" t="inlineStr">
        <is>
          <t>ÖSTERSUND</t>
        </is>
      </c>
      <c r="G571" t="n">
        <v>14.4</v>
      </c>
      <c r="H571" t="n">
        <v>0</v>
      </c>
      <c r="I571" t="n">
        <v>0</v>
      </c>
      <c r="J571" t="n">
        <v>0</v>
      </c>
      <c r="K571" t="n">
        <v>0</v>
      </c>
      <c r="L571" t="n">
        <v>0</v>
      </c>
      <c r="M571" t="n">
        <v>0</v>
      </c>
      <c r="N571" t="n">
        <v>0</v>
      </c>
      <c r="O571" t="n">
        <v>0</v>
      </c>
      <c r="P571" t="n">
        <v>0</v>
      </c>
      <c r="Q571" t="n">
        <v>0</v>
      </c>
      <c r="R571" s="2" t="inlineStr"/>
    </row>
    <row r="572" ht="15" customHeight="1">
      <c r="A572" t="inlineStr">
        <is>
          <t>A 15984-2023</t>
        </is>
      </c>
      <c r="B572" s="1" t="n">
        <v>45022</v>
      </c>
      <c r="C572" s="1" t="n">
        <v>45630</v>
      </c>
      <c r="D572" t="inlineStr">
        <is>
          <t>JÄMTLANDS LÄN</t>
        </is>
      </c>
      <c r="E572" t="inlineStr">
        <is>
          <t>ÖSTERSUND</t>
        </is>
      </c>
      <c r="F572" t="inlineStr">
        <is>
          <t>SCA</t>
        </is>
      </c>
      <c r="G572" t="n">
        <v>10.1</v>
      </c>
      <c r="H572" t="n">
        <v>0</v>
      </c>
      <c r="I572" t="n">
        <v>0</v>
      </c>
      <c r="J572" t="n">
        <v>0</v>
      </c>
      <c r="K572" t="n">
        <v>0</v>
      </c>
      <c r="L572" t="n">
        <v>0</v>
      </c>
      <c r="M572" t="n">
        <v>0</v>
      </c>
      <c r="N572" t="n">
        <v>0</v>
      </c>
      <c r="O572" t="n">
        <v>0</v>
      </c>
      <c r="P572" t="n">
        <v>0</v>
      </c>
      <c r="Q572" t="n">
        <v>0</v>
      </c>
      <c r="R572" s="2" t="inlineStr"/>
    </row>
    <row r="573" ht="15" customHeight="1">
      <c r="A573" t="inlineStr">
        <is>
          <t>A 16666-2023</t>
        </is>
      </c>
      <c r="B573" s="1" t="n">
        <v>45028</v>
      </c>
      <c r="C573" s="1" t="n">
        <v>45630</v>
      </c>
      <c r="D573" t="inlineStr">
        <is>
          <t>JÄMTLANDS LÄN</t>
        </is>
      </c>
      <c r="E573" t="inlineStr">
        <is>
          <t>ÖSTERSUND</t>
        </is>
      </c>
      <c r="G573" t="n">
        <v>2.4</v>
      </c>
      <c r="H573" t="n">
        <v>0</v>
      </c>
      <c r="I573" t="n">
        <v>0</v>
      </c>
      <c r="J573" t="n">
        <v>0</v>
      </c>
      <c r="K573" t="n">
        <v>0</v>
      </c>
      <c r="L573" t="n">
        <v>0</v>
      </c>
      <c r="M573" t="n">
        <v>0</v>
      </c>
      <c r="N573" t="n">
        <v>0</v>
      </c>
      <c r="O573" t="n">
        <v>0</v>
      </c>
      <c r="P573" t="n">
        <v>0</v>
      </c>
      <c r="Q573" t="n">
        <v>0</v>
      </c>
      <c r="R573" s="2" t="inlineStr"/>
    </row>
    <row r="574" ht="15" customHeight="1">
      <c r="A574" t="inlineStr">
        <is>
          <t>A 16682-2023</t>
        </is>
      </c>
      <c r="B574" s="1" t="n">
        <v>45028</v>
      </c>
      <c r="C574" s="1" t="n">
        <v>45630</v>
      </c>
      <c r="D574" t="inlineStr">
        <is>
          <t>JÄMTLANDS LÄN</t>
        </is>
      </c>
      <c r="E574" t="inlineStr">
        <is>
          <t>ÖSTERSUND</t>
        </is>
      </c>
      <c r="G574" t="n">
        <v>7.9</v>
      </c>
      <c r="H574" t="n">
        <v>0</v>
      </c>
      <c r="I574" t="n">
        <v>0</v>
      </c>
      <c r="J574" t="n">
        <v>0</v>
      </c>
      <c r="K574" t="n">
        <v>0</v>
      </c>
      <c r="L574" t="n">
        <v>0</v>
      </c>
      <c r="M574" t="n">
        <v>0</v>
      </c>
      <c r="N574" t="n">
        <v>0</v>
      </c>
      <c r="O574" t="n">
        <v>0</v>
      </c>
      <c r="P574" t="n">
        <v>0</v>
      </c>
      <c r="Q574" t="n">
        <v>0</v>
      </c>
      <c r="R574" s="2" t="inlineStr"/>
    </row>
    <row r="575" ht="15" customHeight="1">
      <c r="A575" t="inlineStr">
        <is>
          <t>A 17225-2023</t>
        </is>
      </c>
      <c r="B575" s="1" t="n">
        <v>45035</v>
      </c>
      <c r="C575" s="1" t="n">
        <v>45630</v>
      </c>
      <c r="D575" t="inlineStr">
        <is>
          <t>JÄMTLANDS LÄN</t>
        </is>
      </c>
      <c r="E575" t="inlineStr">
        <is>
          <t>ÖSTERSUND</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19573-2023</t>
        </is>
      </c>
      <c r="B576" s="1" t="n">
        <v>45049</v>
      </c>
      <c r="C576" s="1" t="n">
        <v>45630</v>
      </c>
      <c r="D576" t="inlineStr">
        <is>
          <t>JÄMTLANDS LÄN</t>
        </is>
      </c>
      <c r="E576" t="inlineStr">
        <is>
          <t>ÖSTERSUND</t>
        </is>
      </c>
      <c r="G576" t="n">
        <v>4.6</v>
      </c>
      <c r="H576" t="n">
        <v>0</v>
      </c>
      <c r="I576" t="n">
        <v>0</v>
      </c>
      <c r="J576" t="n">
        <v>0</v>
      </c>
      <c r="K576" t="n">
        <v>0</v>
      </c>
      <c r="L576" t="n">
        <v>0</v>
      </c>
      <c r="M576" t="n">
        <v>0</v>
      </c>
      <c r="N576" t="n">
        <v>0</v>
      </c>
      <c r="O576" t="n">
        <v>0</v>
      </c>
      <c r="P576" t="n">
        <v>0</v>
      </c>
      <c r="Q576" t="n">
        <v>0</v>
      </c>
      <c r="R576" s="2" t="inlineStr"/>
    </row>
    <row r="577" ht="15" customHeight="1">
      <c r="A577" t="inlineStr">
        <is>
          <t>A 19750-2023</t>
        </is>
      </c>
      <c r="B577" s="1" t="n">
        <v>45050</v>
      </c>
      <c r="C577" s="1" t="n">
        <v>45630</v>
      </c>
      <c r="D577" t="inlineStr">
        <is>
          <t>JÄMTLANDS LÄN</t>
        </is>
      </c>
      <c r="E577" t="inlineStr">
        <is>
          <t>ÖSTERSUND</t>
        </is>
      </c>
      <c r="G577" t="n">
        <v>3.2</v>
      </c>
      <c r="H577" t="n">
        <v>0</v>
      </c>
      <c r="I577" t="n">
        <v>0</v>
      </c>
      <c r="J577" t="n">
        <v>0</v>
      </c>
      <c r="K577" t="n">
        <v>0</v>
      </c>
      <c r="L577" t="n">
        <v>0</v>
      </c>
      <c r="M577" t="n">
        <v>0</v>
      </c>
      <c r="N577" t="n">
        <v>0</v>
      </c>
      <c r="O577" t="n">
        <v>0</v>
      </c>
      <c r="P577" t="n">
        <v>0</v>
      </c>
      <c r="Q577" t="n">
        <v>0</v>
      </c>
      <c r="R577" s="2" t="inlineStr"/>
    </row>
    <row r="578" ht="15" customHeight="1">
      <c r="A578" t="inlineStr">
        <is>
          <t>A 20606-2023</t>
        </is>
      </c>
      <c r="B578" s="1" t="n">
        <v>45057</v>
      </c>
      <c r="C578" s="1" t="n">
        <v>45630</v>
      </c>
      <c r="D578" t="inlineStr">
        <is>
          <t>JÄMTLANDS LÄN</t>
        </is>
      </c>
      <c r="E578" t="inlineStr">
        <is>
          <t>ÖSTERSUND</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20634-2023</t>
        </is>
      </c>
      <c r="B579" s="1" t="n">
        <v>45058</v>
      </c>
      <c r="C579" s="1" t="n">
        <v>45630</v>
      </c>
      <c r="D579" t="inlineStr">
        <is>
          <t>JÄMTLANDS LÄN</t>
        </is>
      </c>
      <c r="E579" t="inlineStr">
        <is>
          <t>ÖSTERSUND</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20588-2023</t>
        </is>
      </c>
      <c r="B580" s="1" t="n">
        <v>45057</v>
      </c>
      <c r="C580" s="1" t="n">
        <v>45630</v>
      </c>
      <c r="D580" t="inlineStr">
        <is>
          <t>JÄMTLANDS LÄN</t>
        </is>
      </c>
      <c r="E580" t="inlineStr">
        <is>
          <t>ÖSTERSUND</t>
        </is>
      </c>
      <c r="G580" t="n">
        <v>0.9</v>
      </c>
      <c r="H580" t="n">
        <v>0</v>
      </c>
      <c r="I580" t="n">
        <v>0</v>
      </c>
      <c r="J580" t="n">
        <v>0</v>
      </c>
      <c r="K580" t="n">
        <v>0</v>
      </c>
      <c r="L580" t="n">
        <v>0</v>
      </c>
      <c r="M580" t="n">
        <v>0</v>
      </c>
      <c r="N580" t="n">
        <v>0</v>
      </c>
      <c r="O580" t="n">
        <v>0</v>
      </c>
      <c r="P580" t="n">
        <v>0</v>
      </c>
      <c r="Q580" t="n">
        <v>0</v>
      </c>
      <c r="R580" s="2" t="inlineStr"/>
    </row>
    <row r="581" ht="15" customHeight="1">
      <c r="A581" t="inlineStr">
        <is>
          <t>A 20635-2023</t>
        </is>
      </c>
      <c r="B581" s="1" t="n">
        <v>45058</v>
      </c>
      <c r="C581" s="1" t="n">
        <v>45630</v>
      </c>
      <c r="D581" t="inlineStr">
        <is>
          <t>JÄMTLANDS LÄN</t>
        </is>
      </c>
      <c r="E581" t="inlineStr">
        <is>
          <t>ÖSTERSUND</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20633-2023</t>
        </is>
      </c>
      <c r="B582" s="1" t="n">
        <v>45058</v>
      </c>
      <c r="C582" s="1" t="n">
        <v>45630</v>
      </c>
      <c r="D582" t="inlineStr">
        <is>
          <t>JÄMTLANDS LÄN</t>
        </is>
      </c>
      <c r="E582" t="inlineStr">
        <is>
          <t>ÖSTERSUND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20636-2023</t>
        </is>
      </c>
      <c r="B583" s="1" t="n">
        <v>45058</v>
      </c>
      <c r="C583" s="1" t="n">
        <v>45630</v>
      </c>
      <c r="D583" t="inlineStr">
        <is>
          <t>JÄMTLANDS LÄN</t>
        </is>
      </c>
      <c r="E583" t="inlineStr">
        <is>
          <t>ÖSTERSUND</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24515-2023</t>
        </is>
      </c>
      <c r="B584" s="1" t="n">
        <v>45077</v>
      </c>
      <c r="C584" s="1" t="n">
        <v>45630</v>
      </c>
      <c r="D584" t="inlineStr">
        <is>
          <t>JÄMTLANDS LÄN</t>
        </is>
      </c>
      <c r="E584" t="inlineStr">
        <is>
          <t>ÖSTERSUND</t>
        </is>
      </c>
      <c r="G584" t="n">
        <v>27.8</v>
      </c>
      <c r="H584" t="n">
        <v>0</v>
      </c>
      <c r="I584" t="n">
        <v>0</v>
      </c>
      <c r="J584" t="n">
        <v>0</v>
      </c>
      <c r="K584" t="n">
        <v>0</v>
      </c>
      <c r="L584" t="n">
        <v>0</v>
      </c>
      <c r="M584" t="n">
        <v>0</v>
      </c>
      <c r="N584" t="n">
        <v>0</v>
      </c>
      <c r="O584" t="n">
        <v>0</v>
      </c>
      <c r="P584" t="n">
        <v>0</v>
      </c>
      <c r="Q584" t="n">
        <v>0</v>
      </c>
      <c r="R584" s="2" t="inlineStr"/>
    </row>
    <row r="585" ht="15" customHeight="1">
      <c r="A585" t="inlineStr">
        <is>
          <t>A 24396-2023</t>
        </is>
      </c>
      <c r="B585" s="1" t="n">
        <v>45082</v>
      </c>
      <c r="C585" s="1" t="n">
        <v>45630</v>
      </c>
      <c r="D585" t="inlineStr">
        <is>
          <t>JÄMTLANDS LÄN</t>
        </is>
      </c>
      <c r="E585" t="inlineStr">
        <is>
          <t>ÖSTERSUND</t>
        </is>
      </c>
      <c r="F585" t="inlineStr">
        <is>
          <t>Kyrkan</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25727-2023</t>
        </is>
      </c>
      <c r="B586" s="1" t="n">
        <v>45084</v>
      </c>
      <c r="C586" s="1" t="n">
        <v>45630</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25866-2023</t>
        </is>
      </c>
      <c r="B587" s="1" t="n">
        <v>45084</v>
      </c>
      <c r="C587" s="1" t="n">
        <v>45630</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25496-2023</t>
        </is>
      </c>
      <c r="B588" s="1" t="n">
        <v>45089</v>
      </c>
      <c r="C588" s="1" t="n">
        <v>45630</v>
      </c>
      <c r="D588" t="inlineStr">
        <is>
          <t>JÄMTLANDS LÄN</t>
        </is>
      </c>
      <c r="E588" t="inlineStr">
        <is>
          <t>ÖSTERSUND</t>
        </is>
      </c>
      <c r="F588" t="inlineStr">
        <is>
          <t>Kyrkan</t>
        </is>
      </c>
      <c r="G588" t="n">
        <v>5.7</v>
      </c>
      <c r="H588" t="n">
        <v>0</v>
      </c>
      <c r="I588" t="n">
        <v>0</v>
      </c>
      <c r="J588" t="n">
        <v>0</v>
      </c>
      <c r="K588" t="n">
        <v>0</v>
      </c>
      <c r="L588" t="n">
        <v>0</v>
      </c>
      <c r="M588" t="n">
        <v>0</v>
      </c>
      <c r="N588" t="n">
        <v>0</v>
      </c>
      <c r="O588" t="n">
        <v>0</v>
      </c>
      <c r="P588" t="n">
        <v>0</v>
      </c>
      <c r="Q588" t="n">
        <v>0</v>
      </c>
      <c r="R588" s="2" t="inlineStr"/>
    </row>
    <row r="589" ht="15" customHeight="1">
      <c r="A589" t="inlineStr">
        <is>
          <t>A 25535-2023</t>
        </is>
      </c>
      <c r="B589" s="1" t="n">
        <v>45089</v>
      </c>
      <c r="C589" s="1" t="n">
        <v>45630</v>
      </c>
      <c r="D589" t="inlineStr">
        <is>
          <t>JÄMTLANDS LÄN</t>
        </is>
      </c>
      <c r="E589" t="inlineStr">
        <is>
          <t>ÖSTERSUND</t>
        </is>
      </c>
      <c r="G589" t="n">
        <v>1</v>
      </c>
      <c r="H589" t="n">
        <v>0</v>
      </c>
      <c r="I589" t="n">
        <v>0</v>
      </c>
      <c r="J589" t="n">
        <v>0</v>
      </c>
      <c r="K589" t="n">
        <v>0</v>
      </c>
      <c r="L589" t="n">
        <v>0</v>
      </c>
      <c r="M589" t="n">
        <v>0</v>
      </c>
      <c r="N589" t="n">
        <v>0</v>
      </c>
      <c r="O589" t="n">
        <v>0</v>
      </c>
      <c r="P589" t="n">
        <v>0</v>
      </c>
      <c r="Q589" t="n">
        <v>0</v>
      </c>
      <c r="R589" s="2" t="inlineStr"/>
    </row>
    <row r="590" ht="15" customHeight="1">
      <c r="A590" t="inlineStr">
        <is>
          <t>A 25514-2023</t>
        </is>
      </c>
      <c r="B590" s="1" t="n">
        <v>45089</v>
      </c>
      <c r="C590" s="1" t="n">
        <v>45630</v>
      </c>
      <c r="D590" t="inlineStr">
        <is>
          <t>JÄMTLANDS LÄN</t>
        </is>
      </c>
      <c r="E590" t="inlineStr">
        <is>
          <t>ÖSTERSUND</t>
        </is>
      </c>
      <c r="F590" t="inlineStr">
        <is>
          <t>Kyrkan</t>
        </is>
      </c>
      <c r="G590" t="n">
        <v>6.7</v>
      </c>
      <c r="H590" t="n">
        <v>0</v>
      </c>
      <c r="I590" t="n">
        <v>0</v>
      </c>
      <c r="J590" t="n">
        <v>0</v>
      </c>
      <c r="K590" t="n">
        <v>0</v>
      </c>
      <c r="L590" t="n">
        <v>0</v>
      </c>
      <c r="M590" t="n">
        <v>0</v>
      </c>
      <c r="N590" t="n">
        <v>0</v>
      </c>
      <c r="O590" t="n">
        <v>0</v>
      </c>
      <c r="P590" t="n">
        <v>0</v>
      </c>
      <c r="Q590" t="n">
        <v>0</v>
      </c>
      <c r="R590" s="2" t="inlineStr"/>
    </row>
    <row r="591" ht="15" customHeight="1">
      <c r="A591" t="inlineStr">
        <is>
          <t>A 26565-2023</t>
        </is>
      </c>
      <c r="B591" s="1" t="n">
        <v>45089</v>
      </c>
      <c r="C591" s="1" t="n">
        <v>45630</v>
      </c>
      <c r="D591" t="inlineStr">
        <is>
          <t>JÄMTLANDS LÄN</t>
        </is>
      </c>
      <c r="E591" t="inlineStr">
        <is>
          <t>ÖSTERSUND</t>
        </is>
      </c>
      <c r="G591" t="n">
        <v>5.2</v>
      </c>
      <c r="H591" t="n">
        <v>0</v>
      </c>
      <c r="I591" t="n">
        <v>0</v>
      </c>
      <c r="J591" t="n">
        <v>0</v>
      </c>
      <c r="K591" t="n">
        <v>0</v>
      </c>
      <c r="L591" t="n">
        <v>0</v>
      </c>
      <c r="M591" t="n">
        <v>0</v>
      </c>
      <c r="N591" t="n">
        <v>0</v>
      </c>
      <c r="O591" t="n">
        <v>0</v>
      </c>
      <c r="P591" t="n">
        <v>0</v>
      </c>
      <c r="Q591" t="n">
        <v>0</v>
      </c>
      <c r="R591" s="2" t="inlineStr"/>
    </row>
    <row r="592" ht="15" customHeight="1">
      <c r="A592" t="inlineStr">
        <is>
          <t>A 26521-2023</t>
        </is>
      </c>
      <c r="B592" s="1" t="n">
        <v>45089</v>
      </c>
      <c r="C592" s="1" t="n">
        <v>45630</v>
      </c>
      <c r="D592" t="inlineStr">
        <is>
          <t>JÄMTLANDS LÄN</t>
        </is>
      </c>
      <c r="E592" t="inlineStr">
        <is>
          <t>ÖSTERSUND</t>
        </is>
      </c>
      <c r="G592" t="n">
        <v>11.7</v>
      </c>
      <c r="H592" t="n">
        <v>0</v>
      </c>
      <c r="I592" t="n">
        <v>0</v>
      </c>
      <c r="J592" t="n">
        <v>0</v>
      </c>
      <c r="K592" t="n">
        <v>0</v>
      </c>
      <c r="L592" t="n">
        <v>0</v>
      </c>
      <c r="M592" t="n">
        <v>0</v>
      </c>
      <c r="N592" t="n">
        <v>0</v>
      </c>
      <c r="O592" t="n">
        <v>0</v>
      </c>
      <c r="P592" t="n">
        <v>0</v>
      </c>
      <c r="Q592" t="n">
        <v>0</v>
      </c>
      <c r="R592" s="2" t="inlineStr"/>
    </row>
    <row r="593" ht="15" customHeight="1">
      <c r="A593" t="inlineStr">
        <is>
          <t>A 25789-2023</t>
        </is>
      </c>
      <c r="B593" s="1" t="n">
        <v>45090</v>
      </c>
      <c r="C593" s="1" t="n">
        <v>45630</v>
      </c>
      <c r="D593" t="inlineStr">
        <is>
          <t>JÄMTLANDS LÄN</t>
        </is>
      </c>
      <c r="E593" t="inlineStr">
        <is>
          <t>ÖSTERSUND</t>
        </is>
      </c>
      <c r="G593" t="n">
        <v>3.1</v>
      </c>
      <c r="H593" t="n">
        <v>0</v>
      </c>
      <c r="I593" t="n">
        <v>0</v>
      </c>
      <c r="J593" t="n">
        <v>0</v>
      </c>
      <c r="K593" t="n">
        <v>0</v>
      </c>
      <c r="L593" t="n">
        <v>0</v>
      </c>
      <c r="M593" t="n">
        <v>0</v>
      </c>
      <c r="N593" t="n">
        <v>0</v>
      </c>
      <c r="O593" t="n">
        <v>0</v>
      </c>
      <c r="P593" t="n">
        <v>0</v>
      </c>
      <c r="Q593" t="n">
        <v>0</v>
      </c>
      <c r="R593" s="2" t="inlineStr"/>
    </row>
    <row r="594" ht="15" customHeight="1">
      <c r="A594" t="inlineStr">
        <is>
          <t>A 26012-2023</t>
        </is>
      </c>
      <c r="B594" s="1" t="n">
        <v>45091</v>
      </c>
      <c r="C594" s="1" t="n">
        <v>45630</v>
      </c>
      <c r="D594" t="inlineStr">
        <is>
          <t>JÄMTLANDS LÄN</t>
        </is>
      </c>
      <c r="E594" t="inlineStr">
        <is>
          <t>ÖSTERSUND</t>
        </is>
      </c>
      <c r="G594" t="n">
        <v>3.6</v>
      </c>
      <c r="H594" t="n">
        <v>0</v>
      </c>
      <c r="I594" t="n">
        <v>0</v>
      </c>
      <c r="J594" t="n">
        <v>0</v>
      </c>
      <c r="K594" t="n">
        <v>0</v>
      </c>
      <c r="L594" t="n">
        <v>0</v>
      </c>
      <c r="M594" t="n">
        <v>0</v>
      </c>
      <c r="N594" t="n">
        <v>0</v>
      </c>
      <c r="O594" t="n">
        <v>0</v>
      </c>
      <c r="P594" t="n">
        <v>0</v>
      </c>
      <c r="Q594" t="n">
        <v>0</v>
      </c>
      <c r="R594" s="2" t="inlineStr"/>
    </row>
    <row r="595" ht="15" customHeight="1">
      <c r="A595" t="inlineStr">
        <is>
          <t>A 27294-2023</t>
        </is>
      </c>
      <c r="B595" s="1" t="n">
        <v>45092</v>
      </c>
      <c r="C595" s="1" t="n">
        <v>45630</v>
      </c>
      <c r="D595" t="inlineStr">
        <is>
          <t>JÄMTLANDS LÄN</t>
        </is>
      </c>
      <c r="E595" t="inlineStr">
        <is>
          <t>ÖSTERSUND</t>
        </is>
      </c>
      <c r="G595" t="n">
        <v>2.8</v>
      </c>
      <c r="H595" t="n">
        <v>0</v>
      </c>
      <c r="I595" t="n">
        <v>0</v>
      </c>
      <c r="J595" t="n">
        <v>0</v>
      </c>
      <c r="K595" t="n">
        <v>0</v>
      </c>
      <c r="L595" t="n">
        <v>0</v>
      </c>
      <c r="M595" t="n">
        <v>0</v>
      </c>
      <c r="N595" t="n">
        <v>0</v>
      </c>
      <c r="O595" t="n">
        <v>0</v>
      </c>
      <c r="P595" t="n">
        <v>0</v>
      </c>
      <c r="Q595" t="n">
        <v>0</v>
      </c>
      <c r="R595" s="2" t="inlineStr"/>
    </row>
    <row r="596" ht="15" customHeight="1">
      <c r="A596" t="inlineStr">
        <is>
          <t>A 27004-2023</t>
        </is>
      </c>
      <c r="B596" s="1" t="n">
        <v>45094</v>
      </c>
      <c r="C596" s="1" t="n">
        <v>45630</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27124-2023</t>
        </is>
      </c>
      <c r="B597" s="1" t="n">
        <v>45096</v>
      </c>
      <c r="C597" s="1" t="n">
        <v>45630</v>
      </c>
      <c r="D597" t="inlineStr">
        <is>
          <t>JÄMTLANDS LÄN</t>
        </is>
      </c>
      <c r="E597" t="inlineStr">
        <is>
          <t>ÖSTERSUND</t>
        </is>
      </c>
      <c r="G597" t="n">
        <v>1.9</v>
      </c>
      <c r="H597" t="n">
        <v>0</v>
      </c>
      <c r="I597" t="n">
        <v>0</v>
      </c>
      <c r="J597" t="n">
        <v>0</v>
      </c>
      <c r="K597" t="n">
        <v>0</v>
      </c>
      <c r="L597" t="n">
        <v>0</v>
      </c>
      <c r="M597" t="n">
        <v>0</v>
      </c>
      <c r="N597" t="n">
        <v>0</v>
      </c>
      <c r="O597" t="n">
        <v>0</v>
      </c>
      <c r="P597" t="n">
        <v>0</v>
      </c>
      <c r="Q597" t="n">
        <v>0</v>
      </c>
      <c r="R597" s="2" t="inlineStr"/>
    </row>
    <row r="598" ht="15" customHeight="1">
      <c r="A598" t="inlineStr">
        <is>
          <t>A 27118-2023</t>
        </is>
      </c>
      <c r="B598" s="1" t="n">
        <v>45096</v>
      </c>
      <c r="C598" s="1" t="n">
        <v>45630</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27130-2023</t>
        </is>
      </c>
      <c r="B599" s="1" t="n">
        <v>45096</v>
      </c>
      <c r="C599" s="1" t="n">
        <v>45630</v>
      </c>
      <c r="D599" t="inlineStr">
        <is>
          <t>JÄMTLANDS LÄN</t>
        </is>
      </c>
      <c r="E599" t="inlineStr">
        <is>
          <t>ÖSTERSUND</t>
        </is>
      </c>
      <c r="G599" t="n">
        <v>1.1</v>
      </c>
      <c r="H599" t="n">
        <v>0</v>
      </c>
      <c r="I599" t="n">
        <v>0</v>
      </c>
      <c r="J599" t="n">
        <v>0</v>
      </c>
      <c r="K599" t="n">
        <v>0</v>
      </c>
      <c r="L599" t="n">
        <v>0</v>
      </c>
      <c r="M599" t="n">
        <v>0</v>
      </c>
      <c r="N599" t="n">
        <v>0</v>
      </c>
      <c r="O599" t="n">
        <v>0</v>
      </c>
      <c r="P599" t="n">
        <v>0</v>
      </c>
      <c r="Q599" t="n">
        <v>0</v>
      </c>
      <c r="R599" s="2" t="inlineStr"/>
    </row>
    <row r="600" ht="15" customHeight="1">
      <c r="A600" t="inlineStr">
        <is>
          <t>A 29548-2023</t>
        </is>
      </c>
      <c r="B600" s="1" t="n">
        <v>45098</v>
      </c>
      <c r="C600" s="1" t="n">
        <v>45630</v>
      </c>
      <c r="D600" t="inlineStr">
        <is>
          <t>JÄMTLANDS LÄN</t>
        </is>
      </c>
      <c r="E600" t="inlineStr">
        <is>
          <t>ÖSTERSUND</t>
        </is>
      </c>
      <c r="G600" t="n">
        <v>3</v>
      </c>
      <c r="H600" t="n">
        <v>0</v>
      </c>
      <c r="I600" t="n">
        <v>0</v>
      </c>
      <c r="J600" t="n">
        <v>0</v>
      </c>
      <c r="K600" t="n">
        <v>0</v>
      </c>
      <c r="L600" t="n">
        <v>0</v>
      </c>
      <c r="M600" t="n">
        <v>0</v>
      </c>
      <c r="N600" t="n">
        <v>0</v>
      </c>
      <c r="O600" t="n">
        <v>0</v>
      </c>
      <c r="P600" t="n">
        <v>0</v>
      </c>
      <c r="Q600" t="n">
        <v>0</v>
      </c>
      <c r="R600" s="2" t="inlineStr"/>
    </row>
    <row r="601" ht="15" customHeight="1">
      <c r="A601" t="inlineStr">
        <is>
          <t>A 30244-2023</t>
        </is>
      </c>
      <c r="B601" s="1" t="n">
        <v>45099</v>
      </c>
      <c r="C601" s="1" t="n">
        <v>45630</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30262-2023</t>
        </is>
      </c>
      <c r="B602" s="1" t="n">
        <v>45099</v>
      </c>
      <c r="C602" s="1" t="n">
        <v>45630</v>
      </c>
      <c r="D602" t="inlineStr">
        <is>
          <t>JÄMTLANDS LÄN</t>
        </is>
      </c>
      <c r="E602" t="inlineStr">
        <is>
          <t>ÖSTERSUND</t>
        </is>
      </c>
      <c r="G602" t="n">
        <v>5.2</v>
      </c>
      <c r="H602" t="n">
        <v>0</v>
      </c>
      <c r="I602" t="n">
        <v>0</v>
      </c>
      <c r="J602" t="n">
        <v>0</v>
      </c>
      <c r="K602" t="n">
        <v>0</v>
      </c>
      <c r="L602" t="n">
        <v>0</v>
      </c>
      <c r="M602" t="n">
        <v>0</v>
      </c>
      <c r="N602" t="n">
        <v>0</v>
      </c>
      <c r="O602" t="n">
        <v>0</v>
      </c>
      <c r="P602" t="n">
        <v>0</v>
      </c>
      <c r="Q602" t="n">
        <v>0</v>
      </c>
      <c r="R602" s="2" t="inlineStr"/>
    </row>
    <row r="603" ht="15" customHeight="1">
      <c r="A603" t="inlineStr">
        <is>
          <t>A 30255-2023</t>
        </is>
      </c>
      <c r="B603" s="1" t="n">
        <v>45099</v>
      </c>
      <c r="C603" s="1" t="n">
        <v>45630</v>
      </c>
      <c r="D603" t="inlineStr">
        <is>
          <t>JÄMTLANDS LÄN</t>
        </is>
      </c>
      <c r="E603" t="inlineStr">
        <is>
          <t>ÖSTERSUND</t>
        </is>
      </c>
      <c r="G603" t="n">
        <v>20.2</v>
      </c>
      <c r="H603" t="n">
        <v>0</v>
      </c>
      <c r="I603" t="n">
        <v>0</v>
      </c>
      <c r="J603" t="n">
        <v>0</v>
      </c>
      <c r="K603" t="n">
        <v>0</v>
      </c>
      <c r="L603" t="n">
        <v>0</v>
      </c>
      <c r="M603" t="n">
        <v>0</v>
      </c>
      <c r="N603" t="n">
        <v>0</v>
      </c>
      <c r="O603" t="n">
        <v>0</v>
      </c>
      <c r="P603" t="n">
        <v>0</v>
      </c>
      <c r="Q603" t="n">
        <v>0</v>
      </c>
      <c r="R603" s="2" t="inlineStr"/>
    </row>
    <row r="604" ht="15" customHeight="1">
      <c r="A604" t="inlineStr">
        <is>
          <t>A 30264-2023</t>
        </is>
      </c>
      <c r="B604" s="1" t="n">
        <v>45099</v>
      </c>
      <c r="C604" s="1" t="n">
        <v>45630</v>
      </c>
      <c r="D604" t="inlineStr">
        <is>
          <t>JÄMTLANDS LÄN</t>
        </is>
      </c>
      <c r="E604" t="inlineStr">
        <is>
          <t>ÖSTERSUND</t>
        </is>
      </c>
      <c r="G604" t="n">
        <v>10</v>
      </c>
      <c r="H604" t="n">
        <v>0</v>
      </c>
      <c r="I604" t="n">
        <v>0</v>
      </c>
      <c r="J604" t="n">
        <v>0</v>
      </c>
      <c r="K604" t="n">
        <v>0</v>
      </c>
      <c r="L604" t="n">
        <v>0</v>
      </c>
      <c r="M604" t="n">
        <v>0</v>
      </c>
      <c r="N604" t="n">
        <v>0</v>
      </c>
      <c r="O604" t="n">
        <v>0</v>
      </c>
      <c r="P604" t="n">
        <v>0</v>
      </c>
      <c r="Q604" t="n">
        <v>0</v>
      </c>
      <c r="R604" s="2" t="inlineStr"/>
    </row>
    <row r="605" ht="15" customHeight="1">
      <c r="A605" t="inlineStr">
        <is>
          <t>A 30206-2023</t>
        </is>
      </c>
      <c r="B605" s="1" t="n">
        <v>45099</v>
      </c>
      <c r="C605" s="1" t="n">
        <v>45630</v>
      </c>
      <c r="D605" t="inlineStr">
        <is>
          <t>JÄMTLANDS LÄN</t>
        </is>
      </c>
      <c r="E605" t="inlineStr">
        <is>
          <t>ÖSTERSUND</t>
        </is>
      </c>
      <c r="G605" t="n">
        <v>3.9</v>
      </c>
      <c r="H605" t="n">
        <v>0</v>
      </c>
      <c r="I605" t="n">
        <v>0</v>
      </c>
      <c r="J605" t="n">
        <v>0</v>
      </c>
      <c r="K605" t="n">
        <v>0</v>
      </c>
      <c r="L605" t="n">
        <v>0</v>
      </c>
      <c r="M605" t="n">
        <v>0</v>
      </c>
      <c r="N605" t="n">
        <v>0</v>
      </c>
      <c r="O605" t="n">
        <v>0</v>
      </c>
      <c r="P605" t="n">
        <v>0</v>
      </c>
      <c r="Q605" t="n">
        <v>0</v>
      </c>
      <c r="R605" s="2" t="inlineStr"/>
    </row>
    <row r="606" ht="15" customHeight="1">
      <c r="A606" t="inlineStr">
        <is>
          <t>A 30236-2023</t>
        </is>
      </c>
      <c r="B606" s="1" t="n">
        <v>45099</v>
      </c>
      <c r="C606" s="1" t="n">
        <v>45630</v>
      </c>
      <c r="D606" t="inlineStr">
        <is>
          <t>JÄMTLANDS LÄN</t>
        </is>
      </c>
      <c r="E606" t="inlineStr">
        <is>
          <t>ÖSTERSUND</t>
        </is>
      </c>
      <c r="G606" t="n">
        <v>3.5</v>
      </c>
      <c r="H606" t="n">
        <v>0</v>
      </c>
      <c r="I606" t="n">
        <v>0</v>
      </c>
      <c r="J606" t="n">
        <v>0</v>
      </c>
      <c r="K606" t="n">
        <v>0</v>
      </c>
      <c r="L606" t="n">
        <v>0</v>
      </c>
      <c r="M606" t="n">
        <v>0</v>
      </c>
      <c r="N606" t="n">
        <v>0</v>
      </c>
      <c r="O606" t="n">
        <v>0</v>
      </c>
      <c r="P606" t="n">
        <v>0</v>
      </c>
      <c r="Q606" t="n">
        <v>0</v>
      </c>
      <c r="R606" s="2" t="inlineStr"/>
    </row>
    <row r="607" ht="15" customHeight="1">
      <c r="A607" t="inlineStr">
        <is>
          <t>A 28747-2023</t>
        </is>
      </c>
      <c r="B607" s="1" t="n">
        <v>45103</v>
      </c>
      <c r="C607" s="1" t="n">
        <v>45630</v>
      </c>
      <c r="D607" t="inlineStr">
        <is>
          <t>JÄMTLANDS LÄN</t>
        </is>
      </c>
      <c r="E607" t="inlineStr">
        <is>
          <t>ÖSTERSUND</t>
        </is>
      </c>
      <c r="F607" t="inlineStr">
        <is>
          <t>SCA</t>
        </is>
      </c>
      <c r="G607" t="n">
        <v>8</v>
      </c>
      <c r="H607" t="n">
        <v>0</v>
      </c>
      <c r="I607" t="n">
        <v>0</v>
      </c>
      <c r="J607" t="n">
        <v>0</v>
      </c>
      <c r="K607" t="n">
        <v>0</v>
      </c>
      <c r="L607" t="n">
        <v>0</v>
      </c>
      <c r="M607" t="n">
        <v>0</v>
      </c>
      <c r="N607" t="n">
        <v>0</v>
      </c>
      <c r="O607" t="n">
        <v>0</v>
      </c>
      <c r="P607" t="n">
        <v>0</v>
      </c>
      <c r="Q607" t="n">
        <v>0</v>
      </c>
      <c r="R607" s="2" t="inlineStr"/>
    </row>
    <row r="608" ht="15" customHeight="1">
      <c r="A608" t="inlineStr">
        <is>
          <t>A 31870-2023</t>
        </is>
      </c>
      <c r="B608" s="1" t="n">
        <v>45106</v>
      </c>
      <c r="C608" s="1" t="n">
        <v>45630</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29703-2023</t>
        </is>
      </c>
      <c r="B609" s="1" t="n">
        <v>45107</v>
      </c>
      <c r="C609" s="1" t="n">
        <v>45630</v>
      </c>
      <c r="D609" t="inlineStr">
        <is>
          <t>JÄMTLANDS LÄN</t>
        </is>
      </c>
      <c r="E609" t="inlineStr">
        <is>
          <t>ÖSTERSUND</t>
        </is>
      </c>
      <c r="G609" t="n">
        <v>0.3</v>
      </c>
      <c r="H609" t="n">
        <v>0</v>
      </c>
      <c r="I609" t="n">
        <v>0</v>
      </c>
      <c r="J609" t="n">
        <v>0</v>
      </c>
      <c r="K609" t="n">
        <v>0</v>
      </c>
      <c r="L609" t="n">
        <v>0</v>
      </c>
      <c r="M609" t="n">
        <v>0</v>
      </c>
      <c r="N609" t="n">
        <v>0</v>
      </c>
      <c r="O609" t="n">
        <v>0</v>
      </c>
      <c r="P609" t="n">
        <v>0</v>
      </c>
      <c r="Q609" t="n">
        <v>0</v>
      </c>
      <c r="R609" s="2" t="inlineStr"/>
    </row>
    <row r="610" ht="15" customHeight="1">
      <c r="A610" t="inlineStr">
        <is>
          <t>A 29682-2023</t>
        </is>
      </c>
      <c r="B610" s="1" t="n">
        <v>45107</v>
      </c>
      <c r="C610" s="1" t="n">
        <v>45630</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30602-2023</t>
        </is>
      </c>
      <c r="B611" s="1" t="n">
        <v>45112</v>
      </c>
      <c r="C611" s="1" t="n">
        <v>45630</v>
      </c>
      <c r="D611" t="inlineStr">
        <is>
          <t>JÄMTLANDS LÄN</t>
        </is>
      </c>
      <c r="E611" t="inlineStr">
        <is>
          <t>ÖSTERSUND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31551-2023</t>
        </is>
      </c>
      <c r="B612" s="1" t="n">
        <v>45117</v>
      </c>
      <c r="C612" s="1" t="n">
        <v>45630</v>
      </c>
      <c r="D612" t="inlineStr">
        <is>
          <t>JÄMTLANDS LÄN</t>
        </is>
      </c>
      <c r="E612" t="inlineStr">
        <is>
          <t>ÖSTERSUND</t>
        </is>
      </c>
      <c r="G612" t="n">
        <v>0.6</v>
      </c>
      <c r="H612" t="n">
        <v>0</v>
      </c>
      <c r="I612" t="n">
        <v>0</v>
      </c>
      <c r="J612" t="n">
        <v>0</v>
      </c>
      <c r="K612" t="n">
        <v>0</v>
      </c>
      <c r="L612" t="n">
        <v>0</v>
      </c>
      <c r="M612" t="n">
        <v>0</v>
      </c>
      <c r="N612" t="n">
        <v>0</v>
      </c>
      <c r="O612" t="n">
        <v>0</v>
      </c>
      <c r="P612" t="n">
        <v>0</v>
      </c>
      <c r="Q612" t="n">
        <v>0</v>
      </c>
      <c r="R612" s="2" t="inlineStr"/>
    </row>
    <row r="613" ht="15" customHeight="1">
      <c r="A613" t="inlineStr">
        <is>
          <t>A 31600-2023</t>
        </is>
      </c>
      <c r="B613" s="1" t="n">
        <v>45117</v>
      </c>
      <c r="C613" s="1" t="n">
        <v>45630</v>
      </c>
      <c r="D613" t="inlineStr">
        <is>
          <t>JÄMTLANDS LÄN</t>
        </is>
      </c>
      <c r="E613" t="inlineStr">
        <is>
          <t>ÖSTERSUND</t>
        </is>
      </c>
      <c r="F613" t="inlineStr">
        <is>
          <t>Övriga Aktiebolag</t>
        </is>
      </c>
      <c r="G613" t="n">
        <v>2.7</v>
      </c>
      <c r="H613" t="n">
        <v>0</v>
      </c>
      <c r="I613" t="n">
        <v>0</v>
      </c>
      <c r="J613" t="n">
        <v>0</v>
      </c>
      <c r="K613" t="n">
        <v>0</v>
      </c>
      <c r="L613" t="n">
        <v>0</v>
      </c>
      <c r="M613" t="n">
        <v>0</v>
      </c>
      <c r="N613" t="n">
        <v>0</v>
      </c>
      <c r="O613" t="n">
        <v>0</v>
      </c>
      <c r="P613" t="n">
        <v>0</v>
      </c>
      <c r="Q613" t="n">
        <v>0</v>
      </c>
      <c r="R613" s="2" t="inlineStr"/>
    </row>
    <row r="614" ht="15" customHeight="1">
      <c r="A614" t="inlineStr">
        <is>
          <t>A 31549-2023</t>
        </is>
      </c>
      <c r="B614" s="1" t="n">
        <v>45117</v>
      </c>
      <c r="C614" s="1" t="n">
        <v>45630</v>
      </c>
      <c r="D614" t="inlineStr">
        <is>
          <t>JÄMTLANDS LÄN</t>
        </is>
      </c>
      <c r="E614" t="inlineStr">
        <is>
          <t>ÖSTERSUND</t>
        </is>
      </c>
      <c r="G614" t="n">
        <v>1.2</v>
      </c>
      <c r="H614" t="n">
        <v>0</v>
      </c>
      <c r="I614" t="n">
        <v>0</v>
      </c>
      <c r="J614" t="n">
        <v>0</v>
      </c>
      <c r="K614" t="n">
        <v>0</v>
      </c>
      <c r="L614" t="n">
        <v>0</v>
      </c>
      <c r="M614" t="n">
        <v>0</v>
      </c>
      <c r="N614" t="n">
        <v>0</v>
      </c>
      <c r="O614" t="n">
        <v>0</v>
      </c>
      <c r="P614" t="n">
        <v>0</v>
      </c>
      <c r="Q614" t="n">
        <v>0</v>
      </c>
      <c r="R614" s="2" t="inlineStr"/>
    </row>
    <row r="615" ht="15" customHeight="1">
      <c r="A615" t="inlineStr">
        <is>
          <t>A 33501-2023</t>
        </is>
      </c>
      <c r="B615" s="1" t="n">
        <v>45118</v>
      </c>
      <c r="C615" s="1" t="n">
        <v>45630</v>
      </c>
      <c r="D615" t="inlineStr">
        <is>
          <t>JÄMTLANDS LÄN</t>
        </is>
      </c>
      <c r="E615" t="inlineStr">
        <is>
          <t>ÖSTERSUND</t>
        </is>
      </c>
      <c r="G615" t="n">
        <v>5.8</v>
      </c>
      <c r="H615" t="n">
        <v>0</v>
      </c>
      <c r="I615" t="n">
        <v>0</v>
      </c>
      <c r="J615" t="n">
        <v>0</v>
      </c>
      <c r="K615" t="n">
        <v>0</v>
      </c>
      <c r="L615" t="n">
        <v>0</v>
      </c>
      <c r="M615" t="n">
        <v>0</v>
      </c>
      <c r="N615" t="n">
        <v>0</v>
      </c>
      <c r="O615" t="n">
        <v>0</v>
      </c>
      <c r="P615" t="n">
        <v>0</v>
      </c>
      <c r="Q615" t="n">
        <v>0</v>
      </c>
      <c r="R615" s="2" t="inlineStr"/>
    </row>
    <row r="616" ht="15" customHeight="1">
      <c r="A616" t="inlineStr">
        <is>
          <t>A 33502-2023</t>
        </is>
      </c>
      <c r="B616" s="1" t="n">
        <v>45118</v>
      </c>
      <c r="C616" s="1" t="n">
        <v>45630</v>
      </c>
      <c r="D616" t="inlineStr">
        <is>
          <t>JÄMTLANDS LÄN</t>
        </is>
      </c>
      <c r="E616" t="inlineStr">
        <is>
          <t>ÖSTERSUND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32568-2023</t>
        </is>
      </c>
      <c r="B617" s="1" t="n">
        <v>45121</v>
      </c>
      <c r="C617" s="1" t="n">
        <v>45630</v>
      </c>
      <c r="D617" t="inlineStr">
        <is>
          <t>JÄMTLANDS LÄN</t>
        </is>
      </c>
      <c r="E617" t="inlineStr">
        <is>
          <t>ÖSTERSUND</t>
        </is>
      </c>
      <c r="G617" t="n">
        <v>14.9</v>
      </c>
      <c r="H617" t="n">
        <v>0</v>
      </c>
      <c r="I617" t="n">
        <v>0</v>
      </c>
      <c r="J617" t="n">
        <v>0</v>
      </c>
      <c r="K617" t="n">
        <v>0</v>
      </c>
      <c r="L617" t="n">
        <v>0</v>
      </c>
      <c r="M617" t="n">
        <v>0</v>
      </c>
      <c r="N617" t="n">
        <v>0</v>
      </c>
      <c r="O617" t="n">
        <v>0</v>
      </c>
      <c r="P617" t="n">
        <v>0</v>
      </c>
      <c r="Q617" t="n">
        <v>0</v>
      </c>
      <c r="R617" s="2" t="inlineStr"/>
    </row>
    <row r="618" ht="15" customHeight="1">
      <c r="A618" t="inlineStr">
        <is>
          <t>A 34052-2023</t>
        </is>
      </c>
      <c r="B618" s="1" t="n">
        <v>45125</v>
      </c>
      <c r="C618" s="1" t="n">
        <v>45630</v>
      </c>
      <c r="D618" t="inlineStr">
        <is>
          <t>JÄMTLANDS LÄN</t>
        </is>
      </c>
      <c r="E618" t="inlineStr">
        <is>
          <t>ÖSTERSUND</t>
        </is>
      </c>
      <c r="G618" t="n">
        <v>4</v>
      </c>
      <c r="H618" t="n">
        <v>0</v>
      </c>
      <c r="I618" t="n">
        <v>0</v>
      </c>
      <c r="J618" t="n">
        <v>0</v>
      </c>
      <c r="K618" t="n">
        <v>0</v>
      </c>
      <c r="L618" t="n">
        <v>0</v>
      </c>
      <c r="M618" t="n">
        <v>0</v>
      </c>
      <c r="N618" t="n">
        <v>0</v>
      </c>
      <c r="O618" t="n">
        <v>0</v>
      </c>
      <c r="P618" t="n">
        <v>0</v>
      </c>
      <c r="Q618" t="n">
        <v>0</v>
      </c>
      <c r="R618" s="2" t="inlineStr"/>
    </row>
    <row r="619" ht="15" customHeight="1">
      <c r="A619" t="inlineStr">
        <is>
          <t>A 33875-2023</t>
        </is>
      </c>
      <c r="B619" s="1" t="n">
        <v>45134</v>
      </c>
      <c r="C619" s="1" t="n">
        <v>45630</v>
      </c>
      <c r="D619" t="inlineStr">
        <is>
          <t>JÄMTLANDS LÄN</t>
        </is>
      </c>
      <c r="E619" t="inlineStr">
        <is>
          <t>ÖSTERSUND</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34482-2023</t>
        </is>
      </c>
      <c r="B620" s="1" t="n">
        <v>45140</v>
      </c>
      <c r="C620" s="1" t="n">
        <v>45630</v>
      </c>
      <c r="D620" t="inlineStr">
        <is>
          <t>JÄMTLANDS LÄN</t>
        </is>
      </c>
      <c r="E620" t="inlineStr">
        <is>
          <t>ÖSTERSUND</t>
        </is>
      </c>
      <c r="F620" t="inlineStr">
        <is>
          <t>SCA</t>
        </is>
      </c>
      <c r="G620" t="n">
        <v>50</v>
      </c>
      <c r="H620" t="n">
        <v>0</v>
      </c>
      <c r="I620" t="n">
        <v>0</v>
      </c>
      <c r="J620" t="n">
        <v>0</v>
      </c>
      <c r="K620" t="n">
        <v>0</v>
      </c>
      <c r="L620" t="n">
        <v>0</v>
      </c>
      <c r="M620" t="n">
        <v>0</v>
      </c>
      <c r="N620" t="n">
        <v>0</v>
      </c>
      <c r="O620" t="n">
        <v>0</v>
      </c>
      <c r="P620" t="n">
        <v>0</v>
      </c>
      <c r="Q620" t="n">
        <v>0</v>
      </c>
      <c r="R620" s="2" t="inlineStr"/>
    </row>
    <row r="621" ht="15" customHeight="1">
      <c r="A621" t="inlineStr">
        <is>
          <t>A 34688-2023</t>
        </is>
      </c>
      <c r="B621" s="1" t="n">
        <v>45141</v>
      </c>
      <c r="C621" s="1" t="n">
        <v>45630</v>
      </c>
      <c r="D621" t="inlineStr">
        <is>
          <t>JÄMTLANDS LÄN</t>
        </is>
      </c>
      <c r="E621" t="inlineStr">
        <is>
          <t>ÖSTERSUND</t>
        </is>
      </c>
      <c r="G621" t="n">
        <v>7.4</v>
      </c>
      <c r="H621" t="n">
        <v>0</v>
      </c>
      <c r="I621" t="n">
        <v>0</v>
      </c>
      <c r="J621" t="n">
        <v>0</v>
      </c>
      <c r="K621" t="n">
        <v>0</v>
      </c>
      <c r="L621" t="n">
        <v>0</v>
      </c>
      <c r="M621" t="n">
        <v>0</v>
      </c>
      <c r="N621" t="n">
        <v>0</v>
      </c>
      <c r="O621" t="n">
        <v>0</v>
      </c>
      <c r="P621" t="n">
        <v>0</v>
      </c>
      <c r="Q621" t="n">
        <v>0</v>
      </c>
      <c r="R621" s="2" t="inlineStr"/>
    </row>
    <row r="622" ht="15" customHeight="1">
      <c r="A622" t="inlineStr">
        <is>
          <t>A 36406-2023</t>
        </is>
      </c>
      <c r="B622" s="1" t="n">
        <v>45149</v>
      </c>
      <c r="C622" s="1" t="n">
        <v>45630</v>
      </c>
      <c r="D622" t="inlineStr">
        <is>
          <t>JÄMTLANDS LÄN</t>
        </is>
      </c>
      <c r="E622" t="inlineStr">
        <is>
          <t>ÖSTERSUND</t>
        </is>
      </c>
      <c r="G622" t="n">
        <v>2.4</v>
      </c>
      <c r="H622" t="n">
        <v>0</v>
      </c>
      <c r="I622" t="n">
        <v>0</v>
      </c>
      <c r="J622" t="n">
        <v>0</v>
      </c>
      <c r="K622" t="n">
        <v>0</v>
      </c>
      <c r="L622" t="n">
        <v>0</v>
      </c>
      <c r="M622" t="n">
        <v>0</v>
      </c>
      <c r="N622" t="n">
        <v>0</v>
      </c>
      <c r="O622" t="n">
        <v>0</v>
      </c>
      <c r="P622" t="n">
        <v>0</v>
      </c>
      <c r="Q622" t="n">
        <v>0</v>
      </c>
      <c r="R622" s="2" t="inlineStr"/>
    </row>
    <row r="623" ht="15" customHeight="1">
      <c r="A623" t="inlineStr">
        <is>
          <t>A 37140-2023</t>
        </is>
      </c>
      <c r="B623" s="1" t="n">
        <v>45154</v>
      </c>
      <c r="C623" s="1" t="n">
        <v>45630</v>
      </c>
      <c r="D623" t="inlineStr">
        <is>
          <t>JÄMTLANDS LÄN</t>
        </is>
      </c>
      <c r="E623" t="inlineStr">
        <is>
          <t>ÖSTERSUND</t>
        </is>
      </c>
      <c r="F623" t="inlineStr">
        <is>
          <t>Övriga Aktiebolag</t>
        </is>
      </c>
      <c r="G623" t="n">
        <v>13</v>
      </c>
      <c r="H623" t="n">
        <v>0</v>
      </c>
      <c r="I623" t="n">
        <v>0</v>
      </c>
      <c r="J623" t="n">
        <v>0</v>
      </c>
      <c r="K623" t="n">
        <v>0</v>
      </c>
      <c r="L623" t="n">
        <v>0</v>
      </c>
      <c r="M623" t="n">
        <v>0</v>
      </c>
      <c r="N623" t="n">
        <v>0</v>
      </c>
      <c r="O623" t="n">
        <v>0</v>
      </c>
      <c r="P623" t="n">
        <v>0</v>
      </c>
      <c r="Q623" t="n">
        <v>0</v>
      </c>
      <c r="R623" s="2" t="inlineStr"/>
    </row>
    <row r="624" ht="15" customHeight="1">
      <c r="A624" t="inlineStr">
        <is>
          <t>A 37597-2023</t>
        </is>
      </c>
      <c r="B624" s="1" t="n">
        <v>45159</v>
      </c>
      <c r="C624" s="1" t="n">
        <v>45630</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37645-2023</t>
        </is>
      </c>
      <c r="B625" s="1" t="n">
        <v>45159</v>
      </c>
      <c r="C625" s="1" t="n">
        <v>45630</v>
      </c>
      <c r="D625" t="inlineStr">
        <is>
          <t>JÄMTLANDS LÄN</t>
        </is>
      </c>
      <c r="E625" t="inlineStr">
        <is>
          <t>ÖSTERSUND</t>
        </is>
      </c>
      <c r="F625" t="inlineStr">
        <is>
          <t>Övriga Aktiebolag</t>
        </is>
      </c>
      <c r="G625" t="n">
        <v>3.5</v>
      </c>
      <c r="H625" t="n">
        <v>0</v>
      </c>
      <c r="I625" t="n">
        <v>0</v>
      </c>
      <c r="J625" t="n">
        <v>0</v>
      </c>
      <c r="K625" t="n">
        <v>0</v>
      </c>
      <c r="L625" t="n">
        <v>0</v>
      </c>
      <c r="M625" t="n">
        <v>0</v>
      </c>
      <c r="N625" t="n">
        <v>0</v>
      </c>
      <c r="O625" t="n">
        <v>0</v>
      </c>
      <c r="P625" t="n">
        <v>0</v>
      </c>
      <c r="Q625" t="n">
        <v>0</v>
      </c>
      <c r="R625" s="2" t="inlineStr"/>
    </row>
    <row r="626" ht="15" customHeight="1">
      <c r="A626" t="inlineStr">
        <is>
          <t>A 38335-2023</t>
        </is>
      </c>
      <c r="B626" s="1" t="n">
        <v>45161</v>
      </c>
      <c r="C626" s="1" t="n">
        <v>45630</v>
      </c>
      <c r="D626" t="inlineStr">
        <is>
          <t>JÄMTLANDS LÄN</t>
        </is>
      </c>
      <c r="E626" t="inlineStr">
        <is>
          <t>ÖSTERSUND</t>
        </is>
      </c>
      <c r="G626" t="n">
        <v>15.1</v>
      </c>
      <c r="H626" t="n">
        <v>0</v>
      </c>
      <c r="I626" t="n">
        <v>0</v>
      </c>
      <c r="J626" t="n">
        <v>0</v>
      </c>
      <c r="K626" t="n">
        <v>0</v>
      </c>
      <c r="L626" t="n">
        <v>0</v>
      </c>
      <c r="M626" t="n">
        <v>0</v>
      </c>
      <c r="N626" t="n">
        <v>0</v>
      </c>
      <c r="O626" t="n">
        <v>0</v>
      </c>
      <c r="P626" t="n">
        <v>0</v>
      </c>
      <c r="Q626" t="n">
        <v>0</v>
      </c>
      <c r="R626" s="2" t="inlineStr"/>
    </row>
    <row r="627" ht="15" customHeight="1">
      <c r="A627" t="inlineStr">
        <is>
          <t>A 38713-2023</t>
        </is>
      </c>
      <c r="B627" s="1" t="n">
        <v>45163</v>
      </c>
      <c r="C627" s="1" t="n">
        <v>45630</v>
      </c>
      <c r="D627" t="inlineStr">
        <is>
          <t>JÄMTLANDS LÄN</t>
        </is>
      </c>
      <c r="E627" t="inlineStr">
        <is>
          <t>ÖSTERSUND</t>
        </is>
      </c>
      <c r="G627" t="n">
        <v>6</v>
      </c>
      <c r="H627" t="n">
        <v>0</v>
      </c>
      <c r="I627" t="n">
        <v>0</v>
      </c>
      <c r="J627" t="n">
        <v>0</v>
      </c>
      <c r="K627" t="n">
        <v>0</v>
      </c>
      <c r="L627" t="n">
        <v>0</v>
      </c>
      <c r="M627" t="n">
        <v>0</v>
      </c>
      <c r="N627" t="n">
        <v>0</v>
      </c>
      <c r="O627" t="n">
        <v>0</v>
      </c>
      <c r="P627" t="n">
        <v>0</v>
      </c>
      <c r="Q627" t="n">
        <v>0</v>
      </c>
      <c r="R627" s="2" t="inlineStr"/>
    </row>
    <row r="628" ht="15" customHeight="1">
      <c r="A628" t="inlineStr">
        <is>
          <t>A 39494-2023</t>
        </is>
      </c>
      <c r="B628" s="1" t="n">
        <v>45166</v>
      </c>
      <c r="C628" s="1" t="n">
        <v>45630</v>
      </c>
      <c r="D628" t="inlineStr">
        <is>
          <t>JÄMTLANDS LÄN</t>
        </is>
      </c>
      <c r="E628" t="inlineStr">
        <is>
          <t>ÖSTERSUND</t>
        </is>
      </c>
      <c r="F628" t="inlineStr">
        <is>
          <t>SCA</t>
        </is>
      </c>
      <c r="G628" t="n">
        <v>8.1</v>
      </c>
      <c r="H628" t="n">
        <v>0</v>
      </c>
      <c r="I628" t="n">
        <v>0</v>
      </c>
      <c r="J628" t="n">
        <v>0</v>
      </c>
      <c r="K628" t="n">
        <v>0</v>
      </c>
      <c r="L628" t="n">
        <v>0</v>
      </c>
      <c r="M628" t="n">
        <v>0</v>
      </c>
      <c r="N628" t="n">
        <v>0</v>
      </c>
      <c r="O628" t="n">
        <v>0</v>
      </c>
      <c r="P628" t="n">
        <v>0</v>
      </c>
      <c r="Q628" t="n">
        <v>0</v>
      </c>
      <c r="R628" s="2" t="inlineStr"/>
    </row>
    <row r="629" ht="15" customHeight="1">
      <c r="A629" t="inlineStr">
        <is>
          <t>A 39493-2023</t>
        </is>
      </c>
      <c r="B629" s="1" t="n">
        <v>45167</v>
      </c>
      <c r="C629" s="1" t="n">
        <v>45630</v>
      </c>
      <c r="D629" t="inlineStr">
        <is>
          <t>JÄMTLANDS LÄN</t>
        </is>
      </c>
      <c r="E629" t="inlineStr">
        <is>
          <t>ÖSTERSUND</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39647-2023</t>
        </is>
      </c>
      <c r="B630" s="1" t="n">
        <v>45167</v>
      </c>
      <c r="C630" s="1" t="n">
        <v>45630</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ht="15" customHeight="1">
      <c r="A631" t="inlineStr">
        <is>
          <t>A 39652-2023</t>
        </is>
      </c>
      <c r="B631" s="1" t="n">
        <v>45167</v>
      </c>
      <c r="C631" s="1" t="n">
        <v>45630</v>
      </c>
      <c r="D631" t="inlineStr">
        <is>
          <t>JÄMTLANDS LÄN</t>
        </is>
      </c>
      <c r="E631" t="inlineStr">
        <is>
          <t>ÖSTERSUND</t>
        </is>
      </c>
      <c r="G631" t="n">
        <v>2.6</v>
      </c>
      <c r="H631" t="n">
        <v>0</v>
      </c>
      <c r="I631" t="n">
        <v>0</v>
      </c>
      <c r="J631" t="n">
        <v>0</v>
      </c>
      <c r="K631" t="n">
        <v>0</v>
      </c>
      <c r="L631" t="n">
        <v>0</v>
      </c>
      <c r="M631" t="n">
        <v>0</v>
      </c>
      <c r="N631" t="n">
        <v>0</v>
      </c>
      <c r="O631" t="n">
        <v>0</v>
      </c>
      <c r="P631" t="n">
        <v>0</v>
      </c>
      <c r="Q631" t="n">
        <v>0</v>
      </c>
      <c r="R631" s="2" t="inlineStr"/>
    </row>
    <row r="632" ht="15" customHeight="1">
      <c r="A632" t="inlineStr">
        <is>
          <t>A 39805-2023</t>
        </is>
      </c>
      <c r="B632" s="1" t="n">
        <v>45168</v>
      </c>
      <c r="C632" s="1" t="n">
        <v>45630</v>
      </c>
      <c r="D632" t="inlineStr">
        <is>
          <t>JÄMTLANDS LÄN</t>
        </is>
      </c>
      <c r="E632" t="inlineStr">
        <is>
          <t>ÖSTERSUND</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40423-2023</t>
        </is>
      </c>
      <c r="B633" s="1" t="n">
        <v>45169</v>
      </c>
      <c r="C633" s="1" t="n">
        <v>45630</v>
      </c>
      <c r="D633" t="inlineStr">
        <is>
          <t>JÄMTLANDS LÄN</t>
        </is>
      </c>
      <c r="E633" t="inlineStr">
        <is>
          <t>ÖSTERSUND</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40422-2023</t>
        </is>
      </c>
      <c r="B634" s="1" t="n">
        <v>45170</v>
      </c>
      <c r="C634" s="1" t="n">
        <v>45630</v>
      </c>
      <c r="D634" t="inlineStr">
        <is>
          <t>JÄMTLANDS LÄN</t>
        </is>
      </c>
      <c r="E634" t="inlineStr">
        <is>
          <t>ÖSTERSUND</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40792-2023</t>
        </is>
      </c>
      <c r="B635" s="1" t="n">
        <v>45170</v>
      </c>
      <c r="C635" s="1" t="n">
        <v>45630</v>
      </c>
      <c r="D635" t="inlineStr">
        <is>
          <t>JÄMTLANDS LÄN</t>
        </is>
      </c>
      <c r="E635" t="inlineStr">
        <is>
          <t>ÖSTERSUND</t>
        </is>
      </c>
      <c r="G635" t="n">
        <v>22.4</v>
      </c>
      <c r="H635" t="n">
        <v>0</v>
      </c>
      <c r="I635" t="n">
        <v>0</v>
      </c>
      <c r="J635" t="n">
        <v>0</v>
      </c>
      <c r="K635" t="n">
        <v>0</v>
      </c>
      <c r="L635" t="n">
        <v>0</v>
      </c>
      <c r="M635" t="n">
        <v>0</v>
      </c>
      <c r="N635" t="n">
        <v>0</v>
      </c>
      <c r="O635" t="n">
        <v>0</v>
      </c>
      <c r="P635" t="n">
        <v>0</v>
      </c>
      <c r="Q635" t="n">
        <v>0</v>
      </c>
      <c r="R635" s="2" t="inlineStr"/>
    </row>
    <row r="636" ht="15" customHeight="1">
      <c r="A636" t="inlineStr">
        <is>
          <t>A 40772-2023</t>
        </is>
      </c>
      <c r="B636" s="1" t="n">
        <v>45171</v>
      </c>
      <c r="C636" s="1" t="n">
        <v>45630</v>
      </c>
      <c r="D636" t="inlineStr">
        <is>
          <t>JÄMTLANDS LÄN</t>
        </is>
      </c>
      <c r="E636" t="inlineStr">
        <is>
          <t>ÖSTERSUND</t>
        </is>
      </c>
      <c r="F636" t="inlineStr">
        <is>
          <t>SCA</t>
        </is>
      </c>
      <c r="G636" t="n">
        <v>17.6</v>
      </c>
      <c r="H636" t="n">
        <v>0</v>
      </c>
      <c r="I636" t="n">
        <v>0</v>
      </c>
      <c r="J636" t="n">
        <v>0</v>
      </c>
      <c r="K636" t="n">
        <v>0</v>
      </c>
      <c r="L636" t="n">
        <v>0</v>
      </c>
      <c r="M636" t="n">
        <v>0</v>
      </c>
      <c r="N636" t="n">
        <v>0</v>
      </c>
      <c r="O636" t="n">
        <v>0</v>
      </c>
      <c r="P636" t="n">
        <v>0</v>
      </c>
      <c r="Q636" t="n">
        <v>0</v>
      </c>
      <c r="R636" s="2" t="inlineStr"/>
    </row>
    <row r="637" ht="15" customHeight="1">
      <c r="A637" t="inlineStr">
        <is>
          <t>A 41224-2023</t>
        </is>
      </c>
      <c r="B637" s="1" t="n">
        <v>45174</v>
      </c>
      <c r="C637" s="1" t="n">
        <v>45630</v>
      </c>
      <c r="D637" t="inlineStr">
        <is>
          <t>JÄMTLANDS LÄN</t>
        </is>
      </c>
      <c r="E637" t="inlineStr">
        <is>
          <t>ÖSTERSUND</t>
        </is>
      </c>
      <c r="G637" t="n">
        <v>13.3</v>
      </c>
      <c r="H637" t="n">
        <v>0</v>
      </c>
      <c r="I637" t="n">
        <v>0</v>
      </c>
      <c r="J637" t="n">
        <v>0</v>
      </c>
      <c r="K637" t="n">
        <v>0</v>
      </c>
      <c r="L637" t="n">
        <v>0</v>
      </c>
      <c r="M637" t="n">
        <v>0</v>
      </c>
      <c r="N637" t="n">
        <v>0</v>
      </c>
      <c r="O637" t="n">
        <v>0</v>
      </c>
      <c r="P637" t="n">
        <v>0</v>
      </c>
      <c r="Q637" t="n">
        <v>0</v>
      </c>
      <c r="R637" s="2" t="inlineStr"/>
    </row>
    <row r="638" ht="15" customHeight="1">
      <c r="A638" t="inlineStr">
        <is>
          <t>A 41649-2023</t>
        </is>
      </c>
      <c r="B638" s="1" t="n">
        <v>45176</v>
      </c>
      <c r="C638" s="1" t="n">
        <v>45630</v>
      </c>
      <c r="D638" t="inlineStr">
        <is>
          <t>JÄMTLANDS LÄN</t>
        </is>
      </c>
      <c r="E638" t="inlineStr">
        <is>
          <t>ÖSTERSUND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41919-2023</t>
        </is>
      </c>
      <c r="B639" s="1" t="n">
        <v>45177</v>
      </c>
      <c r="C639" s="1" t="n">
        <v>45630</v>
      </c>
      <c r="D639" t="inlineStr">
        <is>
          <t>JÄMTLANDS LÄN</t>
        </is>
      </c>
      <c r="E639" t="inlineStr">
        <is>
          <t>ÖSTERSUND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41918-2023</t>
        </is>
      </c>
      <c r="B640" s="1" t="n">
        <v>45177</v>
      </c>
      <c r="C640" s="1" t="n">
        <v>45630</v>
      </c>
      <c r="D640" t="inlineStr">
        <is>
          <t>JÄMTLANDS LÄN</t>
        </is>
      </c>
      <c r="E640" t="inlineStr">
        <is>
          <t>ÖSTERSUND</t>
        </is>
      </c>
      <c r="F640" t="inlineStr">
        <is>
          <t>SCA</t>
        </is>
      </c>
      <c r="G640" t="n">
        <v>10.5</v>
      </c>
      <c r="H640" t="n">
        <v>0</v>
      </c>
      <c r="I640" t="n">
        <v>0</v>
      </c>
      <c r="J640" t="n">
        <v>0</v>
      </c>
      <c r="K640" t="n">
        <v>0</v>
      </c>
      <c r="L640" t="n">
        <v>0</v>
      </c>
      <c r="M640" t="n">
        <v>0</v>
      </c>
      <c r="N640" t="n">
        <v>0</v>
      </c>
      <c r="O640" t="n">
        <v>0</v>
      </c>
      <c r="P640" t="n">
        <v>0</v>
      </c>
      <c r="Q640" t="n">
        <v>0</v>
      </c>
      <c r="R640" s="2" t="inlineStr"/>
    </row>
    <row r="641" ht="15" customHeight="1">
      <c r="A641" t="inlineStr">
        <is>
          <t>A 41900-2023</t>
        </is>
      </c>
      <c r="B641" s="1" t="n">
        <v>45176</v>
      </c>
      <c r="C641" s="1" t="n">
        <v>45630</v>
      </c>
      <c r="D641" t="inlineStr">
        <is>
          <t>JÄMTLANDS LÄN</t>
        </is>
      </c>
      <c r="E641" t="inlineStr">
        <is>
          <t>ÖSTERSUND</t>
        </is>
      </c>
      <c r="G641" t="n">
        <v>24.4</v>
      </c>
      <c r="H641" t="n">
        <v>0</v>
      </c>
      <c r="I641" t="n">
        <v>0</v>
      </c>
      <c r="J641" t="n">
        <v>0</v>
      </c>
      <c r="K641" t="n">
        <v>0</v>
      </c>
      <c r="L641" t="n">
        <v>0</v>
      </c>
      <c r="M641" t="n">
        <v>0</v>
      </c>
      <c r="N641" t="n">
        <v>0</v>
      </c>
      <c r="O641" t="n">
        <v>0</v>
      </c>
      <c r="P641" t="n">
        <v>0</v>
      </c>
      <c r="Q641" t="n">
        <v>0</v>
      </c>
      <c r="R641" s="2" t="inlineStr"/>
    </row>
    <row r="642" ht="15" customHeight="1">
      <c r="A642" t="inlineStr">
        <is>
          <t>A 42151-2023</t>
        </is>
      </c>
      <c r="B642" s="1" t="n">
        <v>45178</v>
      </c>
      <c r="C642" s="1" t="n">
        <v>45630</v>
      </c>
      <c r="D642" t="inlineStr">
        <is>
          <t>JÄMTLANDS LÄN</t>
        </is>
      </c>
      <c r="E642" t="inlineStr">
        <is>
          <t>ÖSTERSUND</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43557-2023</t>
        </is>
      </c>
      <c r="B643" s="1" t="n">
        <v>45181</v>
      </c>
      <c r="C643" s="1" t="n">
        <v>45630</v>
      </c>
      <c r="D643" t="inlineStr">
        <is>
          <t>JÄMTLANDS LÄN</t>
        </is>
      </c>
      <c r="E643" t="inlineStr">
        <is>
          <t>ÖSTERSUND</t>
        </is>
      </c>
      <c r="G643" t="n">
        <v>0.9</v>
      </c>
      <c r="H643" t="n">
        <v>0</v>
      </c>
      <c r="I643" t="n">
        <v>0</v>
      </c>
      <c r="J643" t="n">
        <v>0</v>
      </c>
      <c r="K643" t="n">
        <v>0</v>
      </c>
      <c r="L643" t="n">
        <v>0</v>
      </c>
      <c r="M643" t="n">
        <v>0</v>
      </c>
      <c r="N643" t="n">
        <v>0</v>
      </c>
      <c r="O643" t="n">
        <v>0</v>
      </c>
      <c r="P643" t="n">
        <v>0</v>
      </c>
      <c r="Q643" t="n">
        <v>0</v>
      </c>
      <c r="R643" s="2" t="inlineStr"/>
    </row>
    <row r="644" ht="15" customHeight="1">
      <c r="A644" t="inlineStr">
        <is>
          <t>A 42664-2023</t>
        </is>
      </c>
      <c r="B644" s="1" t="n">
        <v>45181</v>
      </c>
      <c r="C644" s="1" t="n">
        <v>45630</v>
      </c>
      <c r="D644" t="inlineStr">
        <is>
          <t>JÄMTLANDS LÄN</t>
        </is>
      </c>
      <c r="E644" t="inlineStr">
        <is>
          <t>ÖSTERSUND</t>
        </is>
      </c>
      <c r="F644" t="inlineStr">
        <is>
          <t>Övriga Aktiebolag</t>
        </is>
      </c>
      <c r="G644" t="n">
        <v>3.7</v>
      </c>
      <c r="H644" t="n">
        <v>0</v>
      </c>
      <c r="I644" t="n">
        <v>0</v>
      </c>
      <c r="J644" t="n">
        <v>0</v>
      </c>
      <c r="K644" t="n">
        <v>0</v>
      </c>
      <c r="L644" t="n">
        <v>0</v>
      </c>
      <c r="M644" t="n">
        <v>0</v>
      </c>
      <c r="N644" t="n">
        <v>0</v>
      </c>
      <c r="O644" t="n">
        <v>0</v>
      </c>
      <c r="P644" t="n">
        <v>0</v>
      </c>
      <c r="Q644" t="n">
        <v>0</v>
      </c>
      <c r="R644" s="2" t="inlineStr"/>
    </row>
    <row r="645" ht="15" customHeight="1">
      <c r="A645" t="inlineStr">
        <is>
          <t>A 42679-2023</t>
        </is>
      </c>
      <c r="B645" s="1" t="n">
        <v>45181</v>
      </c>
      <c r="C645" s="1" t="n">
        <v>45630</v>
      </c>
      <c r="D645" t="inlineStr">
        <is>
          <t>JÄMTLANDS LÄN</t>
        </is>
      </c>
      <c r="E645" t="inlineStr">
        <is>
          <t>ÖSTERSUND</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43740-2023</t>
        </is>
      </c>
      <c r="B646" s="1" t="n">
        <v>45182</v>
      </c>
      <c r="C646" s="1" t="n">
        <v>45630</v>
      </c>
      <c r="D646" t="inlineStr">
        <is>
          <t>JÄMTLANDS LÄN</t>
        </is>
      </c>
      <c r="E646" t="inlineStr">
        <is>
          <t>ÖSTERSUND</t>
        </is>
      </c>
      <c r="G646" t="n">
        <v>10.2</v>
      </c>
      <c r="H646" t="n">
        <v>0</v>
      </c>
      <c r="I646" t="n">
        <v>0</v>
      </c>
      <c r="J646" t="n">
        <v>0</v>
      </c>
      <c r="K646" t="n">
        <v>0</v>
      </c>
      <c r="L646" t="n">
        <v>0</v>
      </c>
      <c r="M646" t="n">
        <v>0</v>
      </c>
      <c r="N646" t="n">
        <v>0</v>
      </c>
      <c r="O646" t="n">
        <v>0</v>
      </c>
      <c r="P646" t="n">
        <v>0</v>
      </c>
      <c r="Q646" t="n">
        <v>0</v>
      </c>
      <c r="R646" s="2" t="inlineStr"/>
    </row>
    <row r="647" ht="15" customHeight="1">
      <c r="A647" t="inlineStr">
        <is>
          <t>A 43135-2023</t>
        </is>
      </c>
      <c r="B647" s="1" t="n">
        <v>45183</v>
      </c>
      <c r="C647" s="1" t="n">
        <v>45630</v>
      </c>
      <c r="D647" t="inlineStr">
        <is>
          <t>JÄMTLANDS LÄN</t>
        </is>
      </c>
      <c r="E647" t="inlineStr">
        <is>
          <t>ÖSTERSUND</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43252-2023</t>
        </is>
      </c>
      <c r="B648" s="1" t="n">
        <v>45183</v>
      </c>
      <c r="C648" s="1" t="n">
        <v>45630</v>
      </c>
      <c r="D648" t="inlineStr">
        <is>
          <t>JÄMTLANDS LÄN</t>
        </is>
      </c>
      <c r="E648" t="inlineStr">
        <is>
          <t>ÖSTERSUND</t>
        </is>
      </c>
      <c r="G648" t="n">
        <v>2.9</v>
      </c>
      <c r="H648" t="n">
        <v>0</v>
      </c>
      <c r="I648" t="n">
        <v>0</v>
      </c>
      <c r="J648" t="n">
        <v>0</v>
      </c>
      <c r="K648" t="n">
        <v>0</v>
      </c>
      <c r="L648" t="n">
        <v>0</v>
      </c>
      <c r="M648" t="n">
        <v>0</v>
      </c>
      <c r="N648" t="n">
        <v>0</v>
      </c>
      <c r="O648" t="n">
        <v>0</v>
      </c>
      <c r="P648" t="n">
        <v>0</v>
      </c>
      <c r="Q648" t="n">
        <v>0</v>
      </c>
      <c r="R648" s="2" t="inlineStr"/>
    </row>
    <row r="649" ht="15" customHeight="1">
      <c r="A649" t="inlineStr">
        <is>
          <t>A 44327-2023</t>
        </is>
      </c>
      <c r="B649" s="1" t="n">
        <v>45188</v>
      </c>
      <c r="C649" s="1" t="n">
        <v>45630</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44359-2023</t>
        </is>
      </c>
      <c r="B650" s="1" t="n">
        <v>45188</v>
      </c>
      <c r="C650" s="1" t="n">
        <v>45630</v>
      </c>
      <c r="D650" t="inlineStr">
        <is>
          <t>JÄMTLANDS LÄN</t>
        </is>
      </c>
      <c r="E650" t="inlineStr">
        <is>
          <t>ÖSTERSUND</t>
        </is>
      </c>
      <c r="G650" t="n">
        <v>8.1</v>
      </c>
      <c r="H650" t="n">
        <v>0</v>
      </c>
      <c r="I650" t="n">
        <v>0</v>
      </c>
      <c r="J650" t="n">
        <v>0</v>
      </c>
      <c r="K650" t="n">
        <v>0</v>
      </c>
      <c r="L650" t="n">
        <v>0</v>
      </c>
      <c r="M650" t="n">
        <v>0</v>
      </c>
      <c r="N650" t="n">
        <v>0</v>
      </c>
      <c r="O650" t="n">
        <v>0</v>
      </c>
      <c r="P650" t="n">
        <v>0</v>
      </c>
      <c r="Q650" t="n">
        <v>0</v>
      </c>
      <c r="R650" s="2" t="inlineStr"/>
    </row>
    <row r="651" ht="15" customHeight="1">
      <c r="A651" t="inlineStr">
        <is>
          <t>A 45980-2023</t>
        </is>
      </c>
      <c r="B651" s="1" t="n">
        <v>45189</v>
      </c>
      <c r="C651" s="1" t="n">
        <v>45630</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44719-2023</t>
        </is>
      </c>
      <c r="B652" s="1" t="n">
        <v>45190</v>
      </c>
      <c r="C652" s="1" t="n">
        <v>45630</v>
      </c>
      <c r="D652" t="inlineStr">
        <is>
          <t>JÄMTLANDS LÄN</t>
        </is>
      </c>
      <c r="E652" t="inlineStr">
        <is>
          <t>ÖSTERSUND</t>
        </is>
      </c>
      <c r="G652" t="n">
        <v>17.5</v>
      </c>
      <c r="H652" t="n">
        <v>0</v>
      </c>
      <c r="I652" t="n">
        <v>0</v>
      </c>
      <c r="J652" t="n">
        <v>0</v>
      </c>
      <c r="K652" t="n">
        <v>0</v>
      </c>
      <c r="L652" t="n">
        <v>0</v>
      </c>
      <c r="M652" t="n">
        <v>0</v>
      </c>
      <c r="N652" t="n">
        <v>0</v>
      </c>
      <c r="O652" t="n">
        <v>0</v>
      </c>
      <c r="P652" t="n">
        <v>0</v>
      </c>
      <c r="Q652" t="n">
        <v>0</v>
      </c>
      <c r="R652" s="2" t="inlineStr"/>
    </row>
    <row r="653" ht="15" customHeight="1">
      <c r="A653" t="inlineStr">
        <is>
          <t>A 44798-2023</t>
        </is>
      </c>
      <c r="B653" s="1" t="n">
        <v>45190</v>
      </c>
      <c r="C653" s="1" t="n">
        <v>45630</v>
      </c>
      <c r="D653" t="inlineStr">
        <is>
          <t>JÄMTLANDS LÄN</t>
        </is>
      </c>
      <c r="E653" t="inlineStr">
        <is>
          <t>ÖSTERSUND</t>
        </is>
      </c>
      <c r="G653" t="n">
        <v>1.1</v>
      </c>
      <c r="H653" t="n">
        <v>0</v>
      </c>
      <c r="I653" t="n">
        <v>0</v>
      </c>
      <c r="J653" t="n">
        <v>0</v>
      </c>
      <c r="K653" t="n">
        <v>0</v>
      </c>
      <c r="L653" t="n">
        <v>0</v>
      </c>
      <c r="M653" t="n">
        <v>0</v>
      </c>
      <c r="N653" t="n">
        <v>0</v>
      </c>
      <c r="O653" t="n">
        <v>0</v>
      </c>
      <c r="P653" t="n">
        <v>0</v>
      </c>
      <c r="Q653" t="n">
        <v>0</v>
      </c>
      <c r="R653" s="2" t="inlineStr"/>
    </row>
    <row r="654" ht="15" customHeight="1">
      <c r="A654" t="inlineStr">
        <is>
          <t>A 46375-2023</t>
        </is>
      </c>
      <c r="B654" s="1" t="n">
        <v>45197</v>
      </c>
      <c r="C654" s="1" t="n">
        <v>45630</v>
      </c>
      <c r="D654" t="inlineStr">
        <is>
          <t>JÄMTLANDS LÄN</t>
        </is>
      </c>
      <c r="E654" t="inlineStr">
        <is>
          <t>ÖSTERSUND</t>
        </is>
      </c>
      <c r="G654" t="n">
        <v>2.5</v>
      </c>
      <c r="H654" t="n">
        <v>0</v>
      </c>
      <c r="I654" t="n">
        <v>0</v>
      </c>
      <c r="J654" t="n">
        <v>0</v>
      </c>
      <c r="K654" t="n">
        <v>0</v>
      </c>
      <c r="L654" t="n">
        <v>0</v>
      </c>
      <c r="M654" t="n">
        <v>0</v>
      </c>
      <c r="N654" t="n">
        <v>0</v>
      </c>
      <c r="O654" t="n">
        <v>0</v>
      </c>
      <c r="P654" t="n">
        <v>0</v>
      </c>
      <c r="Q654" t="n">
        <v>0</v>
      </c>
      <c r="R654" s="2" t="inlineStr"/>
    </row>
    <row r="655" ht="15" customHeight="1">
      <c r="A655" t="inlineStr">
        <is>
          <t>A 46763-2023</t>
        </is>
      </c>
      <c r="B655" s="1" t="n">
        <v>45198</v>
      </c>
      <c r="C655" s="1" t="n">
        <v>45630</v>
      </c>
      <c r="D655" t="inlineStr">
        <is>
          <t>JÄMTLANDS LÄN</t>
        </is>
      </c>
      <c r="E655" t="inlineStr">
        <is>
          <t>ÖSTERSUND</t>
        </is>
      </c>
      <c r="F655" t="inlineStr">
        <is>
          <t>Sveaskog</t>
        </is>
      </c>
      <c r="G655" t="n">
        <v>13.3</v>
      </c>
      <c r="H655" t="n">
        <v>0</v>
      </c>
      <c r="I655" t="n">
        <v>0</v>
      </c>
      <c r="J655" t="n">
        <v>0</v>
      </c>
      <c r="K655" t="n">
        <v>0</v>
      </c>
      <c r="L655" t="n">
        <v>0</v>
      </c>
      <c r="M655" t="n">
        <v>0</v>
      </c>
      <c r="N655" t="n">
        <v>0</v>
      </c>
      <c r="O655" t="n">
        <v>0</v>
      </c>
      <c r="P655" t="n">
        <v>0</v>
      </c>
      <c r="Q655" t="n">
        <v>0</v>
      </c>
      <c r="R655" s="2" t="inlineStr"/>
    </row>
    <row r="656" ht="15" customHeight="1">
      <c r="A656" t="inlineStr">
        <is>
          <t>A 46748-2023</t>
        </is>
      </c>
      <c r="B656" s="1" t="n">
        <v>45198</v>
      </c>
      <c r="C656" s="1" t="n">
        <v>45630</v>
      </c>
      <c r="D656" t="inlineStr">
        <is>
          <t>JÄMTLANDS LÄN</t>
        </is>
      </c>
      <c r="E656" t="inlineStr">
        <is>
          <t>ÖSTERSUND</t>
        </is>
      </c>
      <c r="F656" t="inlineStr">
        <is>
          <t>Sveaskog</t>
        </is>
      </c>
      <c r="G656" t="n">
        <v>2.7</v>
      </c>
      <c r="H656" t="n">
        <v>0</v>
      </c>
      <c r="I656" t="n">
        <v>0</v>
      </c>
      <c r="J656" t="n">
        <v>0</v>
      </c>
      <c r="K656" t="n">
        <v>0</v>
      </c>
      <c r="L656" t="n">
        <v>0</v>
      </c>
      <c r="M656" t="n">
        <v>0</v>
      </c>
      <c r="N656" t="n">
        <v>0</v>
      </c>
      <c r="O656" t="n">
        <v>0</v>
      </c>
      <c r="P656" t="n">
        <v>0</v>
      </c>
      <c r="Q656" t="n">
        <v>0</v>
      </c>
      <c r="R656" s="2" t="inlineStr"/>
    </row>
    <row r="657" ht="15" customHeight="1">
      <c r="A657" t="inlineStr">
        <is>
          <t>A 47086-2023</t>
        </is>
      </c>
      <c r="B657" s="1" t="n">
        <v>45201</v>
      </c>
      <c r="C657" s="1" t="n">
        <v>45630</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47252-2023</t>
        </is>
      </c>
      <c r="B658" s="1" t="n">
        <v>45202</v>
      </c>
      <c r="C658" s="1" t="n">
        <v>45630</v>
      </c>
      <c r="D658" t="inlineStr">
        <is>
          <t>JÄMTLANDS LÄN</t>
        </is>
      </c>
      <c r="E658" t="inlineStr">
        <is>
          <t>ÖSTERSUND</t>
        </is>
      </c>
      <c r="G658" t="n">
        <v>1.3</v>
      </c>
      <c r="H658" t="n">
        <v>0</v>
      </c>
      <c r="I658" t="n">
        <v>0</v>
      </c>
      <c r="J658" t="n">
        <v>0</v>
      </c>
      <c r="K658" t="n">
        <v>0</v>
      </c>
      <c r="L658" t="n">
        <v>0</v>
      </c>
      <c r="M658" t="n">
        <v>0</v>
      </c>
      <c r="N658" t="n">
        <v>0</v>
      </c>
      <c r="O658" t="n">
        <v>0</v>
      </c>
      <c r="P658" t="n">
        <v>0</v>
      </c>
      <c r="Q658" t="n">
        <v>0</v>
      </c>
      <c r="R658" s="2" t="inlineStr"/>
    </row>
    <row r="659" ht="15" customHeight="1">
      <c r="A659" t="inlineStr">
        <is>
          <t>A 47727-2023</t>
        </is>
      </c>
      <c r="B659" s="1" t="n">
        <v>45203</v>
      </c>
      <c r="C659" s="1" t="n">
        <v>45630</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48374-2023</t>
        </is>
      </c>
      <c r="B660" s="1" t="n">
        <v>45205</v>
      </c>
      <c r="C660" s="1" t="n">
        <v>45630</v>
      </c>
      <c r="D660" t="inlineStr">
        <is>
          <t>JÄMTLANDS LÄN</t>
        </is>
      </c>
      <c r="E660" t="inlineStr">
        <is>
          <t>ÖSTERSUND</t>
        </is>
      </c>
      <c r="G660" t="n">
        <v>5.6</v>
      </c>
      <c r="H660" t="n">
        <v>0</v>
      </c>
      <c r="I660" t="n">
        <v>0</v>
      </c>
      <c r="J660" t="n">
        <v>0</v>
      </c>
      <c r="K660" t="n">
        <v>0</v>
      </c>
      <c r="L660" t="n">
        <v>0</v>
      </c>
      <c r="M660" t="n">
        <v>0</v>
      </c>
      <c r="N660" t="n">
        <v>0</v>
      </c>
      <c r="O660" t="n">
        <v>0</v>
      </c>
      <c r="P660" t="n">
        <v>0</v>
      </c>
      <c r="Q660" t="n">
        <v>0</v>
      </c>
      <c r="R660" s="2" t="inlineStr"/>
    </row>
    <row r="661" ht="15" customHeight="1">
      <c r="A661" t="inlineStr">
        <is>
          <t>A 50753-2023</t>
        </is>
      </c>
      <c r="B661" s="1" t="n">
        <v>45210</v>
      </c>
      <c r="C661" s="1" t="n">
        <v>45630</v>
      </c>
      <c r="D661" t="inlineStr">
        <is>
          <t>JÄMTLANDS LÄN</t>
        </is>
      </c>
      <c r="E661" t="inlineStr">
        <is>
          <t>ÖSTERSUND</t>
        </is>
      </c>
      <c r="G661" t="n">
        <v>29.3</v>
      </c>
      <c r="H661" t="n">
        <v>0</v>
      </c>
      <c r="I661" t="n">
        <v>0</v>
      </c>
      <c r="J661" t="n">
        <v>0</v>
      </c>
      <c r="K661" t="n">
        <v>0</v>
      </c>
      <c r="L661" t="n">
        <v>0</v>
      </c>
      <c r="M661" t="n">
        <v>0</v>
      </c>
      <c r="N661" t="n">
        <v>0</v>
      </c>
      <c r="O661" t="n">
        <v>0</v>
      </c>
      <c r="P661" t="n">
        <v>0</v>
      </c>
      <c r="Q661" t="n">
        <v>0</v>
      </c>
      <c r="R661" s="2" t="inlineStr"/>
    </row>
    <row r="662" ht="15" customHeight="1">
      <c r="A662" t="inlineStr">
        <is>
          <t>A 50953-2023</t>
        </is>
      </c>
      <c r="B662" s="1" t="n">
        <v>45211</v>
      </c>
      <c r="C662" s="1" t="n">
        <v>45630</v>
      </c>
      <c r="D662" t="inlineStr">
        <is>
          <t>JÄMTLANDS LÄN</t>
        </is>
      </c>
      <c r="E662" t="inlineStr">
        <is>
          <t>ÖSTERSUND</t>
        </is>
      </c>
      <c r="G662" t="n">
        <v>2.2</v>
      </c>
      <c r="H662" t="n">
        <v>0</v>
      </c>
      <c r="I662" t="n">
        <v>0</v>
      </c>
      <c r="J662" t="n">
        <v>0</v>
      </c>
      <c r="K662" t="n">
        <v>0</v>
      </c>
      <c r="L662" t="n">
        <v>0</v>
      </c>
      <c r="M662" t="n">
        <v>0</v>
      </c>
      <c r="N662" t="n">
        <v>0</v>
      </c>
      <c r="O662" t="n">
        <v>0</v>
      </c>
      <c r="P662" t="n">
        <v>0</v>
      </c>
      <c r="Q662" t="n">
        <v>0</v>
      </c>
      <c r="R662" s="2" t="inlineStr"/>
    </row>
    <row r="663" ht="15" customHeight="1">
      <c r="A663" t="inlineStr">
        <is>
          <t>A 51701-2023</t>
        </is>
      </c>
      <c r="B663" s="1" t="n">
        <v>45215</v>
      </c>
      <c r="C663" s="1" t="n">
        <v>45630</v>
      </c>
      <c r="D663" t="inlineStr">
        <is>
          <t>JÄMTLANDS LÄN</t>
        </is>
      </c>
      <c r="E663" t="inlineStr">
        <is>
          <t>ÖSTERSUND</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52209-2023</t>
        </is>
      </c>
      <c r="B664" s="1" t="n">
        <v>45217</v>
      </c>
      <c r="C664" s="1" t="n">
        <v>45630</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50965-2023</t>
        </is>
      </c>
      <c r="B665" s="1" t="n">
        <v>45218</v>
      </c>
      <c r="C665" s="1" t="n">
        <v>45630</v>
      </c>
      <c r="D665" t="inlineStr">
        <is>
          <t>JÄMTLANDS LÄN</t>
        </is>
      </c>
      <c r="E665" t="inlineStr">
        <is>
          <t>ÖSTERSUND</t>
        </is>
      </c>
      <c r="G665" t="n">
        <v>3.5</v>
      </c>
      <c r="H665" t="n">
        <v>0</v>
      </c>
      <c r="I665" t="n">
        <v>0</v>
      </c>
      <c r="J665" t="n">
        <v>0</v>
      </c>
      <c r="K665" t="n">
        <v>0</v>
      </c>
      <c r="L665" t="n">
        <v>0</v>
      </c>
      <c r="M665" t="n">
        <v>0</v>
      </c>
      <c r="N665" t="n">
        <v>0</v>
      </c>
      <c r="O665" t="n">
        <v>0</v>
      </c>
      <c r="P665" t="n">
        <v>0</v>
      </c>
      <c r="Q665" t="n">
        <v>0</v>
      </c>
      <c r="R665" s="2" t="inlineStr"/>
    </row>
    <row r="666" ht="15" customHeight="1">
      <c r="A666" t="inlineStr">
        <is>
          <t>A 51480-2023</t>
        </is>
      </c>
      <c r="B666" s="1" t="n">
        <v>45222</v>
      </c>
      <c r="C666" s="1" t="n">
        <v>45630</v>
      </c>
      <c r="D666" t="inlineStr">
        <is>
          <t>JÄMTLANDS LÄN</t>
        </is>
      </c>
      <c r="E666" t="inlineStr">
        <is>
          <t>ÖSTERSUND</t>
        </is>
      </c>
      <c r="G666" t="n">
        <v>1.3</v>
      </c>
      <c r="H666" t="n">
        <v>0</v>
      </c>
      <c r="I666" t="n">
        <v>0</v>
      </c>
      <c r="J666" t="n">
        <v>0</v>
      </c>
      <c r="K666" t="n">
        <v>0</v>
      </c>
      <c r="L666" t="n">
        <v>0</v>
      </c>
      <c r="M666" t="n">
        <v>0</v>
      </c>
      <c r="N666" t="n">
        <v>0</v>
      </c>
      <c r="O666" t="n">
        <v>0</v>
      </c>
      <c r="P666" t="n">
        <v>0</v>
      </c>
      <c r="Q666" t="n">
        <v>0</v>
      </c>
      <c r="R666" s="2" t="inlineStr"/>
    </row>
    <row r="667" ht="15" customHeight="1">
      <c r="A667" t="inlineStr">
        <is>
          <t>A 51482-2023</t>
        </is>
      </c>
      <c r="B667" s="1" t="n">
        <v>45222</v>
      </c>
      <c r="C667" s="1" t="n">
        <v>45630</v>
      </c>
      <c r="D667" t="inlineStr">
        <is>
          <t>JÄMTLANDS LÄN</t>
        </is>
      </c>
      <c r="E667" t="inlineStr">
        <is>
          <t>ÖSTERSUND</t>
        </is>
      </c>
      <c r="G667" t="n">
        <v>2.6</v>
      </c>
      <c r="H667" t="n">
        <v>0</v>
      </c>
      <c r="I667" t="n">
        <v>0</v>
      </c>
      <c r="J667" t="n">
        <v>0</v>
      </c>
      <c r="K667" t="n">
        <v>0</v>
      </c>
      <c r="L667" t="n">
        <v>0</v>
      </c>
      <c r="M667" t="n">
        <v>0</v>
      </c>
      <c r="N667" t="n">
        <v>0</v>
      </c>
      <c r="O667" t="n">
        <v>0</v>
      </c>
      <c r="P667" t="n">
        <v>0</v>
      </c>
      <c r="Q667" t="n">
        <v>0</v>
      </c>
      <c r="R667" s="2" t="inlineStr"/>
    </row>
    <row r="668" ht="15" customHeight="1">
      <c r="A668" t="inlineStr">
        <is>
          <t>A 51481-2023</t>
        </is>
      </c>
      <c r="B668" s="1" t="n">
        <v>45222</v>
      </c>
      <c r="C668" s="1" t="n">
        <v>45630</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51479-2023</t>
        </is>
      </c>
      <c r="B669" s="1" t="n">
        <v>45222</v>
      </c>
      <c r="C669" s="1" t="n">
        <v>45630</v>
      </c>
      <c r="D669" t="inlineStr">
        <is>
          <t>JÄMTLANDS LÄN</t>
        </is>
      </c>
      <c r="E669" t="inlineStr">
        <is>
          <t>ÖSTERSUND</t>
        </is>
      </c>
      <c r="G669" t="n">
        <v>1.9</v>
      </c>
      <c r="H669" t="n">
        <v>0</v>
      </c>
      <c r="I669" t="n">
        <v>0</v>
      </c>
      <c r="J669" t="n">
        <v>0</v>
      </c>
      <c r="K669" t="n">
        <v>0</v>
      </c>
      <c r="L669" t="n">
        <v>0</v>
      </c>
      <c r="M669" t="n">
        <v>0</v>
      </c>
      <c r="N669" t="n">
        <v>0</v>
      </c>
      <c r="O669" t="n">
        <v>0</v>
      </c>
      <c r="P669" t="n">
        <v>0</v>
      </c>
      <c r="Q669" t="n">
        <v>0</v>
      </c>
      <c r="R669" s="2" t="inlineStr"/>
    </row>
    <row r="670" ht="15" customHeight="1">
      <c r="A670" t="inlineStr">
        <is>
          <t>A 53152-2023</t>
        </is>
      </c>
      <c r="B670" s="1" t="n">
        <v>45222</v>
      </c>
      <c r="C670" s="1" t="n">
        <v>45630</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51818-2023</t>
        </is>
      </c>
      <c r="B671" s="1" t="n">
        <v>45223</v>
      </c>
      <c r="C671" s="1" t="n">
        <v>45630</v>
      </c>
      <c r="D671" t="inlineStr">
        <is>
          <t>JÄMTLANDS LÄN</t>
        </is>
      </c>
      <c r="E671" t="inlineStr">
        <is>
          <t>ÖSTERSUND</t>
        </is>
      </c>
      <c r="G671" t="n">
        <v>4.7</v>
      </c>
      <c r="H671" t="n">
        <v>0</v>
      </c>
      <c r="I671" t="n">
        <v>0</v>
      </c>
      <c r="J671" t="n">
        <v>0</v>
      </c>
      <c r="K671" t="n">
        <v>0</v>
      </c>
      <c r="L671" t="n">
        <v>0</v>
      </c>
      <c r="M671" t="n">
        <v>0</v>
      </c>
      <c r="N671" t="n">
        <v>0</v>
      </c>
      <c r="O671" t="n">
        <v>0</v>
      </c>
      <c r="P671" t="n">
        <v>0</v>
      </c>
      <c r="Q671" t="n">
        <v>0</v>
      </c>
      <c r="R671" s="2" t="inlineStr"/>
    </row>
    <row r="672" ht="15" customHeight="1">
      <c r="A672" t="inlineStr">
        <is>
          <t>A 51913-2023</t>
        </is>
      </c>
      <c r="B672" s="1" t="n">
        <v>45223</v>
      </c>
      <c r="C672" s="1" t="n">
        <v>45630</v>
      </c>
      <c r="D672" t="inlineStr">
        <is>
          <t>JÄMTLANDS LÄN</t>
        </is>
      </c>
      <c r="E672" t="inlineStr">
        <is>
          <t>ÖSTERSUND</t>
        </is>
      </c>
      <c r="F672" t="inlineStr">
        <is>
          <t>Övriga Aktiebolag</t>
        </is>
      </c>
      <c r="G672" t="n">
        <v>3.4</v>
      </c>
      <c r="H672" t="n">
        <v>0</v>
      </c>
      <c r="I672" t="n">
        <v>0</v>
      </c>
      <c r="J672" t="n">
        <v>0</v>
      </c>
      <c r="K672" t="n">
        <v>0</v>
      </c>
      <c r="L672" t="n">
        <v>0</v>
      </c>
      <c r="M672" t="n">
        <v>0</v>
      </c>
      <c r="N672" t="n">
        <v>0</v>
      </c>
      <c r="O672" t="n">
        <v>0</v>
      </c>
      <c r="P672" t="n">
        <v>0</v>
      </c>
      <c r="Q672" t="n">
        <v>0</v>
      </c>
      <c r="R672" s="2" t="inlineStr"/>
    </row>
    <row r="673" ht="15" customHeight="1">
      <c r="A673" t="inlineStr">
        <is>
          <t>A 51942-2023</t>
        </is>
      </c>
      <c r="B673" s="1" t="n">
        <v>45223</v>
      </c>
      <c r="C673" s="1" t="n">
        <v>45630</v>
      </c>
      <c r="D673" t="inlineStr">
        <is>
          <t>JÄMTLANDS LÄN</t>
        </is>
      </c>
      <c r="E673" t="inlineStr">
        <is>
          <t>ÖSTERSUND</t>
        </is>
      </c>
      <c r="F673" t="inlineStr">
        <is>
          <t>Övriga Aktiebolag</t>
        </is>
      </c>
      <c r="G673" t="n">
        <v>0.6</v>
      </c>
      <c r="H673" t="n">
        <v>0</v>
      </c>
      <c r="I673" t="n">
        <v>0</v>
      </c>
      <c r="J673" t="n">
        <v>0</v>
      </c>
      <c r="K673" t="n">
        <v>0</v>
      </c>
      <c r="L673" t="n">
        <v>0</v>
      </c>
      <c r="M673" t="n">
        <v>0</v>
      </c>
      <c r="N673" t="n">
        <v>0</v>
      </c>
      <c r="O673" t="n">
        <v>0</v>
      </c>
      <c r="P673" t="n">
        <v>0</v>
      </c>
      <c r="Q673" t="n">
        <v>0</v>
      </c>
      <c r="R673" s="2" t="inlineStr"/>
    </row>
    <row r="674" ht="15" customHeight="1">
      <c r="A674" t="inlineStr">
        <is>
          <t>A 52128-2023</t>
        </is>
      </c>
      <c r="B674" s="1" t="n">
        <v>45223</v>
      </c>
      <c r="C674" s="1" t="n">
        <v>45630</v>
      </c>
      <c r="D674" t="inlineStr">
        <is>
          <t>JÄMTLANDS LÄN</t>
        </is>
      </c>
      <c r="E674" t="inlineStr">
        <is>
          <t>ÖSTERSUND</t>
        </is>
      </c>
      <c r="F674" t="inlineStr">
        <is>
          <t>SCA</t>
        </is>
      </c>
      <c r="G674" t="n">
        <v>11.9</v>
      </c>
      <c r="H674" t="n">
        <v>0</v>
      </c>
      <c r="I674" t="n">
        <v>0</v>
      </c>
      <c r="J674" t="n">
        <v>0</v>
      </c>
      <c r="K674" t="n">
        <v>0</v>
      </c>
      <c r="L674" t="n">
        <v>0</v>
      </c>
      <c r="M674" t="n">
        <v>0</v>
      </c>
      <c r="N674" t="n">
        <v>0</v>
      </c>
      <c r="O674" t="n">
        <v>0</v>
      </c>
      <c r="P674" t="n">
        <v>0</v>
      </c>
      <c r="Q674" t="n">
        <v>0</v>
      </c>
      <c r="R674" s="2" t="inlineStr"/>
    </row>
    <row r="675" ht="15" customHeight="1">
      <c r="A675" t="inlineStr">
        <is>
          <t>A 51936-2023</t>
        </is>
      </c>
      <c r="B675" s="1" t="n">
        <v>45223</v>
      </c>
      <c r="C675" s="1" t="n">
        <v>45630</v>
      </c>
      <c r="D675" t="inlineStr">
        <is>
          <t>JÄMTLANDS LÄN</t>
        </is>
      </c>
      <c r="E675" t="inlineStr">
        <is>
          <t>ÖSTERSUND</t>
        </is>
      </c>
      <c r="G675" t="n">
        <v>8.4</v>
      </c>
      <c r="H675" t="n">
        <v>0</v>
      </c>
      <c r="I675" t="n">
        <v>0</v>
      </c>
      <c r="J675" t="n">
        <v>0</v>
      </c>
      <c r="K675" t="n">
        <v>0</v>
      </c>
      <c r="L675" t="n">
        <v>0</v>
      </c>
      <c r="M675" t="n">
        <v>0</v>
      </c>
      <c r="N675" t="n">
        <v>0</v>
      </c>
      <c r="O675" t="n">
        <v>0</v>
      </c>
      <c r="P675" t="n">
        <v>0</v>
      </c>
      <c r="Q675" t="n">
        <v>0</v>
      </c>
      <c r="R675" s="2" t="inlineStr"/>
    </row>
    <row r="676" ht="15" customHeight="1">
      <c r="A676" t="inlineStr">
        <is>
          <t>A 51941-2023</t>
        </is>
      </c>
      <c r="B676" s="1" t="n">
        <v>45223</v>
      </c>
      <c r="C676" s="1" t="n">
        <v>45630</v>
      </c>
      <c r="D676" t="inlineStr">
        <is>
          <t>JÄMTLANDS LÄN</t>
        </is>
      </c>
      <c r="E676" t="inlineStr">
        <is>
          <t>ÖSTERSUND</t>
        </is>
      </c>
      <c r="G676" t="n">
        <v>4.6</v>
      </c>
      <c r="H676" t="n">
        <v>0</v>
      </c>
      <c r="I676" t="n">
        <v>0</v>
      </c>
      <c r="J676" t="n">
        <v>0</v>
      </c>
      <c r="K676" t="n">
        <v>0</v>
      </c>
      <c r="L676" t="n">
        <v>0</v>
      </c>
      <c r="M676" t="n">
        <v>0</v>
      </c>
      <c r="N676" t="n">
        <v>0</v>
      </c>
      <c r="O676" t="n">
        <v>0</v>
      </c>
      <c r="P676" t="n">
        <v>0</v>
      </c>
      <c r="Q676" t="n">
        <v>0</v>
      </c>
      <c r="R676" s="2" t="inlineStr"/>
    </row>
    <row r="677" ht="15" customHeight="1">
      <c r="A677" t="inlineStr">
        <is>
          <t>A 53378-2023</t>
        </is>
      </c>
      <c r="B677" s="1" t="n">
        <v>45223</v>
      </c>
      <c r="C677" s="1" t="n">
        <v>45630</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53380-2023</t>
        </is>
      </c>
      <c r="B678" s="1" t="n">
        <v>45223</v>
      </c>
      <c r="C678" s="1" t="n">
        <v>45630</v>
      </c>
      <c r="D678" t="inlineStr">
        <is>
          <t>JÄMTLANDS LÄN</t>
        </is>
      </c>
      <c r="E678" t="inlineStr">
        <is>
          <t>ÖSTERSUND</t>
        </is>
      </c>
      <c r="G678" t="n">
        <v>1.7</v>
      </c>
      <c r="H678" t="n">
        <v>0</v>
      </c>
      <c r="I678" t="n">
        <v>0</v>
      </c>
      <c r="J678" t="n">
        <v>0</v>
      </c>
      <c r="K678" t="n">
        <v>0</v>
      </c>
      <c r="L678" t="n">
        <v>0</v>
      </c>
      <c r="M678" t="n">
        <v>0</v>
      </c>
      <c r="N678" t="n">
        <v>0</v>
      </c>
      <c r="O678" t="n">
        <v>0</v>
      </c>
      <c r="P678" t="n">
        <v>0</v>
      </c>
      <c r="Q678" t="n">
        <v>0</v>
      </c>
      <c r="R678" s="2" t="inlineStr"/>
    </row>
    <row r="679" ht="15" customHeight="1">
      <c r="A679" t="inlineStr">
        <is>
          <t>A 52553-2023</t>
        </is>
      </c>
      <c r="B679" s="1" t="n">
        <v>45225</v>
      </c>
      <c r="C679" s="1" t="n">
        <v>45630</v>
      </c>
      <c r="D679" t="inlineStr">
        <is>
          <t>JÄMTLANDS LÄN</t>
        </is>
      </c>
      <c r="E679" t="inlineStr">
        <is>
          <t>ÖSTERSUND</t>
        </is>
      </c>
      <c r="G679" t="n">
        <v>19.9</v>
      </c>
      <c r="H679" t="n">
        <v>0</v>
      </c>
      <c r="I679" t="n">
        <v>0</v>
      </c>
      <c r="J679" t="n">
        <v>0</v>
      </c>
      <c r="K679" t="n">
        <v>0</v>
      </c>
      <c r="L679" t="n">
        <v>0</v>
      </c>
      <c r="M679" t="n">
        <v>0</v>
      </c>
      <c r="N679" t="n">
        <v>0</v>
      </c>
      <c r="O679" t="n">
        <v>0</v>
      </c>
      <c r="P679" t="n">
        <v>0</v>
      </c>
      <c r="Q679" t="n">
        <v>0</v>
      </c>
      <c r="R679" s="2" t="inlineStr"/>
    </row>
    <row r="680" ht="15" customHeight="1">
      <c r="A680" t="inlineStr">
        <is>
          <t>A 55235-2023</t>
        </is>
      </c>
      <c r="B680" s="1" t="n">
        <v>45231</v>
      </c>
      <c r="C680" s="1" t="n">
        <v>45630</v>
      </c>
      <c r="D680" t="inlineStr">
        <is>
          <t>JÄMTLANDS LÄN</t>
        </is>
      </c>
      <c r="E680" t="inlineStr">
        <is>
          <t>ÖSTERSUND</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55251-2023</t>
        </is>
      </c>
      <c r="B681" s="1" t="n">
        <v>45231</v>
      </c>
      <c r="C681" s="1" t="n">
        <v>45630</v>
      </c>
      <c r="D681" t="inlineStr">
        <is>
          <t>JÄMTLANDS LÄN</t>
        </is>
      </c>
      <c r="E681" t="inlineStr">
        <is>
          <t>ÖSTERSUND</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55400-2023</t>
        </is>
      </c>
      <c r="B682" s="1" t="n">
        <v>45231</v>
      </c>
      <c r="C682" s="1" t="n">
        <v>45630</v>
      </c>
      <c r="D682" t="inlineStr">
        <is>
          <t>JÄMTLANDS LÄN</t>
        </is>
      </c>
      <c r="E682" t="inlineStr">
        <is>
          <t>ÖSTERSUND</t>
        </is>
      </c>
      <c r="G682" t="n">
        <v>1.7</v>
      </c>
      <c r="H682" t="n">
        <v>0</v>
      </c>
      <c r="I682" t="n">
        <v>0</v>
      </c>
      <c r="J682" t="n">
        <v>0</v>
      </c>
      <c r="K682" t="n">
        <v>0</v>
      </c>
      <c r="L682" t="n">
        <v>0</v>
      </c>
      <c r="M682" t="n">
        <v>0</v>
      </c>
      <c r="N682" t="n">
        <v>0</v>
      </c>
      <c r="O682" t="n">
        <v>0</v>
      </c>
      <c r="P682" t="n">
        <v>0</v>
      </c>
      <c r="Q682" t="n">
        <v>0</v>
      </c>
      <c r="R682" s="2" t="inlineStr"/>
    </row>
    <row r="683" ht="15" customHeight="1">
      <c r="A683" t="inlineStr">
        <is>
          <t>A 54131-2023</t>
        </is>
      </c>
      <c r="B683" s="1" t="n">
        <v>45232</v>
      </c>
      <c r="C683" s="1" t="n">
        <v>45630</v>
      </c>
      <c r="D683" t="inlineStr">
        <is>
          <t>JÄMTLANDS LÄN</t>
        </is>
      </c>
      <c r="E683" t="inlineStr">
        <is>
          <t>ÖSTERSUND</t>
        </is>
      </c>
      <c r="G683" t="n">
        <v>5.5</v>
      </c>
      <c r="H683" t="n">
        <v>0</v>
      </c>
      <c r="I683" t="n">
        <v>0</v>
      </c>
      <c r="J683" t="n">
        <v>0</v>
      </c>
      <c r="K683" t="n">
        <v>0</v>
      </c>
      <c r="L683" t="n">
        <v>0</v>
      </c>
      <c r="M683" t="n">
        <v>0</v>
      </c>
      <c r="N683" t="n">
        <v>0</v>
      </c>
      <c r="O683" t="n">
        <v>0</v>
      </c>
      <c r="P683" t="n">
        <v>0</v>
      </c>
      <c r="Q683" t="n">
        <v>0</v>
      </c>
      <c r="R683" s="2" t="inlineStr"/>
    </row>
    <row r="684" ht="15" customHeight="1">
      <c r="A684" t="inlineStr">
        <is>
          <t>A 54608-2023</t>
        </is>
      </c>
      <c r="B684" s="1" t="n">
        <v>45233</v>
      </c>
      <c r="C684" s="1" t="n">
        <v>45630</v>
      </c>
      <c r="D684" t="inlineStr">
        <is>
          <t>JÄMTLANDS LÄN</t>
        </is>
      </c>
      <c r="E684" t="inlineStr">
        <is>
          <t>ÖSTERSUND</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55996-2023</t>
        </is>
      </c>
      <c r="B685" s="1" t="n">
        <v>45233</v>
      </c>
      <c r="C685" s="1" t="n">
        <v>45630</v>
      </c>
      <c r="D685" t="inlineStr">
        <is>
          <t>JÄMTLANDS LÄN</t>
        </is>
      </c>
      <c r="E685" t="inlineStr">
        <is>
          <t>ÖSTERSUND</t>
        </is>
      </c>
      <c r="G685" t="n">
        <v>2.4</v>
      </c>
      <c r="H685" t="n">
        <v>0</v>
      </c>
      <c r="I685" t="n">
        <v>0</v>
      </c>
      <c r="J685" t="n">
        <v>0</v>
      </c>
      <c r="K685" t="n">
        <v>0</v>
      </c>
      <c r="L685" t="n">
        <v>0</v>
      </c>
      <c r="M685" t="n">
        <v>0</v>
      </c>
      <c r="N685" t="n">
        <v>0</v>
      </c>
      <c r="O685" t="n">
        <v>0</v>
      </c>
      <c r="P685" t="n">
        <v>0</v>
      </c>
      <c r="Q685" t="n">
        <v>0</v>
      </c>
      <c r="R685" s="2" t="inlineStr"/>
    </row>
    <row r="686" ht="15" customHeight="1">
      <c r="A686" t="inlineStr">
        <is>
          <t>A 56043-2023</t>
        </is>
      </c>
      <c r="B686" s="1" t="n">
        <v>45233</v>
      </c>
      <c r="C686" s="1" t="n">
        <v>45630</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54576-2023</t>
        </is>
      </c>
      <c r="B687" s="1" t="n">
        <v>45233</v>
      </c>
      <c r="C687" s="1" t="n">
        <v>45630</v>
      </c>
      <c r="D687" t="inlineStr">
        <is>
          <t>JÄMTLANDS LÄN</t>
        </is>
      </c>
      <c r="E687" t="inlineStr">
        <is>
          <t>ÖSTERSUND</t>
        </is>
      </c>
      <c r="F687" t="inlineStr">
        <is>
          <t>Övriga Aktiebolag</t>
        </is>
      </c>
      <c r="G687" t="n">
        <v>7.3</v>
      </c>
      <c r="H687" t="n">
        <v>0</v>
      </c>
      <c r="I687" t="n">
        <v>0</v>
      </c>
      <c r="J687" t="n">
        <v>0</v>
      </c>
      <c r="K687" t="n">
        <v>0</v>
      </c>
      <c r="L687" t="n">
        <v>0</v>
      </c>
      <c r="M687" t="n">
        <v>0</v>
      </c>
      <c r="N687" t="n">
        <v>0</v>
      </c>
      <c r="O687" t="n">
        <v>0</v>
      </c>
      <c r="P687" t="n">
        <v>0</v>
      </c>
      <c r="Q687" t="n">
        <v>0</v>
      </c>
      <c r="R687" s="2" t="inlineStr"/>
    </row>
    <row r="688" ht="15" customHeight="1">
      <c r="A688" t="inlineStr">
        <is>
          <t>A 54762-2023</t>
        </is>
      </c>
      <c r="B688" s="1" t="n">
        <v>45236</v>
      </c>
      <c r="C688" s="1" t="n">
        <v>45630</v>
      </c>
      <c r="D688" t="inlineStr">
        <is>
          <t>JÄMTLANDS LÄN</t>
        </is>
      </c>
      <c r="E688" t="inlineStr">
        <is>
          <t>ÖSTERSUND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54883-2023</t>
        </is>
      </c>
      <c r="B689" s="1" t="n">
        <v>45236</v>
      </c>
      <c r="C689" s="1" t="n">
        <v>45630</v>
      </c>
      <c r="D689" t="inlineStr">
        <is>
          <t>JÄMTLANDS LÄN</t>
        </is>
      </c>
      <c r="E689" t="inlineStr">
        <is>
          <t>ÖSTERSUND</t>
        </is>
      </c>
      <c r="F689" t="inlineStr">
        <is>
          <t>Övriga Aktiebolag</t>
        </is>
      </c>
      <c r="G689" t="n">
        <v>3.2</v>
      </c>
      <c r="H689" t="n">
        <v>0</v>
      </c>
      <c r="I689" t="n">
        <v>0</v>
      </c>
      <c r="J689" t="n">
        <v>0</v>
      </c>
      <c r="K689" t="n">
        <v>0</v>
      </c>
      <c r="L689" t="n">
        <v>0</v>
      </c>
      <c r="M689" t="n">
        <v>0</v>
      </c>
      <c r="N689" t="n">
        <v>0</v>
      </c>
      <c r="O689" t="n">
        <v>0</v>
      </c>
      <c r="P689" t="n">
        <v>0</v>
      </c>
      <c r="Q689" t="n">
        <v>0</v>
      </c>
      <c r="R689" s="2" t="inlineStr"/>
    </row>
    <row r="690" ht="15" customHeight="1">
      <c r="A690" t="inlineStr">
        <is>
          <t>A 54973-2023</t>
        </is>
      </c>
      <c r="B690" s="1" t="n">
        <v>45236</v>
      </c>
      <c r="C690" s="1" t="n">
        <v>45630</v>
      </c>
      <c r="D690" t="inlineStr">
        <is>
          <t>JÄMTLANDS LÄN</t>
        </is>
      </c>
      <c r="E690" t="inlineStr">
        <is>
          <t>ÖSTERSUND</t>
        </is>
      </c>
      <c r="G690" t="n">
        <v>15.4</v>
      </c>
      <c r="H690" t="n">
        <v>0</v>
      </c>
      <c r="I690" t="n">
        <v>0</v>
      </c>
      <c r="J690" t="n">
        <v>0</v>
      </c>
      <c r="K690" t="n">
        <v>0</v>
      </c>
      <c r="L690" t="n">
        <v>0</v>
      </c>
      <c r="M690" t="n">
        <v>0</v>
      </c>
      <c r="N690" t="n">
        <v>0</v>
      </c>
      <c r="O690" t="n">
        <v>0</v>
      </c>
      <c r="P690" t="n">
        <v>0</v>
      </c>
      <c r="Q690" t="n">
        <v>0</v>
      </c>
      <c r="R690" s="2" t="inlineStr"/>
    </row>
    <row r="691" ht="15" customHeight="1">
      <c r="A691" t="inlineStr">
        <is>
          <t>A 55140-2023</t>
        </is>
      </c>
      <c r="B691" s="1" t="n">
        <v>45237</v>
      </c>
      <c r="C691" s="1" t="n">
        <v>45630</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55237-2023</t>
        </is>
      </c>
      <c r="B692" s="1" t="n">
        <v>45237</v>
      </c>
      <c r="C692" s="1" t="n">
        <v>45630</v>
      </c>
      <c r="D692" t="inlineStr">
        <is>
          <t>JÄMTLANDS LÄN</t>
        </is>
      </c>
      <c r="E692" t="inlineStr">
        <is>
          <t>ÖSTERSUND</t>
        </is>
      </c>
      <c r="G692" t="n">
        <v>2.7</v>
      </c>
      <c r="H692" t="n">
        <v>0</v>
      </c>
      <c r="I692" t="n">
        <v>0</v>
      </c>
      <c r="J692" t="n">
        <v>0</v>
      </c>
      <c r="K692" t="n">
        <v>0</v>
      </c>
      <c r="L692" t="n">
        <v>0</v>
      </c>
      <c r="M692" t="n">
        <v>0</v>
      </c>
      <c r="N692" t="n">
        <v>0</v>
      </c>
      <c r="O692" t="n">
        <v>0</v>
      </c>
      <c r="P692" t="n">
        <v>0</v>
      </c>
      <c r="Q692" t="n">
        <v>0</v>
      </c>
      <c r="R692" s="2" t="inlineStr"/>
    </row>
    <row r="693" ht="15" customHeight="1">
      <c r="A693" t="inlineStr">
        <is>
          <t>A 55233-2023</t>
        </is>
      </c>
      <c r="B693" s="1" t="n">
        <v>45237</v>
      </c>
      <c r="C693" s="1" t="n">
        <v>45630</v>
      </c>
      <c r="D693" t="inlineStr">
        <is>
          <t>JÄMTLANDS LÄN</t>
        </is>
      </c>
      <c r="E693" t="inlineStr">
        <is>
          <t>ÖSTERSUND</t>
        </is>
      </c>
      <c r="G693" t="n">
        <v>1.9</v>
      </c>
      <c r="H693" t="n">
        <v>0</v>
      </c>
      <c r="I693" t="n">
        <v>0</v>
      </c>
      <c r="J693" t="n">
        <v>0</v>
      </c>
      <c r="K693" t="n">
        <v>0</v>
      </c>
      <c r="L693" t="n">
        <v>0</v>
      </c>
      <c r="M693" t="n">
        <v>0</v>
      </c>
      <c r="N693" t="n">
        <v>0</v>
      </c>
      <c r="O693" t="n">
        <v>0</v>
      </c>
      <c r="P693" t="n">
        <v>0</v>
      </c>
      <c r="Q693" t="n">
        <v>0</v>
      </c>
      <c r="R693" s="2" t="inlineStr"/>
    </row>
    <row r="694" ht="15" customHeight="1">
      <c r="A694" t="inlineStr">
        <is>
          <t>A 56440-2023</t>
        </is>
      </c>
      <c r="B694" s="1" t="n">
        <v>45237</v>
      </c>
      <c r="C694" s="1" t="n">
        <v>45630</v>
      </c>
      <c r="D694" t="inlineStr">
        <is>
          <t>JÄMTLANDS LÄN</t>
        </is>
      </c>
      <c r="E694" t="inlineStr">
        <is>
          <t>ÖSTERSUND</t>
        </is>
      </c>
      <c r="G694" t="n">
        <v>10.2</v>
      </c>
      <c r="H694" t="n">
        <v>0</v>
      </c>
      <c r="I694" t="n">
        <v>0</v>
      </c>
      <c r="J694" t="n">
        <v>0</v>
      </c>
      <c r="K694" t="n">
        <v>0</v>
      </c>
      <c r="L694" t="n">
        <v>0</v>
      </c>
      <c r="M694" t="n">
        <v>0</v>
      </c>
      <c r="N694" t="n">
        <v>0</v>
      </c>
      <c r="O694" t="n">
        <v>0</v>
      </c>
      <c r="P694" t="n">
        <v>0</v>
      </c>
      <c r="Q694" t="n">
        <v>0</v>
      </c>
      <c r="R694" s="2" t="inlineStr"/>
    </row>
    <row r="695" ht="15" customHeight="1">
      <c r="A695" t="inlineStr">
        <is>
          <t>A 55666-2023</t>
        </is>
      </c>
      <c r="B695" s="1" t="n">
        <v>45239</v>
      </c>
      <c r="C695" s="1" t="n">
        <v>45630</v>
      </c>
      <c r="D695" t="inlineStr">
        <is>
          <t>JÄMTLANDS LÄN</t>
        </is>
      </c>
      <c r="E695" t="inlineStr">
        <is>
          <t>ÖSTERSUND</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56597-2023</t>
        </is>
      </c>
      <c r="B696" s="1" t="n">
        <v>45238</v>
      </c>
      <c r="C696" s="1" t="n">
        <v>45630</v>
      </c>
      <c r="D696" t="inlineStr">
        <is>
          <t>JÄMTLANDS LÄN</t>
        </is>
      </c>
      <c r="E696" t="inlineStr">
        <is>
          <t>ÖSTERSUND</t>
        </is>
      </c>
      <c r="G696" t="n">
        <v>5.1</v>
      </c>
      <c r="H696" t="n">
        <v>0</v>
      </c>
      <c r="I696" t="n">
        <v>0</v>
      </c>
      <c r="J696" t="n">
        <v>0</v>
      </c>
      <c r="K696" t="n">
        <v>0</v>
      </c>
      <c r="L696" t="n">
        <v>0</v>
      </c>
      <c r="M696" t="n">
        <v>0</v>
      </c>
      <c r="N696" t="n">
        <v>0</v>
      </c>
      <c r="O696" t="n">
        <v>0</v>
      </c>
      <c r="P696" t="n">
        <v>0</v>
      </c>
      <c r="Q696" t="n">
        <v>0</v>
      </c>
      <c r="R696" s="2" t="inlineStr"/>
    </row>
    <row r="697" ht="15" customHeight="1">
      <c r="A697" t="inlineStr">
        <is>
          <t>A 55678-2023</t>
        </is>
      </c>
      <c r="B697" s="1" t="n">
        <v>45239</v>
      </c>
      <c r="C697" s="1" t="n">
        <v>45630</v>
      </c>
      <c r="D697" t="inlineStr">
        <is>
          <t>JÄMTLANDS LÄN</t>
        </is>
      </c>
      <c r="E697" t="inlineStr">
        <is>
          <t>ÖSTERSUND</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55785-2023</t>
        </is>
      </c>
      <c r="B698" s="1" t="n">
        <v>45239</v>
      </c>
      <c r="C698" s="1" t="n">
        <v>45630</v>
      </c>
      <c r="D698" t="inlineStr">
        <is>
          <t>JÄMTLANDS LÄN</t>
        </is>
      </c>
      <c r="E698" t="inlineStr">
        <is>
          <t>ÖSTERSUND</t>
        </is>
      </c>
      <c r="F698" t="inlineStr">
        <is>
          <t>Övriga Aktiebolag</t>
        </is>
      </c>
      <c r="G698" t="n">
        <v>16.4</v>
      </c>
      <c r="H698" t="n">
        <v>0</v>
      </c>
      <c r="I698" t="n">
        <v>0</v>
      </c>
      <c r="J698" t="n">
        <v>0</v>
      </c>
      <c r="K698" t="n">
        <v>0</v>
      </c>
      <c r="L698" t="n">
        <v>0</v>
      </c>
      <c r="M698" t="n">
        <v>0</v>
      </c>
      <c r="N698" t="n">
        <v>0</v>
      </c>
      <c r="O698" t="n">
        <v>0</v>
      </c>
      <c r="P698" t="n">
        <v>0</v>
      </c>
      <c r="Q698" t="n">
        <v>0</v>
      </c>
      <c r="R698" s="2" t="inlineStr"/>
    </row>
    <row r="699" ht="15" customHeight="1">
      <c r="A699" t="inlineStr">
        <is>
          <t>A 55827-2023</t>
        </is>
      </c>
      <c r="B699" s="1" t="n">
        <v>45239</v>
      </c>
      <c r="C699" s="1" t="n">
        <v>45630</v>
      </c>
      <c r="D699" t="inlineStr">
        <is>
          <t>JÄMTLANDS LÄN</t>
        </is>
      </c>
      <c r="E699" t="inlineStr">
        <is>
          <t>ÖSTERSUND</t>
        </is>
      </c>
      <c r="F699" t="inlineStr">
        <is>
          <t>Övriga Aktiebolag</t>
        </is>
      </c>
      <c r="G699" t="n">
        <v>9.1</v>
      </c>
      <c r="H699" t="n">
        <v>0</v>
      </c>
      <c r="I699" t="n">
        <v>0</v>
      </c>
      <c r="J699" t="n">
        <v>0</v>
      </c>
      <c r="K699" t="n">
        <v>0</v>
      </c>
      <c r="L699" t="n">
        <v>0</v>
      </c>
      <c r="M699" t="n">
        <v>0</v>
      </c>
      <c r="N699" t="n">
        <v>0</v>
      </c>
      <c r="O699" t="n">
        <v>0</v>
      </c>
      <c r="P699" t="n">
        <v>0</v>
      </c>
      <c r="Q699" t="n">
        <v>0</v>
      </c>
      <c r="R699" s="2" t="inlineStr"/>
    </row>
    <row r="700" ht="15" customHeight="1">
      <c r="A700" t="inlineStr">
        <is>
          <t>A 56465-2023</t>
        </is>
      </c>
      <c r="B700" s="1" t="n">
        <v>45243</v>
      </c>
      <c r="C700" s="1" t="n">
        <v>45630</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56478-2023</t>
        </is>
      </c>
      <c r="B701" s="1" t="n">
        <v>45243</v>
      </c>
      <c r="C701" s="1" t="n">
        <v>45630</v>
      </c>
      <c r="D701" t="inlineStr">
        <is>
          <t>JÄMTLANDS LÄN</t>
        </is>
      </c>
      <c r="E701" t="inlineStr">
        <is>
          <t>ÖSTERSUND</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57863-2023</t>
        </is>
      </c>
      <c r="B702" s="1" t="n">
        <v>45244</v>
      </c>
      <c r="C702" s="1" t="n">
        <v>45630</v>
      </c>
      <c r="D702" t="inlineStr">
        <is>
          <t>JÄMTLANDS LÄN</t>
        </is>
      </c>
      <c r="E702" t="inlineStr">
        <is>
          <t>ÖSTERSUND</t>
        </is>
      </c>
      <c r="G702" t="n">
        <v>0.7</v>
      </c>
      <c r="H702" t="n">
        <v>0</v>
      </c>
      <c r="I702" t="n">
        <v>0</v>
      </c>
      <c r="J702" t="n">
        <v>0</v>
      </c>
      <c r="K702" t="n">
        <v>0</v>
      </c>
      <c r="L702" t="n">
        <v>0</v>
      </c>
      <c r="M702" t="n">
        <v>0</v>
      </c>
      <c r="N702" t="n">
        <v>0</v>
      </c>
      <c r="O702" t="n">
        <v>0</v>
      </c>
      <c r="P702" t="n">
        <v>0</v>
      </c>
      <c r="Q702" t="n">
        <v>0</v>
      </c>
      <c r="R702" s="2" t="inlineStr"/>
    </row>
    <row r="703" ht="15" customHeight="1">
      <c r="A703" t="inlineStr">
        <is>
          <t>A 57398-2023</t>
        </is>
      </c>
      <c r="B703" s="1" t="n">
        <v>45245</v>
      </c>
      <c r="C703" s="1" t="n">
        <v>45630</v>
      </c>
      <c r="D703" t="inlineStr">
        <is>
          <t>JÄMTLANDS LÄN</t>
        </is>
      </c>
      <c r="E703" t="inlineStr">
        <is>
          <t>ÖSTERSUND</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58809-2023</t>
        </is>
      </c>
      <c r="B704" s="1" t="n">
        <v>45247</v>
      </c>
      <c r="C704" s="1" t="n">
        <v>45630</v>
      </c>
      <c r="D704" t="inlineStr">
        <is>
          <t>JÄMTLANDS LÄN</t>
        </is>
      </c>
      <c r="E704" t="inlineStr">
        <is>
          <t>ÖSTERSUND</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58818-2023</t>
        </is>
      </c>
      <c r="B705" s="1" t="n">
        <v>45247</v>
      </c>
      <c r="C705" s="1" t="n">
        <v>45630</v>
      </c>
      <c r="D705" t="inlineStr">
        <is>
          <t>JÄMTLANDS LÄN</t>
        </is>
      </c>
      <c r="E705" t="inlineStr">
        <is>
          <t>ÖSTERSUND</t>
        </is>
      </c>
      <c r="G705" t="n">
        <v>6.7</v>
      </c>
      <c r="H705" t="n">
        <v>0</v>
      </c>
      <c r="I705" t="n">
        <v>0</v>
      </c>
      <c r="J705" t="n">
        <v>0</v>
      </c>
      <c r="K705" t="n">
        <v>0</v>
      </c>
      <c r="L705" t="n">
        <v>0</v>
      </c>
      <c r="M705" t="n">
        <v>0</v>
      </c>
      <c r="N705" t="n">
        <v>0</v>
      </c>
      <c r="O705" t="n">
        <v>0</v>
      </c>
      <c r="P705" t="n">
        <v>0</v>
      </c>
      <c r="Q705" t="n">
        <v>0</v>
      </c>
      <c r="R705" s="2" t="inlineStr"/>
    </row>
    <row r="706" ht="15" customHeight="1">
      <c r="A706" t="inlineStr">
        <is>
          <t>A 57839-2023</t>
        </is>
      </c>
      <c r="B706" s="1" t="n">
        <v>45247</v>
      </c>
      <c r="C706" s="1" t="n">
        <v>45630</v>
      </c>
      <c r="D706" t="inlineStr">
        <is>
          <t>JÄMTLANDS LÄN</t>
        </is>
      </c>
      <c r="E706" t="inlineStr">
        <is>
          <t>ÖSTERSUND</t>
        </is>
      </c>
      <c r="G706" t="n">
        <v>6.1</v>
      </c>
      <c r="H706" t="n">
        <v>0</v>
      </c>
      <c r="I706" t="n">
        <v>0</v>
      </c>
      <c r="J706" t="n">
        <v>0</v>
      </c>
      <c r="K706" t="n">
        <v>0</v>
      </c>
      <c r="L706" t="n">
        <v>0</v>
      </c>
      <c r="M706" t="n">
        <v>0</v>
      </c>
      <c r="N706" t="n">
        <v>0</v>
      </c>
      <c r="O706" t="n">
        <v>0</v>
      </c>
      <c r="P706" t="n">
        <v>0</v>
      </c>
      <c r="Q706" t="n">
        <v>0</v>
      </c>
      <c r="R706" s="2" t="inlineStr"/>
    </row>
    <row r="707" ht="15" customHeight="1">
      <c r="A707" t="inlineStr">
        <is>
          <t>A 59021-2023</t>
        </is>
      </c>
      <c r="B707" s="1" t="n">
        <v>45250</v>
      </c>
      <c r="C707" s="1" t="n">
        <v>45630</v>
      </c>
      <c r="D707" t="inlineStr">
        <is>
          <t>JÄMTLANDS LÄN</t>
        </is>
      </c>
      <c r="E707" t="inlineStr">
        <is>
          <t>ÖSTERSUND</t>
        </is>
      </c>
      <c r="G707" t="n">
        <v>7</v>
      </c>
      <c r="H707" t="n">
        <v>0</v>
      </c>
      <c r="I707" t="n">
        <v>0</v>
      </c>
      <c r="J707" t="n">
        <v>0</v>
      </c>
      <c r="K707" t="n">
        <v>0</v>
      </c>
      <c r="L707" t="n">
        <v>0</v>
      </c>
      <c r="M707" t="n">
        <v>0</v>
      </c>
      <c r="N707" t="n">
        <v>0</v>
      </c>
      <c r="O707" t="n">
        <v>0</v>
      </c>
      <c r="P707" t="n">
        <v>0</v>
      </c>
      <c r="Q707" t="n">
        <v>0</v>
      </c>
      <c r="R707" s="2" t="inlineStr"/>
    </row>
    <row r="708" ht="15" customHeight="1">
      <c r="A708" t="inlineStr">
        <is>
          <t>A 59094-2023</t>
        </is>
      </c>
      <c r="B708" s="1" t="n">
        <v>45253</v>
      </c>
      <c r="C708" s="1" t="n">
        <v>45630</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59095-2023</t>
        </is>
      </c>
      <c r="B709" s="1" t="n">
        <v>45253</v>
      </c>
      <c r="C709" s="1" t="n">
        <v>45630</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59611-2023</t>
        </is>
      </c>
      <c r="B710" s="1" t="n">
        <v>45254</v>
      </c>
      <c r="C710" s="1" t="n">
        <v>45630</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59953-2023</t>
        </is>
      </c>
      <c r="B711" s="1" t="n">
        <v>45254</v>
      </c>
      <c r="C711" s="1" t="n">
        <v>45630</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59694-2023</t>
        </is>
      </c>
      <c r="B712" s="1" t="n">
        <v>45256</v>
      </c>
      <c r="C712" s="1" t="n">
        <v>45630</v>
      </c>
      <c r="D712" t="inlineStr">
        <is>
          <t>JÄMTLANDS LÄN</t>
        </is>
      </c>
      <c r="E712" t="inlineStr">
        <is>
          <t>ÖSTERSUND</t>
        </is>
      </c>
      <c r="G712" t="n">
        <v>4.1</v>
      </c>
      <c r="H712" t="n">
        <v>0</v>
      </c>
      <c r="I712" t="n">
        <v>0</v>
      </c>
      <c r="J712" t="n">
        <v>0</v>
      </c>
      <c r="K712" t="n">
        <v>0</v>
      </c>
      <c r="L712" t="n">
        <v>0</v>
      </c>
      <c r="M712" t="n">
        <v>0</v>
      </c>
      <c r="N712" t="n">
        <v>0</v>
      </c>
      <c r="O712" t="n">
        <v>0</v>
      </c>
      <c r="P712" t="n">
        <v>0</v>
      </c>
      <c r="Q712" t="n">
        <v>0</v>
      </c>
      <c r="R712" s="2" t="inlineStr"/>
    </row>
    <row r="713" ht="15" customHeight="1">
      <c r="A713" t="inlineStr">
        <is>
          <t>A 59813-2023</t>
        </is>
      </c>
      <c r="B713" s="1" t="n">
        <v>45257</v>
      </c>
      <c r="C713" s="1" t="n">
        <v>45630</v>
      </c>
      <c r="D713" t="inlineStr">
        <is>
          <t>JÄMTLANDS LÄN</t>
        </is>
      </c>
      <c r="E713" t="inlineStr">
        <is>
          <t>ÖSTERSUND</t>
        </is>
      </c>
      <c r="G713" t="n">
        <v>3.8</v>
      </c>
      <c r="H713" t="n">
        <v>0</v>
      </c>
      <c r="I713" t="n">
        <v>0</v>
      </c>
      <c r="J713" t="n">
        <v>0</v>
      </c>
      <c r="K713" t="n">
        <v>0</v>
      </c>
      <c r="L713" t="n">
        <v>0</v>
      </c>
      <c r="M713" t="n">
        <v>0</v>
      </c>
      <c r="N713" t="n">
        <v>0</v>
      </c>
      <c r="O713" t="n">
        <v>0</v>
      </c>
      <c r="P713" t="n">
        <v>0</v>
      </c>
      <c r="Q713" t="n">
        <v>0</v>
      </c>
      <c r="R713" s="2" t="inlineStr"/>
    </row>
    <row r="714" ht="15" customHeight="1">
      <c r="A714" t="inlineStr">
        <is>
          <t>A 60029-2023</t>
        </is>
      </c>
      <c r="B714" s="1" t="n">
        <v>45258</v>
      </c>
      <c r="C714" s="1" t="n">
        <v>45630</v>
      </c>
      <c r="D714" t="inlineStr">
        <is>
          <t>JÄMTLANDS LÄN</t>
        </is>
      </c>
      <c r="E714" t="inlineStr">
        <is>
          <t>ÖSTERSUND</t>
        </is>
      </c>
      <c r="G714" t="n">
        <v>1.8</v>
      </c>
      <c r="H714" t="n">
        <v>0</v>
      </c>
      <c r="I714" t="n">
        <v>0</v>
      </c>
      <c r="J714" t="n">
        <v>0</v>
      </c>
      <c r="K714" t="n">
        <v>0</v>
      </c>
      <c r="L714" t="n">
        <v>0</v>
      </c>
      <c r="M714" t="n">
        <v>0</v>
      </c>
      <c r="N714" t="n">
        <v>0</v>
      </c>
      <c r="O714" t="n">
        <v>0</v>
      </c>
      <c r="P714" t="n">
        <v>0</v>
      </c>
      <c r="Q714" t="n">
        <v>0</v>
      </c>
      <c r="R714" s="2" t="inlineStr"/>
    </row>
    <row r="715" ht="15" customHeight="1">
      <c r="A715" t="inlineStr">
        <is>
          <t>A 60477-2023</t>
        </is>
      </c>
      <c r="B715" s="1" t="n">
        <v>45258</v>
      </c>
      <c r="C715" s="1" t="n">
        <v>45630</v>
      </c>
      <c r="D715" t="inlineStr">
        <is>
          <t>JÄMTLANDS LÄN</t>
        </is>
      </c>
      <c r="E715" t="inlineStr">
        <is>
          <t>ÖSTERSUND</t>
        </is>
      </c>
      <c r="G715" t="n">
        <v>0.8</v>
      </c>
      <c r="H715" t="n">
        <v>0</v>
      </c>
      <c r="I715" t="n">
        <v>0</v>
      </c>
      <c r="J715" t="n">
        <v>0</v>
      </c>
      <c r="K715" t="n">
        <v>0</v>
      </c>
      <c r="L715" t="n">
        <v>0</v>
      </c>
      <c r="M715" t="n">
        <v>0</v>
      </c>
      <c r="N715" t="n">
        <v>0</v>
      </c>
      <c r="O715" t="n">
        <v>0</v>
      </c>
      <c r="P715" t="n">
        <v>0</v>
      </c>
      <c r="Q715" t="n">
        <v>0</v>
      </c>
      <c r="R715" s="2" t="inlineStr"/>
    </row>
    <row r="716" ht="15" customHeight="1">
      <c r="A716" t="inlineStr">
        <is>
          <t>A 60794-2023</t>
        </is>
      </c>
      <c r="B716" s="1" t="n">
        <v>45260</v>
      </c>
      <c r="C716" s="1" t="n">
        <v>45630</v>
      </c>
      <c r="D716" t="inlineStr">
        <is>
          <t>JÄMTLANDS LÄN</t>
        </is>
      </c>
      <c r="E716" t="inlineStr">
        <is>
          <t>ÖSTERSUND</t>
        </is>
      </c>
      <c r="G716" t="n">
        <v>3.6</v>
      </c>
      <c r="H716" t="n">
        <v>0</v>
      </c>
      <c r="I716" t="n">
        <v>0</v>
      </c>
      <c r="J716" t="n">
        <v>0</v>
      </c>
      <c r="K716" t="n">
        <v>0</v>
      </c>
      <c r="L716" t="n">
        <v>0</v>
      </c>
      <c r="M716" t="n">
        <v>0</v>
      </c>
      <c r="N716" t="n">
        <v>0</v>
      </c>
      <c r="O716" t="n">
        <v>0</v>
      </c>
      <c r="P716" t="n">
        <v>0</v>
      </c>
      <c r="Q716" t="n">
        <v>0</v>
      </c>
      <c r="R716" s="2" t="inlineStr"/>
    </row>
    <row r="717" ht="15" customHeight="1">
      <c r="A717" t="inlineStr">
        <is>
          <t>A 60780-2023</t>
        </is>
      </c>
      <c r="B717" s="1" t="n">
        <v>45260</v>
      </c>
      <c r="C717" s="1" t="n">
        <v>45630</v>
      </c>
      <c r="D717" t="inlineStr">
        <is>
          <t>JÄMTLANDS LÄN</t>
        </is>
      </c>
      <c r="E717" t="inlineStr">
        <is>
          <t>ÖSTERSUND</t>
        </is>
      </c>
      <c r="G717" t="n">
        <v>3.7</v>
      </c>
      <c r="H717" t="n">
        <v>0</v>
      </c>
      <c r="I717" t="n">
        <v>0</v>
      </c>
      <c r="J717" t="n">
        <v>0</v>
      </c>
      <c r="K717" t="n">
        <v>0</v>
      </c>
      <c r="L717" t="n">
        <v>0</v>
      </c>
      <c r="M717" t="n">
        <v>0</v>
      </c>
      <c r="N717" t="n">
        <v>0</v>
      </c>
      <c r="O717" t="n">
        <v>0</v>
      </c>
      <c r="P717" t="n">
        <v>0</v>
      </c>
      <c r="Q717" t="n">
        <v>0</v>
      </c>
      <c r="R717" s="2" t="inlineStr"/>
    </row>
    <row r="718" ht="15" customHeight="1">
      <c r="A718" t="inlineStr">
        <is>
          <t>A 61135-2023</t>
        </is>
      </c>
      <c r="B718" s="1" t="n">
        <v>45261</v>
      </c>
      <c r="C718" s="1" t="n">
        <v>45630</v>
      </c>
      <c r="D718" t="inlineStr">
        <is>
          <t>JÄMTLANDS LÄN</t>
        </is>
      </c>
      <c r="E718" t="inlineStr">
        <is>
          <t>ÖSTERSUND</t>
        </is>
      </c>
      <c r="G718" t="n">
        <v>7.3</v>
      </c>
      <c r="H718" t="n">
        <v>0</v>
      </c>
      <c r="I718" t="n">
        <v>0</v>
      </c>
      <c r="J718" t="n">
        <v>0</v>
      </c>
      <c r="K718" t="n">
        <v>0</v>
      </c>
      <c r="L718" t="n">
        <v>0</v>
      </c>
      <c r="M718" t="n">
        <v>0</v>
      </c>
      <c r="N718" t="n">
        <v>0</v>
      </c>
      <c r="O718" t="n">
        <v>0</v>
      </c>
      <c r="P718" t="n">
        <v>0</v>
      </c>
      <c r="Q718" t="n">
        <v>0</v>
      </c>
      <c r="R718" s="2" t="inlineStr"/>
    </row>
    <row r="719" ht="15" customHeight="1">
      <c r="A719" t="inlineStr">
        <is>
          <t>A 61535-2023</t>
        </is>
      </c>
      <c r="B719" s="1" t="n">
        <v>45261</v>
      </c>
      <c r="C719" s="1" t="n">
        <v>45630</v>
      </c>
      <c r="D719" t="inlineStr">
        <is>
          <t>JÄMTLANDS LÄN</t>
        </is>
      </c>
      <c r="E719" t="inlineStr">
        <is>
          <t>ÖSTERSUND</t>
        </is>
      </c>
      <c r="F719" t="inlineStr">
        <is>
          <t>Övriga statliga verk och myndigheter</t>
        </is>
      </c>
      <c r="G719" t="n">
        <v>2.6</v>
      </c>
      <c r="H719" t="n">
        <v>0</v>
      </c>
      <c r="I719" t="n">
        <v>0</v>
      </c>
      <c r="J719" t="n">
        <v>0</v>
      </c>
      <c r="K719" t="n">
        <v>0</v>
      </c>
      <c r="L719" t="n">
        <v>0</v>
      </c>
      <c r="M719" t="n">
        <v>0</v>
      </c>
      <c r="N719" t="n">
        <v>0</v>
      </c>
      <c r="O719" t="n">
        <v>0</v>
      </c>
      <c r="P719" t="n">
        <v>0</v>
      </c>
      <c r="Q719" t="n">
        <v>0</v>
      </c>
      <c r="R719" s="2" t="inlineStr"/>
    </row>
    <row r="720" ht="15" customHeight="1">
      <c r="A720" t="inlineStr">
        <is>
          <t>A 61530-2023</t>
        </is>
      </c>
      <c r="B720" s="1" t="n">
        <v>45261</v>
      </c>
      <c r="C720" s="1" t="n">
        <v>45630</v>
      </c>
      <c r="D720" t="inlineStr">
        <is>
          <t>JÄMTLANDS LÄN</t>
        </is>
      </c>
      <c r="E720" t="inlineStr">
        <is>
          <t>ÖSTERSUND</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61635-2023</t>
        </is>
      </c>
      <c r="B721" s="1" t="n">
        <v>45261</v>
      </c>
      <c r="C721" s="1" t="n">
        <v>45630</v>
      </c>
      <c r="D721" t="inlineStr">
        <is>
          <t>JÄMTLANDS LÄN</t>
        </is>
      </c>
      <c r="E721" t="inlineStr">
        <is>
          <t>ÖSTERSUND</t>
        </is>
      </c>
      <c r="G721" t="n">
        <v>2.2</v>
      </c>
      <c r="H721" t="n">
        <v>0</v>
      </c>
      <c r="I721" t="n">
        <v>0</v>
      </c>
      <c r="J721" t="n">
        <v>0</v>
      </c>
      <c r="K721" t="n">
        <v>0</v>
      </c>
      <c r="L721" t="n">
        <v>0</v>
      </c>
      <c r="M721" t="n">
        <v>0</v>
      </c>
      <c r="N721" t="n">
        <v>0</v>
      </c>
      <c r="O721" t="n">
        <v>0</v>
      </c>
      <c r="P721" t="n">
        <v>0</v>
      </c>
      <c r="Q721" t="n">
        <v>0</v>
      </c>
      <c r="R721" s="2" t="inlineStr"/>
    </row>
    <row r="722" ht="15" customHeight="1">
      <c r="A722" t="inlineStr">
        <is>
          <t>A 61506-2023</t>
        </is>
      </c>
      <c r="B722" s="1" t="n">
        <v>45264</v>
      </c>
      <c r="C722" s="1" t="n">
        <v>45630</v>
      </c>
      <c r="D722" t="inlineStr">
        <is>
          <t>JÄMTLANDS LÄN</t>
        </is>
      </c>
      <c r="E722" t="inlineStr">
        <is>
          <t>ÖSTERSUND</t>
        </is>
      </c>
      <c r="G722" t="n">
        <v>3</v>
      </c>
      <c r="H722" t="n">
        <v>0</v>
      </c>
      <c r="I722" t="n">
        <v>0</v>
      </c>
      <c r="J722" t="n">
        <v>0</v>
      </c>
      <c r="K722" t="n">
        <v>0</v>
      </c>
      <c r="L722" t="n">
        <v>0</v>
      </c>
      <c r="M722" t="n">
        <v>0</v>
      </c>
      <c r="N722" t="n">
        <v>0</v>
      </c>
      <c r="O722" t="n">
        <v>0</v>
      </c>
      <c r="P722" t="n">
        <v>0</v>
      </c>
      <c r="Q722" t="n">
        <v>0</v>
      </c>
      <c r="R722" s="2" t="inlineStr"/>
    </row>
    <row r="723" ht="15" customHeight="1">
      <c r="A723" t="inlineStr">
        <is>
          <t>A 61499-2023</t>
        </is>
      </c>
      <c r="B723" s="1" t="n">
        <v>45264</v>
      </c>
      <c r="C723" s="1" t="n">
        <v>45630</v>
      </c>
      <c r="D723" t="inlineStr">
        <is>
          <t>JÄMTLANDS LÄN</t>
        </is>
      </c>
      <c r="E723" t="inlineStr">
        <is>
          <t>ÖSTERSUND</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62052-2023</t>
        </is>
      </c>
      <c r="B724" s="1" t="n">
        <v>45265</v>
      </c>
      <c r="C724" s="1" t="n">
        <v>45630</v>
      </c>
      <c r="D724" t="inlineStr">
        <is>
          <t>JÄMTLANDS LÄN</t>
        </is>
      </c>
      <c r="E724" t="inlineStr">
        <is>
          <t>ÖSTERSUND</t>
        </is>
      </c>
      <c r="G724" t="n">
        <v>3.3</v>
      </c>
      <c r="H724" t="n">
        <v>0</v>
      </c>
      <c r="I724" t="n">
        <v>0</v>
      </c>
      <c r="J724" t="n">
        <v>0</v>
      </c>
      <c r="K724" t="n">
        <v>0</v>
      </c>
      <c r="L724" t="n">
        <v>0</v>
      </c>
      <c r="M724" t="n">
        <v>0</v>
      </c>
      <c r="N724" t="n">
        <v>0</v>
      </c>
      <c r="O724" t="n">
        <v>0</v>
      </c>
      <c r="P724" t="n">
        <v>0</v>
      </c>
      <c r="Q724" t="n">
        <v>0</v>
      </c>
      <c r="R724" s="2" t="inlineStr"/>
    </row>
    <row r="725" ht="15" customHeight="1">
      <c r="A725" t="inlineStr">
        <is>
          <t>A 61791-2023</t>
        </is>
      </c>
      <c r="B725" s="1" t="n">
        <v>45265</v>
      </c>
      <c r="C725" s="1" t="n">
        <v>45630</v>
      </c>
      <c r="D725" t="inlineStr">
        <is>
          <t>JÄMTLANDS LÄN</t>
        </is>
      </c>
      <c r="E725" t="inlineStr">
        <is>
          <t>ÖSTERSUND</t>
        </is>
      </c>
      <c r="F725" t="inlineStr">
        <is>
          <t>SCA</t>
        </is>
      </c>
      <c r="G725" t="n">
        <v>11.4</v>
      </c>
      <c r="H725" t="n">
        <v>0</v>
      </c>
      <c r="I725" t="n">
        <v>0</v>
      </c>
      <c r="J725" t="n">
        <v>0</v>
      </c>
      <c r="K725" t="n">
        <v>0</v>
      </c>
      <c r="L725" t="n">
        <v>0</v>
      </c>
      <c r="M725" t="n">
        <v>0</v>
      </c>
      <c r="N725" t="n">
        <v>0</v>
      </c>
      <c r="O725" t="n">
        <v>0</v>
      </c>
      <c r="P725" t="n">
        <v>0</v>
      </c>
      <c r="Q725" t="n">
        <v>0</v>
      </c>
      <c r="R725" s="2" t="inlineStr"/>
    </row>
    <row r="726" ht="15" customHeight="1">
      <c r="A726" t="inlineStr">
        <is>
          <t>A 62835-2023</t>
        </is>
      </c>
      <c r="B726" s="1" t="n">
        <v>45271</v>
      </c>
      <c r="C726" s="1" t="n">
        <v>45630</v>
      </c>
      <c r="D726" t="inlineStr">
        <is>
          <t>JÄMTLANDS LÄN</t>
        </is>
      </c>
      <c r="E726" t="inlineStr">
        <is>
          <t>ÖSTERSUND</t>
        </is>
      </c>
      <c r="F726" t="inlineStr">
        <is>
          <t>SCA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62834-2023</t>
        </is>
      </c>
      <c r="B727" s="1" t="n">
        <v>45271</v>
      </c>
      <c r="C727" s="1" t="n">
        <v>45630</v>
      </c>
      <c r="D727" t="inlineStr">
        <is>
          <t>JÄMTLANDS LÄN</t>
        </is>
      </c>
      <c r="E727" t="inlineStr">
        <is>
          <t>ÖSTERSUND</t>
        </is>
      </c>
      <c r="F727" t="inlineStr">
        <is>
          <t>SCA</t>
        </is>
      </c>
      <c r="G727" t="n">
        <v>12.2</v>
      </c>
      <c r="H727" t="n">
        <v>0</v>
      </c>
      <c r="I727" t="n">
        <v>0</v>
      </c>
      <c r="J727" t="n">
        <v>0</v>
      </c>
      <c r="K727" t="n">
        <v>0</v>
      </c>
      <c r="L727" t="n">
        <v>0</v>
      </c>
      <c r="M727" t="n">
        <v>0</v>
      </c>
      <c r="N727" t="n">
        <v>0</v>
      </c>
      <c r="O727" t="n">
        <v>0</v>
      </c>
      <c r="P727" t="n">
        <v>0</v>
      </c>
      <c r="Q727" t="n">
        <v>0</v>
      </c>
      <c r="R727" s="2" t="inlineStr"/>
    </row>
    <row r="728" ht="15" customHeight="1">
      <c r="A728" t="inlineStr">
        <is>
          <t>A 63086-2023</t>
        </is>
      </c>
      <c r="B728" s="1" t="n">
        <v>45272</v>
      </c>
      <c r="C728" s="1" t="n">
        <v>45630</v>
      </c>
      <c r="D728" t="inlineStr">
        <is>
          <t>JÄMTLANDS LÄN</t>
        </is>
      </c>
      <c r="E728" t="inlineStr">
        <is>
          <t>ÖSTERSUND</t>
        </is>
      </c>
      <c r="F728" t="inlineStr">
        <is>
          <t>Övriga statliga verk och myndigheter</t>
        </is>
      </c>
      <c r="G728" t="n">
        <v>2.9</v>
      </c>
      <c r="H728" t="n">
        <v>0</v>
      </c>
      <c r="I728" t="n">
        <v>0</v>
      </c>
      <c r="J728" t="n">
        <v>0</v>
      </c>
      <c r="K728" t="n">
        <v>0</v>
      </c>
      <c r="L728" t="n">
        <v>0</v>
      </c>
      <c r="M728" t="n">
        <v>0</v>
      </c>
      <c r="N728" t="n">
        <v>0</v>
      </c>
      <c r="O728" t="n">
        <v>0</v>
      </c>
      <c r="P728" t="n">
        <v>0</v>
      </c>
      <c r="Q728" t="n">
        <v>0</v>
      </c>
      <c r="R728" s="2" t="inlineStr"/>
    </row>
    <row r="729" ht="15" customHeight="1">
      <c r="A729" t="inlineStr">
        <is>
          <t>A 63101-2023</t>
        </is>
      </c>
      <c r="B729" s="1" t="n">
        <v>45273</v>
      </c>
      <c r="C729" s="1" t="n">
        <v>45630</v>
      </c>
      <c r="D729" t="inlineStr">
        <is>
          <t>JÄMTLANDS LÄN</t>
        </is>
      </c>
      <c r="E729" t="inlineStr">
        <is>
          <t>ÖSTERSUND</t>
        </is>
      </c>
      <c r="G729" t="n">
        <v>2.1</v>
      </c>
      <c r="H729" t="n">
        <v>0</v>
      </c>
      <c r="I729" t="n">
        <v>0</v>
      </c>
      <c r="J729" t="n">
        <v>0</v>
      </c>
      <c r="K729" t="n">
        <v>0</v>
      </c>
      <c r="L729" t="n">
        <v>0</v>
      </c>
      <c r="M729" t="n">
        <v>0</v>
      </c>
      <c r="N729" t="n">
        <v>0</v>
      </c>
      <c r="O729" t="n">
        <v>0</v>
      </c>
      <c r="P729" t="n">
        <v>0</v>
      </c>
      <c r="Q729" t="n">
        <v>0</v>
      </c>
      <c r="R729" s="2" t="inlineStr"/>
    </row>
    <row r="730" ht="15" customHeight="1">
      <c r="A730" t="inlineStr">
        <is>
          <t>A 63099-2023</t>
        </is>
      </c>
      <c r="B730" s="1" t="n">
        <v>45273</v>
      </c>
      <c r="C730" s="1" t="n">
        <v>45630</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63320-2023</t>
        </is>
      </c>
      <c r="B731" s="1" t="n">
        <v>45273</v>
      </c>
      <c r="C731" s="1" t="n">
        <v>45630</v>
      </c>
      <c r="D731" t="inlineStr">
        <is>
          <t>JÄMTLANDS LÄN</t>
        </is>
      </c>
      <c r="E731" t="inlineStr">
        <is>
          <t>ÖSTERSUND</t>
        </is>
      </c>
      <c r="G731" t="n">
        <v>11.3</v>
      </c>
      <c r="H731" t="n">
        <v>0</v>
      </c>
      <c r="I731" t="n">
        <v>0</v>
      </c>
      <c r="J731" t="n">
        <v>0</v>
      </c>
      <c r="K731" t="n">
        <v>0</v>
      </c>
      <c r="L731" t="n">
        <v>0</v>
      </c>
      <c r="M731" t="n">
        <v>0</v>
      </c>
      <c r="N731" t="n">
        <v>0</v>
      </c>
      <c r="O731" t="n">
        <v>0</v>
      </c>
      <c r="P731" t="n">
        <v>0</v>
      </c>
      <c r="Q731" t="n">
        <v>0</v>
      </c>
      <c r="R731" s="2" t="inlineStr"/>
    </row>
    <row r="732" ht="15" customHeight="1">
      <c r="A732" t="inlineStr">
        <is>
          <t>A 63739-2023</t>
        </is>
      </c>
      <c r="B732" s="1" t="n">
        <v>45277</v>
      </c>
      <c r="C732" s="1" t="n">
        <v>45630</v>
      </c>
      <c r="D732" t="inlineStr">
        <is>
          <t>JÄMTLANDS LÄN</t>
        </is>
      </c>
      <c r="E732" t="inlineStr">
        <is>
          <t>ÖSTERSUND</t>
        </is>
      </c>
      <c r="G732" t="n">
        <v>5.1</v>
      </c>
      <c r="H732" t="n">
        <v>0</v>
      </c>
      <c r="I732" t="n">
        <v>0</v>
      </c>
      <c r="J732" t="n">
        <v>0</v>
      </c>
      <c r="K732" t="n">
        <v>0</v>
      </c>
      <c r="L732" t="n">
        <v>0</v>
      </c>
      <c r="M732" t="n">
        <v>0</v>
      </c>
      <c r="N732" t="n">
        <v>0</v>
      </c>
      <c r="O732" t="n">
        <v>0</v>
      </c>
      <c r="P732" t="n">
        <v>0</v>
      </c>
      <c r="Q732" t="n">
        <v>0</v>
      </c>
      <c r="R732" s="2" t="inlineStr"/>
    </row>
    <row r="733" ht="15" customHeight="1">
      <c r="A733" t="inlineStr">
        <is>
          <t>A 63740-2023</t>
        </is>
      </c>
      <c r="B733" s="1" t="n">
        <v>45277</v>
      </c>
      <c r="C733" s="1" t="n">
        <v>45630</v>
      </c>
      <c r="D733" t="inlineStr">
        <is>
          <t>JÄMTLANDS LÄN</t>
        </is>
      </c>
      <c r="E733" t="inlineStr">
        <is>
          <t>ÖSTERSUND</t>
        </is>
      </c>
      <c r="G733" t="n">
        <v>3.9</v>
      </c>
      <c r="H733" t="n">
        <v>0</v>
      </c>
      <c r="I733" t="n">
        <v>0</v>
      </c>
      <c r="J733" t="n">
        <v>0</v>
      </c>
      <c r="K733" t="n">
        <v>0</v>
      </c>
      <c r="L733" t="n">
        <v>0</v>
      </c>
      <c r="M733" t="n">
        <v>0</v>
      </c>
      <c r="N733" t="n">
        <v>0</v>
      </c>
      <c r="O733" t="n">
        <v>0</v>
      </c>
      <c r="P733" t="n">
        <v>0</v>
      </c>
      <c r="Q733" t="n">
        <v>0</v>
      </c>
      <c r="R733" s="2" t="inlineStr"/>
    </row>
    <row r="734" ht="15" customHeight="1">
      <c r="A734" t="inlineStr">
        <is>
          <t>A 64233-2023</t>
        </is>
      </c>
      <c r="B734" s="1" t="n">
        <v>45279</v>
      </c>
      <c r="C734" s="1" t="n">
        <v>45630</v>
      </c>
      <c r="D734" t="inlineStr">
        <is>
          <t>JÄMTLANDS LÄN</t>
        </is>
      </c>
      <c r="E734" t="inlineStr">
        <is>
          <t>ÖSTERSUND</t>
        </is>
      </c>
      <c r="G734" t="n">
        <v>3.3</v>
      </c>
      <c r="H734" t="n">
        <v>0</v>
      </c>
      <c r="I734" t="n">
        <v>0</v>
      </c>
      <c r="J734" t="n">
        <v>0</v>
      </c>
      <c r="K734" t="n">
        <v>0</v>
      </c>
      <c r="L734" t="n">
        <v>0</v>
      </c>
      <c r="M734" t="n">
        <v>0</v>
      </c>
      <c r="N734" t="n">
        <v>0</v>
      </c>
      <c r="O734" t="n">
        <v>0</v>
      </c>
      <c r="P734" t="n">
        <v>0</v>
      </c>
      <c r="Q734" t="n">
        <v>0</v>
      </c>
      <c r="R734" s="2" t="inlineStr"/>
    </row>
    <row r="735" ht="15" customHeight="1">
      <c r="A735" t="inlineStr">
        <is>
          <t>A 64267-2023</t>
        </is>
      </c>
      <c r="B735" s="1" t="n">
        <v>45279</v>
      </c>
      <c r="C735" s="1" t="n">
        <v>45630</v>
      </c>
      <c r="D735" t="inlineStr">
        <is>
          <t>JÄMTLANDS LÄN</t>
        </is>
      </c>
      <c r="E735" t="inlineStr">
        <is>
          <t>ÖSTERSUND</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64314-2023</t>
        </is>
      </c>
      <c r="B736" s="1" t="n">
        <v>45280</v>
      </c>
      <c r="C736" s="1" t="n">
        <v>45630</v>
      </c>
      <c r="D736" t="inlineStr">
        <is>
          <t>JÄMTLANDS LÄN</t>
        </is>
      </c>
      <c r="E736" t="inlineStr">
        <is>
          <t>ÖSTERSUND</t>
        </is>
      </c>
      <c r="G736" t="n">
        <v>0.6</v>
      </c>
      <c r="H736" t="n">
        <v>0</v>
      </c>
      <c r="I736" t="n">
        <v>0</v>
      </c>
      <c r="J736" t="n">
        <v>0</v>
      </c>
      <c r="K736" t="n">
        <v>0</v>
      </c>
      <c r="L736" t="n">
        <v>0</v>
      </c>
      <c r="M736" t="n">
        <v>0</v>
      </c>
      <c r="N736" t="n">
        <v>0</v>
      </c>
      <c r="O736" t="n">
        <v>0</v>
      </c>
      <c r="P736" t="n">
        <v>0</v>
      </c>
      <c r="Q736" t="n">
        <v>0</v>
      </c>
      <c r="R736" s="2" t="inlineStr"/>
    </row>
    <row r="737" ht="15" customHeight="1">
      <c r="A737" t="inlineStr">
        <is>
          <t>A 64309-2023</t>
        </is>
      </c>
      <c r="B737" s="1" t="n">
        <v>45280</v>
      </c>
      <c r="C737" s="1" t="n">
        <v>45630</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64811-2023</t>
        </is>
      </c>
      <c r="B738" s="1" t="n">
        <v>45281</v>
      </c>
      <c r="C738" s="1" t="n">
        <v>45630</v>
      </c>
      <c r="D738" t="inlineStr">
        <is>
          <t>JÄMTLANDS LÄN</t>
        </is>
      </c>
      <c r="E738" t="inlineStr">
        <is>
          <t>ÖSTERSUND</t>
        </is>
      </c>
      <c r="G738" t="n">
        <v>7.6</v>
      </c>
      <c r="H738" t="n">
        <v>0</v>
      </c>
      <c r="I738" t="n">
        <v>0</v>
      </c>
      <c r="J738" t="n">
        <v>0</v>
      </c>
      <c r="K738" t="n">
        <v>0</v>
      </c>
      <c r="L738" t="n">
        <v>0</v>
      </c>
      <c r="M738" t="n">
        <v>0</v>
      </c>
      <c r="N738" t="n">
        <v>0</v>
      </c>
      <c r="O738" t="n">
        <v>0</v>
      </c>
      <c r="P738" t="n">
        <v>0</v>
      </c>
      <c r="Q738" t="n">
        <v>0</v>
      </c>
      <c r="R738" s="2" t="inlineStr"/>
    </row>
    <row r="739" ht="15" customHeight="1">
      <c r="A739" t="inlineStr">
        <is>
          <t>A 64954-2023</t>
        </is>
      </c>
      <c r="B739" s="1" t="n">
        <v>45282</v>
      </c>
      <c r="C739" s="1" t="n">
        <v>45630</v>
      </c>
      <c r="D739" t="inlineStr">
        <is>
          <t>JÄMTLANDS LÄN</t>
        </is>
      </c>
      <c r="E739" t="inlineStr">
        <is>
          <t>ÖSTERSUND</t>
        </is>
      </c>
      <c r="G739" t="n">
        <v>0.9</v>
      </c>
      <c r="H739" t="n">
        <v>0</v>
      </c>
      <c r="I739" t="n">
        <v>0</v>
      </c>
      <c r="J739" t="n">
        <v>0</v>
      </c>
      <c r="K739" t="n">
        <v>0</v>
      </c>
      <c r="L739" t="n">
        <v>0</v>
      </c>
      <c r="M739" t="n">
        <v>0</v>
      </c>
      <c r="N739" t="n">
        <v>0</v>
      </c>
      <c r="O739" t="n">
        <v>0</v>
      </c>
      <c r="P739" t="n">
        <v>0</v>
      </c>
      <c r="Q739" t="n">
        <v>0</v>
      </c>
      <c r="R739" s="2" t="inlineStr"/>
    </row>
    <row r="740" ht="15" customHeight="1">
      <c r="A740" t="inlineStr">
        <is>
          <t>A 64953-2023</t>
        </is>
      </c>
      <c r="B740" s="1" t="n">
        <v>45282</v>
      </c>
      <c r="C740" s="1" t="n">
        <v>45630</v>
      </c>
      <c r="D740" t="inlineStr">
        <is>
          <t>JÄMTLANDS LÄN</t>
        </is>
      </c>
      <c r="E740" t="inlineStr">
        <is>
          <t>ÖSTERSUND</t>
        </is>
      </c>
      <c r="G740" t="n">
        <v>0.6</v>
      </c>
      <c r="H740" t="n">
        <v>0</v>
      </c>
      <c r="I740" t="n">
        <v>0</v>
      </c>
      <c r="J740" t="n">
        <v>0</v>
      </c>
      <c r="K740" t="n">
        <v>0</v>
      </c>
      <c r="L740" t="n">
        <v>0</v>
      </c>
      <c r="M740" t="n">
        <v>0</v>
      </c>
      <c r="N740" t="n">
        <v>0</v>
      </c>
      <c r="O740" t="n">
        <v>0</v>
      </c>
      <c r="P740" t="n">
        <v>0</v>
      </c>
      <c r="Q740" t="n">
        <v>0</v>
      </c>
      <c r="R740" s="2" t="inlineStr"/>
    </row>
    <row r="741" ht="15" customHeight="1">
      <c r="A741" t="inlineStr">
        <is>
          <t>A 440-2024</t>
        </is>
      </c>
      <c r="B741" s="1" t="n">
        <v>45296</v>
      </c>
      <c r="C741" s="1" t="n">
        <v>45630</v>
      </c>
      <c r="D741" t="inlineStr">
        <is>
          <t>JÄMTLANDS LÄN</t>
        </is>
      </c>
      <c r="E741" t="inlineStr">
        <is>
          <t>ÖSTERSUND</t>
        </is>
      </c>
      <c r="F741" t="inlineStr">
        <is>
          <t>Kommuner</t>
        </is>
      </c>
      <c r="G741" t="n">
        <v>10.1</v>
      </c>
      <c r="H741" t="n">
        <v>0</v>
      </c>
      <c r="I741" t="n">
        <v>0</v>
      </c>
      <c r="J741" t="n">
        <v>0</v>
      </c>
      <c r="K741" t="n">
        <v>0</v>
      </c>
      <c r="L741" t="n">
        <v>0</v>
      </c>
      <c r="M741" t="n">
        <v>0</v>
      </c>
      <c r="N741" t="n">
        <v>0</v>
      </c>
      <c r="O741" t="n">
        <v>0</v>
      </c>
      <c r="P741" t="n">
        <v>0</v>
      </c>
      <c r="Q741" t="n">
        <v>0</v>
      </c>
      <c r="R741" s="2" t="inlineStr"/>
    </row>
    <row r="742" ht="15" customHeight="1">
      <c r="A742" t="inlineStr">
        <is>
          <t>A 484-2024</t>
        </is>
      </c>
      <c r="B742" s="1" t="n">
        <v>45298</v>
      </c>
      <c r="C742" s="1" t="n">
        <v>45630</v>
      </c>
      <c r="D742" t="inlineStr">
        <is>
          <t>JÄMTLANDS LÄN</t>
        </is>
      </c>
      <c r="E742" t="inlineStr">
        <is>
          <t>ÖSTERSUND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485-2024</t>
        </is>
      </c>
      <c r="B743" s="1" t="n">
        <v>45298</v>
      </c>
      <c r="C743" s="1" t="n">
        <v>45630</v>
      </c>
      <c r="D743" t="inlineStr">
        <is>
          <t>JÄMTLANDS LÄN</t>
        </is>
      </c>
      <c r="E743" t="inlineStr">
        <is>
          <t>ÖSTERSUND</t>
        </is>
      </c>
      <c r="G743" t="n">
        <v>0.6</v>
      </c>
      <c r="H743" t="n">
        <v>0</v>
      </c>
      <c r="I743" t="n">
        <v>0</v>
      </c>
      <c r="J743" t="n">
        <v>0</v>
      </c>
      <c r="K743" t="n">
        <v>0</v>
      </c>
      <c r="L743" t="n">
        <v>0</v>
      </c>
      <c r="M743" t="n">
        <v>0</v>
      </c>
      <c r="N743" t="n">
        <v>0</v>
      </c>
      <c r="O743" t="n">
        <v>0</v>
      </c>
      <c r="P743" t="n">
        <v>0</v>
      </c>
      <c r="Q743" t="n">
        <v>0</v>
      </c>
      <c r="R743" s="2" t="inlineStr"/>
    </row>
    <row r="744" ht="15" customHeight="1">
      <c r="A744" t="inlineStr">
        <is>
          <t>A 846-2024</t>
        </is>
      </c>
      <c r="B744" s="1" t="n">
        <v>45300</v>
      </c>
      <c r="C744" s="1" t="n">
        <v>45630</v>
      </c>
      <c r="D744" t="inlineStr">
        <is>
          <t>JÄMTLANDS LÄN</t>
        </is>
      </c>
      <c r="E744" t="inlineStr">
        <is>
          <t>ÖSTERSUND</t>
        </is>
      </c>
      <c r="G744" t="n">
        <v>2.8</v>
      </c>
      <c r="H744" t="n">
        <v>0</v>
      </c>
      <c r="I744" t="n">
        <v>0</v>
      </c>
      <c r="J744" t="n">
        <v>0</v>
      </c>
      <c r="K744" t="n">
        <v>0</v>
      </c>
      <c r="L744" t="n">
        <v>0</v>
      </c>
      <c r="M744" t="n">
        <v>0</v>
      </c>
      <c r="N744" t="n">
        <v>0</v>
      </c>
      <c r="O744" t="n">
        <v>0</v>
      </c>
      <c r="P744" t="n">
        <v>0</v>
      </c>
      <c r="Q744" t="n">
        <v>0</v>
      </c>
      <c r="R744" s="2" t="inlineStr"/>
    </row>
    <row r="745" ht="15" customHeight="1">
      <c r="A745" t="inlineStr">
        <is>
          <t>A 748-2024</t>
        </is>
      </c>
      <c r="B745" s="1" t="n">
        <v>45300</v>
      </c>
      <c r="C745" s="1" t="n">
        <v>45630</v>
      </c>
      <c r="D745" t="inlineStr">
        <is>
          <t>JÄMTLANDS LÄN</t>
        </is>
      </c>
      <c r="E745" t="inlineStr">
        <is>
          <t>ÖSTERSUND</t>
        </is>
      </c>
      <c r="G745" t="n">
        <v>3.3</v>
      </c>
      <c r="H745" t="n">
        <v>0</v>
      </c>
      <c r="I745" t="n">
        <v>0</v>
      </c>
      <c r="J745" t="n">
        <v>0</v>
      </c>
      <c r="K745" t="n">
        <v>0</v>
      </c>
      <c r="L745" t="n">
        <v>0</v>
      </c>
      <c r="M745" t="n">
        <v>0</v>
      </c>
      <c r="N745" t="n">
        <v>0</v>
      </c>
      <c r="O745" t="n">
        <v>0</v>
      </c>
      <c r="P745" t="n">
        <v>0</v>
      </c>
      <c r="Q745" t="n">
        <v>0</v>
      </c>
      <c r="R745" s="2" t="inlineStr"/>
    </row>
    <row r="746" ht="15" customHeight="1">
      <c r="A746" t="inlineStr">
        <is>
          <t>A 1159-2024</t>
        </is>
      </c>
      <c r="B746" s="1" t="n">
        <v>45302</v>
      </c>
      <c r="C746" s="1" t="n">
        <v>45630</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1669-2024</t>
        </is>
      </c>
      <c r="B747" s="1" t="n">
        <v>45306</v>
      </c>
      <c r="C747" s="1" t="n">
        <v>45630</v>
      </c>
      <c r="D747" t="inlineStr">
        <is>
          <t>JÄMTLANDS LÄN</t>
        </is>
      </c>
      <c r="E747" t="inlineStr">
        <is>
          <t>ÖSTERSUND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1670-2024</t>
        </is>
      </c>
      <c r="B748" s="1" t="n">
        <v>45306</v>
      </c>
      <c r="C748" s="1" t="n">
        <v>45630</v>
      </c>
      <c r="D748" t="inlineStr">
        <is>
          <t>JÄMTLANDS LÄN</t>
        </is>
      </c>
      <c r="E748" t="inlineStr">
        <is>
          <t>ÖSTERSUND</t>
        </is>
      </c>
      <c r="G748" t="n">
        <v>1.2</v>
      </c>
      <c r="H748" t="n">
        <v>0</v>
      </c>
      <c r="I748" t="n">
        <v>0</v>
      </c>
      <c r="J748" t="n">
        <v>0</v>
      </c>
      <c r="K748" t="n">
        <v>0</v>
      </c>
      <c r="L748" t="n">
        <v>0</v>
      </c>
      <c r="M748" t="n">
        <v>0</v>
      </c>
      <c r="N748" t="n">
        <v>0</v>
      </c>
      <c r="O748" t="n">
        <v>0</v>
      </c>
      <c r="P748" t="n">
        <v>0</v>
      </c>
      <c r="Q748" t="n">
        <v>0</v>
      </c>
      <c r="R748" s="2" t="inlineStr"/>
    </row>
    <row r="749" ht="15" customHeight="1">
      <c r="A749" t="inlineStr">
        <is>
          <t>A 1873-2024</t>
        </is>
      </c>
      <c r="B749" s="1" t="n">
        <v>45307</v>
      </c>
      <c r="C749" s="1" t="n">
        <v>45630</v>
      </c>
      <c r="D749" t="inlineStr">
        <is>
          <t>JÄMTLANDS LÄN</t>
        </is>
      </c>
      <c r="E749" t="inlineStr">
        <is>
          <t>ÖSTERSUND</t>
        </is>
      </c>
      <c r="G749" t="n">
        <v>4.3</v>
      </c>
      <c r="H749" t="n">
        <v>0</v>
      </c>
      <c r="I749" t="n">
        <v>0</v>
      </c>
      <c r="J749" t="n">
        <v>0</v>
      </c>
      <c r="K749" t="n">
        <v>0</v>
      </c>
      <c r="L749" t="n">
        <v>0</v>
      </c>
      <c r="M749" t="n">
        <v>0</v>
      </c>
      <c r="N749" t="n">
        <v>0</v>
      </c>
      <c r="O749" t="n">
        <v>0</v>
      </c>
      <c r="P749" t="n">
        <v>0</v>
      </c>
      <c r="Q749" t="n">
        <v>0</v>
      </c>
      <c r="R749" s="2" t="inlineStr"/>
    </row>
    <row r="750" ht="15" customHeight="1">
      <c r="A750" t="inlineStr">
        <is>
          <t>A 2228-2024</t>
        </is>
      </c>
      <c r="B750" s="1" t="n">
        <v>45309</v>
      </c>
      <c r="C750" s="1" t="n">
        <v>45630</v>
      </c>
      <c r="D750" t="inlineStr">
        <is>
          <t>JÄMTLANDS LÄN</t>
        </is>
      </c>
      <c r="E750" t="inlineStr">
        <is>
          <t>ÖSTERSUND</t>
        </is>
      </c>
      <c r="G750" t="n">
        <v>2.5</v>
      </c>
      <c r="H750" t="n">
        <v>0</v>
      </c>
      <c r="I750" t="n">
        <v>0</v>
      </c>
      <c r="J750" t="n">
        <v>0</v>
      </c>
      <c r="K750" t="n">
        <v>0</v>
      </c>
      <c r="L750" t="n">
        <v>0</v>
      </c>
      <c r="M750" t="n">
        <v>0</v>
      </c>
      <c r="N750" t="n">
        <v>0</v>
      </c>
      <c r="O750" t="n">
        <v>0</v>
      </c>
      <c r="P750" t="n">
        <v>0</v>
      </c>
      <c r="Q750" t="n">
        <v>0</v>
      </c>
      <c r="R750" s="2" t="inlineStr"/>
    </row>
    <row r="751" ht="15" customHeight="1">
      <c r="A751" t="inlineStr">
        <is>
          <t>A 2615-2024</t>
        </is>
      </c>
      <c r="B751" s="1" t="n">
        <v>45313</v>
      </c>
      <c r="C751" s="1" t="n">
        <v>45630</v>
      </c>
      <c r="D751" t="inlineStr">
        <is>
          <t>JÄMTLANDS LÄN</t>
        </is>
      </c>
      <c r="E751" t="inlineStr">
        <is>
          <t>ÖSTERSUND</t>
        </is>
      </c>
      <c r="G751" t="n">
        <v>1.5</v>
      </c>
      <c r="H751" t="n">
        <v>0</v>
      </c>
      <c r="I751" t="n">
        <v>0</v>
      </c>
      <c r="J751" t="n">
        <v>0</v>
      </c>
      <c r="K751" t="n">
        <v>0</v>
      </c>
      <c r="L751" t="n">
        <v>0</v>
      </c>
      <c r="M751" t="n">
        <v>0</v>
      </c>
      <c r="N751" t="n">
        <v>0</v>
      </c>
      <c r="O751" t="n">
        <v>0</v>
      </c>
      <c r="P751" t="n">
        <v>0</v>
      </c>
      <c r="Q751" t="n">
        <v>0</v>
      </c>
      <c r="R751" s="2" t="inlineStr"/>
    </row>
    <row r="752" ht="15" customHeight="1">
      <c r="A752" t="inlineStr">
        <is>
          <t>A 2627-2024</t>
        </is>
      </c>
      <c r="B752" s="1" t="n">
        <v>45313</v>
      </c>
      <c r="C752" s="1" t="n">
        <v>45630</v>
      </c>
      <c r="D752" t="inlineStr">
        <is>
          <t>JÄMTLANDS LÄN</t>
        </is>
      </c>
      <c r="E752" t="inlineStr">
        <is>
          <t>ÖSTERSUND</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2756-2024</t>
        </is>
      </c>
      <c r="B753" s="1" t="n">
        <v>45314</v>
      </c>
      <c r="C753" s="1" t="n">
        <v>45630</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2984-2024</t>
        </is>
      </c>
      <c r="B754" s="1" t="n">
        <v>45315</v>
      </c>
      <c r="C754" s="1" t="n">
        <v>45630</v>
      </c>
      <c r="D754" t="inlineStr">
        <is>
          <t>JÄMTLANDS LÄN</t>
        </is>
      </c>
      <c r="E754" t="inlineStr">
        <is>
          <t>ÖSTERSUND</t>
        </is>
      </c>
      <c r="G754" t="n">
        <v>0.7</v>
      </c>
      <c r="H754" t="n">
        <v>0</v>
      </c>
      <c r="I754" t="n">
        <v>0</v>
      </c>
      <c r="J754" t="n">
        <v>0</v>
      </c>
      <c r="K754" t="n">
        <v>0</v>
      </c>
      <c r="L754" t="n">
        <v>0</v>
      </c>
      <c r="M754" t="n">
        <v>0</v>
      </c>
      <c r="N754" t="n">
        <v>0</v>
      </c>
      <c r="O754" t="n">
        <v>0</v>
      </c>
      <c r="P754" t="n">
        <v>0</v>
      </c>
      <c r="Q754" t="n">
        <v>0</v>
      </c>
      <c r="R754" s="2" t="inlineStr"/>
    </row>
    <row r="755" ht="15" customHeight="1">
      <c r="A755" t="inlineStr">
        <is>
          <t>A 2978-2024</t>
        </is>
      </c>
      <c r="B755" s="1" t="n">
        <v>45315</v>
      </c>
      <c r="C755" s="1" t="n">
        <v>45630</v>
      </c>
      <c r="D755" t="inlineStr">
        <is>
          <t>JÄMTLANDS LÄN</t>
        </is>
      </c>
      <c r="E755" t="inlineStr">
        <is>
          <t>ÖSTERSUND</t>
        </is>
      </c>
      <c r="G755" t="n">
        <v>1.7</v>
      </c>
      <c r="H755" t="n">
        <v>0</v>
      </c>
      <c r="I755" t="n">
        <v>0</v>
      </c>
      <c r="J755" t="n">
        <v>0</v>
      </c>
      <c r="K755" t="n">
        <v>0</v>
      </c>
      <c r="L755" t="n">
        <v>0</v>
      </c>
      <c r="M755" t="n">
        <v>0</v>
      </c>
      <c r="N755" t="n">
        <v>0</v>
      </c>
      <c r="O755" t="n">
        <v>0</v>
      </c>
      <c r="P755" t="n">
        <v>0</v>
      </c>
      <c r="Q755" t="n">
        <v>0</v>
      </c>
      <c r="R755" s="2" t="inlineStr"/>
    </row>
    <row r="756" ht="15" customHeight="1">
      <c r="A756" t="inlineStr">
        <is>
          <t>A 3186-2024</t>
        </is>
      </c>
      <c r="B756" s="1" t="n">
        <v>45316</v>
      </c>
      <c r="C756" s="1" t="n">
        <v>45630</v>
      </c>
      <c r="D756" t="inlineStr">
        <is>
          <t>JÄMTLANDS LÄN</t>
        </is>
      </c>
      <c r="E756" t="inlineStr">
        <is>
          <t>ÖSTERSUND</t>
        </is>
      </c>
      <c r="G756" t="n">
        <v>5.1</v>
      </c>
      <c r="H756" t="n">
        <v>0</v>
      </c>
      <c r="I756" t="n">
        <v>0</v>
      </c>
      <c r="J756" t="n">
        <v>0</v>
      </c>
      <c r="K756" t="n">
        <v>0</v>
      </c>
      <c r="L756" t="n">
        <v>0</v>
      </c>
      <c r="M756" t="n">
        <v>0</v>
      </c>
      <c r="N756" t="n">
        <v>0</v>
      </c>
      <c r="O756" t="n">
        <v>0</v>
      </c>
      <c r="P756" t="n">
        <v>0</v>
      </c>
      <c r="Q756" t="n">
        <v>0</v>
      </c>
      <c r="R756" s="2" t="inlineStr"/>
    </row>
    <row r="757" ht="15" customHeight="1">
      <c r="A757" t="inlineStr">
        <is>
          <t>A 3230-2024</t>
        </is>
      </c>
      <c r="B757" s="1" t="n">
        <v>45316</v>
      </c>
      <c r="C757" s="1" t="n">
        <v>45630</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3270-2024</t>
        </is>
      </c>
      <c r="B758" s="1" t="n">
        <v>45316</v>
      </c>
      <c r="C758" s="1" t="n">
        <v>45630</v>
      </c>
      <c r="D758" t="inlineStr">
        <is>
          <t>JÄMTLANDS LÄN</t>
        </is>
      </c>
      <c r="E758" t="inlineStr">
        <is>
          <t>ÖSTERSUND</t>
        </is>
      </c>
      <c r="G758" t="n">
        <v>7.5</v>
      </c>
      <c r="H758" t="n">
        <v>0</v>
      </c>
      <c r="I758" t="n">
        <v>0</v>
      </c>
      <c r="J758" t="n">
        <v>0</v>
      </c>
      <c r="K758" t="n">
        <v>0</v>
      </c>
      <c r="L758" t="n">
        <v>0</v>
      </c>
      <c r="M758" t="n">
        <v>0</v>
      </c>
      <c r="N758" t="n">
        <v>0</v>
      </c>
      <c r="O758" t="n">
        <v>0</v>
      </c>
      <c r="P758" t="n">
        <v>0</v>
      </c>
      <c r="Q758" t="n">
        <v>0</v>
      </c>
      <c r="R758" s="2" t="inlineStr"/>
    </row>
    <row r="759" ht="15" customHeight="1">
      <c r="A759" t="inlineStr">
        <is>
          <t>A 3610-2024</t>
        </is>
      </c>
      <c r="B759" s="1" t="n">
        <v>45320</v>
      </c>
      <c r="C759" s="1" t="n">
        <v>45630</v>
      </c>
      <c r="D759" t="inlineStr">
        <is>
          <t>JÄMTLANDS LÄN</t>
        </is>
      </c>
      <c r="E759" t="inlineStr">
        <is>
          <t>ÖSTERSUND</t>
        </is>
      </c>
      <c r="G759" t="n">
        <v>6.2</v>
      </c>
      <c r="H759" t="n">
        <v>0</v>
      </c>
      <c r="I759" t="n">
        <v>0</v>
      </c>
      <c r="J759" t="n">
        <v>0</v>
      </c>
      <c r="K759" t="n">
        <v>0</v>
      </c>
      <c r="L759" t="n">
        <v>0</v>
      </c>
      <c r="M759" t="n">
        <v>0</v>
      </c>
      <c r="N759" t="n">
        <v>0</v>
      </c>
      <c r="O759" t="n">
        <v>0</v>
      </c>
      <c r="P759" t="n">
        <v>0</v>
      </c>
      <c r="Q759" t="n">
        <v>0</v>
      </c>
      <c r="R759" s="2" t="inlineStr"/>
    </row>
    <row r="760" ht="15" customHeight="1">
      <c r="A760" t="inlineStr">
        <is>
          <t>A 3844-2024</t>
        </is>
      </c>
      <c r="B760" s="1" t="n">
        <v>45321</v>
      </c>
      <c r="C760" s="1" t="n">
        <v>45630</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4176-2024</t>
        </is>
      </c>
      <c r="B761" s="1" t="n">
        <v>45323</v>
      </c>
      <c r="C761" s="1" t="n">
        <v>45630</v>
      </c>
      <c r="D761" t="inlineStr">
        <is>
          <t>JÄMTLANDS LÄN</t>
        </is>
      </c>
      <c r="E761" t="inlineStr">
        <is>
          <t>ÖSTERSUND</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4350-2024</t>
        </is>
      </c>
      <c r="B762" s="1" t="n">
        <v>45324</v>
      </c>
      <c r="C762" s="1" t="n">
        <v>45630</v>
      </c>
      <c r="D762" t="inlineStr">
        <is>
          <t>JÄMTLANDS LÄN</t>
        </is>
      </c>
      <c r="E762" t="inlineStr">
        <is>
          <t>ÖSTERSUND</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4707-2024</t>
        </is>
      </c>
      <c r="B763" s="1" t="n">
        <v>45328</v>
      </c>
      <c r="C763" s="1" t="n">
        <v>45630</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5455-2024</t>
        </is>
      </c>
      <c r="B764" s="1" t="n">
        <v>45331</v>
      </c>
      <c r="C764" s="1" t="n">
        <v>45630</v>
      </c>
      <c r="D764" t="inlineStr">
        <is>
          <t>JÄMTLANDS LÄN</t>
        </is>
      </c>
      <c r="E764" t="inlineStr">
        <is>
          <t>ÖSTERSUND</t>
        </is>
      </c>
      <c r="G764" t="n">
        <v>4.8</v>
      </c>
      <c r="H764" t="n">
        <v>0</v>
      </c>
      <c r="I764" t="n">
        <v>0</v>
      </c>
      <c r="J764" t="n">
        <v>0</v>
      </c>
      <c r="K764" t="n">
        <v>0</v>
      </c>
      <c r="L764" t="n">
        <v>0</v>
      </c>
      <c r="M764" t="n">
        <v>0</v>
      </c>
      <c r="N764" t="n">
        <v>0</v>
      </c>
      <c r="O764" t="n">
        <v>0</v>
      </c>
      <c r="P764" t="n">
        <v>0</v>
      </c>
      <c r="Q764" t="n">
        <v>0</v>
      </c>
      <c r="R764" s="2" t="inlineStr"/>
    </row>
    <row r="765" ht="15" customHeight="1">
      <c r="A765" t="inlineStr">
        <is>
          <t>A 5920-2024</t>
        </is>
      </c>
      <c r="B765" s="1" t="n">
        <v>45335</v>
      </c>
      <c r="C765" s="1" t="n">
        <v>45630</v>
      </c>
      <c r="D765" t="inlineStr">
        <is>
          <t>JÄMTLANDS LÄN</t>
        </is>
      </c>
      <c r="E765" t="inlineStr">
        <is>
          <t>ÖSTERSUND</t>
        </is>
      </c>
      <c r="F765" t="inlineStr">
        <is>
          <t>SCA</t>
        </is>
      </c>
      <c r="G765" t="n">
        <v>17.8</v>
      </c>
      <c r="H765" t="n">
        <v>0</v>
      </c>
      <c r="I765" t="n">
        <v>0</v>
      </c>
      <c r="J765" t="n">
        <v>0</v>
      </c>
      <c r="K765" t="n">
        <v>0</v>
      </c>
      <c r="L765" t="n">
        <v>0</v>
      </c>
      <c r="M765" t="n">
        <v>0</v>
      </c>
      <c r="N765" t="n">
        <v>0</v>
      </c>
      <c r="O765" t="n">
        <v>0</v>
      </c>
      <c r="P765" t="n">
        <v>0</v>
      </c>
      <c r="Q765" t="n">
        <v>0</v>
      </c>
      <c r="R765" s="2" t="inlineStr"/>
    </row>
    <row r="766" ht="15" customHeight="1">
      <c r="A766" t="inlineStr">
        <is>
          <t>A 6048-2024</t>
        </is>
      </c>
      <c r="B766" s="1" t="n">
        <v>45336</v>
      </c>
      <c r="C766" s="1" t="n">
        <v>45630</v>
      </c>
      <c r="D766" t="inlineStr">
        <is>
          <t>JÄMTLANDS LÄN</t>
        </is>
      </c>
      <c r="E766" t="inlineStr">
        <is>
          <t>ÖSTERSUND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6056-2024</t>
        </is>
      </c>
      <c r="B767" s="1" t="n">
        <v>45336</v>
      </c>
      <c r="C767" s="1" t="n">
        <v>45630</v>
      </c>
      <c r="D767" t="inlineStr">
        <is>
          <t>JÄMTLANDS LÄN</t>
        </is>
      </c>
      <c r="E767" t="inlineStr">
        <is>
          <t>ÖSTERSUND</t>
        </is>
      </c>
      <c r="G767" t="n">
        <v>3.9</v>
      </c>
      <c r="H767" t="n">
        <v>0</v>
      </c>
      <c r="I767" t="n">
        <v>0</v>
      </c>
      <c r="J767" t="n">
        <v>0</v>
      </c>
      <c r="K767" t="n">
        <v>0</v>
      </c>
      <c r="L767" t="n">
        <v>0</v>
      </c>
      <c r="M767" t="n">
        <v>0</v>
      </c>
      <c r="N767" t="n">
        <v>0</v>
      </c>
      <c r="O767" t="n">
        <v>0</v>
      </c>
      <c r="P767" t="n">
        <v>0</v>
      </c>
      <c r="Q767" t="n">
        <v>0</v>
      </c>
      <c r="R767" s="2" t="inlineStr"/>
    </row>
    <row r="768" ht="15" customHeight="1">
      <c r="A768" t="inlineStr">
        <is>
          <t>A 6053-2024</t>
        </is>
      </c>
      <c r="B768" s="1" t="n">
        <v>45336</v>
      </c>
      <c r="C768" s="1" t="n">
        <v>45630</v>
      </c>
      <c r="D768" t="inlineStr">
        <is>
          <t>JÄMTLANDS LÄN</t>
        </is>
      </c>
      <c r="E768" t="inlineStr">
        <is>
          <t>ÖSTERSUND</t>
        </is>
      </c>
      <c r="G768" t="n">
        <v>1.4</v>
      </c>
      <c r="H768" t="n">
        <v>0</v>
      </c>
      <c r="I768" t="n">
        <v>0</v>
      </c>
      <c r="J768" t="n">
        <v>0</v>
      </c>
      <c r="K768" t="n">
        <v>0</v>
      </c>
      <c r="L768" t="n">
        <v>0</v>
      </c>
      <c r="M768" t="n">
        <v>0</v>
      </c>
      <c r="N768" t="n">
        <v>0</v>
      </c>
      <c r="O768" t="n">
        <v>0</v>
      </c>
      <c r="P768" t="n">
        <v>0</v>
      </c>
      <c r="Q768" t="n">
        <v>0</v>
      </c>
      <c r="R768" s="2" t="inlineStr"/>
    </row>
    <row r="769" ht="15" customHeight="1">
      <c r="A769" t="inlineStr">
        <is>
          <t>A 6351-2024</t>
        </is>
      </c>
      <c r="B769" s="1" t="n">
        <v>45338</v>
      </c>
      <c r="C769" s="1" t="n">
        <v>45630</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6353-2024</t>
        </is>
      </c>
      <c r="B770" s="1" t="n">
        <v>45338</v>
      </c>
      <c r="C770" s="1" t="n">
        <v>45630</v>
      </c>
      <c r="D770" t="inlineStr">
        <is>
          <t>JÄMTLANDS LÄN</t>
        </is>
      </c>
      <c r="E770" t="inlineStr">
        <is>
          <t>ÖSTERSUND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6376-2024</t>
        </is>
      </c>
      <c r="B771" s="1" t="n">
        <v>45338</v>
      </c>
      <c r="C771" s="1" t="n">
        <v>45630</v>
      </c>
      <c r="D771" t="inlineStr">
        <is>
          <t>JÄMTLANDS LÄN</t>
        </is>
      </c>
      <c r="E771" t="inlineStr">
        <is>
          <t>ÖSTERSUND</t>
        </is>
      </c>
      <c r="G771" t="n">
        <v>4.6</v>
      </c>
      <c r="H771" t="n">
        <v>0</v>
      </c>
      <c r="I771" t="n">
        <v>0</v>
      </c>
      <c r="J771" t="n">
        <v>0</v>
      </c>
      <c r="K771" t="n">
        <v>0</v>
      </c>
      <c r="L771" t="n">
        <v>0</v>
      </c>
      <c r="M771" t="n">
        <v>0</v>
      </c>
      <c r="N771" t="n">
        <v>0</v>
      </c>
      <c r="O771" t="n">
        <v>0</v>
      </c>
      <c r="P771" t="n">
        <v>0</v>
      </c>
      <c r="Q771" t="n">
        <v>0</v>
      </c>
      <c r="R771" s="2" t="inlineStr"/>
    </row>
    <row r="772" ht="15" customHeight="1">
      <c r="A772" t="inlineStr">
        <is>
          <t>A 6402-2024</t>
        </is>
      </c>
      <c r="B772" s="1" t="n">
        <v>45338</v>
      </c>
      <c r="C772" s="1" t="n">
        <v>45630</v>
      </c>
      <c r="D772" t="inlineStr">
        <is>
          <t>JÄMTLANDS LÄN</t>
        </is>
      </c>
      <c r="E772" t="inlineStr">
        <is>
          <t>ÖSTERSUND</t>
        </is>
      </c>
      <c r="G772" t="n">
        <v>4.4</v>
      </c>
      <c r="H772" t="n">
        <v>0</v>
      </c>
      <c r="I772" t="n">
        <v>0</v>
      </c>
      <c r="J772" t="n">
        <v>0</v>
      </c>
      <c r="K772" t="n">
        <v>0</v>
      </c>
      <c r="L772" t="n">
        <v>0</v>
      </c>
      <c r="M772" t="n">
        <v>0</v>
      </c>
      <c r="N772" t="n">
        <v>0</v>
      </c>
      <c r="O772" t="n">
        <v>0</v>
      </c>
      <c r="P772" t="n">
        <v>0</v>
      </c>
      <c r="Q772" t="n">
        <v>0</v>
      </c>
      <c r="R772" s="2" t="inlineStr"/>
    </row>
    <row r="773" ht="15" customHeight="1">
      <c r="A773" t="inlineStr">
        <is>
          <t>A 6481-2024</t>
        </is>
      </c>
      <c r="B773" s="1" t="n">
        <v>45338</v>
      </c>
      <c r="C773" s="1" t="n">
        <v>45630</v>
      </c>
      <c r="D773" t="inlineStr">
        <is>
          <t>JÄMTLANDS LÄN</t>
        </is>
      </c>
      <c r="E773" t="inlineStr">
        <is>
          <t>ÖSTERSUND</t>
        </is>
      </c>
      <c r="F773" t="inlineStr">
        <is>
          <t>SCA</t>
        </is>
      </c>
      <c r="G773" t="n">
        <v>21.3</v>
      </c>
      <c r="H773" t="n">
        <v>0</v>
      </c>
      <c r="I773" t="n">
        <v>0</v>
      </c>
      <c r="J773" t="n">
        <v>0</v>
      </c>
      <c r="K773" t="n">
        <v>0</v>
      </c>
      <c r="L773" t="n">
        <v>0</v>
      </c>
      <c r="M773" t="n">
        <v>0</v>
      </c>
      <c r="N773" t="n">
        <v>0</v>
      </c>
      <c r="O773" t="n">
        <v>0</v>
      </c>
      <c r="P773" t="n">
        <v>0</v>
      </c>
      <c r="Q773" t="n">
        <v>0</v>
      </c>
      <c r="R773" s="2" t="inlineStr"/>
    </row>
    <row r="774" ht="15" customHeight="1">
      <c r="A774" t="inlineStr">
        <is>
          <t>A 6877-2024</t>
        </is>
      </c>
      <c r="B774" s="1" t="n">
        <v>45342</v>
      </c>
      <c r="C774" s="1" t="n">
        <v>45630</v>
      </c>
      <c r="D774" t="inlineStr">
        <is>
          <t>JÄMTLANDS LÄN</t>
        </is>
      </c>
      <c r="E774" t="inlineStr">
        <is>
          <t>ÖSTERSUND</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7233-2024</t>
        </is>
      </c>
      <c r="B775" s="1" t="n">
        <v>45344</v>
      </c>
      <c r="C775" s="1" t="n">
        <v>45630</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7224-2024</t>
        </is>
      </c>
      <c r="B776" s="1" t="n">
        <v>45344</v>
      </c>
      <c r="C776" s="1" t="n">
        <v>45630</v>
      </c>
      <c r="D776" t="inlineStr">
        <is>
          <t>JÄMTLANDS LÄN</t>
        </is>
      </c>
      <c r="E776" t="inlineStr">
        <is>
          <t>ÖSTERSUND</t>
        </is>
      </c>
      <c r="G776" t="n">
        <v>2.9</v>
      </c>
      <c r="H776" t="n">
        <v>0</v>
      </c>
      <c r="I776" t="n">
        <v>0</v>
      </c>
      <c r="J776" t="n">
        <v>0</v>
      </c>
      <c r="K776" t="n">
        <v>0</v>
      </c>
      <c r="L776" t="n">
        <v>0</v>
      </c>
      <c r="M776" t="n">
        <v>0</v>
      </c>
      <c r="N776" t="n">
        <v>0</v>
      </c>
      <c r="O776" t="n">
        <v>0</v>
      </c>
      <c r="P776" t="n">
        <v>0</v>
      </c>
      <c r="Q776" t="n">
        <v>0</v>
      </c>
      <c r="R776" s="2" t="inlineStr"/>
    </row>
    <row r="777" ht="15" customHeight="1">
      <c r="A777" t="inlineStr">
        <is>
          <t>A 7228-2024</t>
        </is>
      </c>
      <c r="B777" s="1" t="n">
        <v>45344</v>
      </c>
      <c r="C777" s="1" t="n">
        <v>45630</v>
      </c>
      <c r="D777" t="inlineStr">
        <is>
          <t>JÄMTLANDS LÄN</t>
        </is>
      </c>
      <c r="E777" t="inlineStr">
        <is>
          <t>ÖSTERSUND</t>
        </is>
      </c>
      <c r="G777" t="n">
        <v>3</v>
      </c>
      <c r="H777" t="n">
        <v>0</v>
      </c>
      <c r="I777" t="n">
        <v>0</v>
      </c>
      <c r="J777" t="n">
        <v>0</v>
      </c>
      <c r="K777" t="n">
        <v>0</v>
      </c>
      <c r="L777" t="n">
        <v>0</v>
      </c>
      <c r="M777" t="n">
        <v>0</v>
      </c>
      <c r="N777" t="n">
        <v>0</v>
      </c>
      <c r="O777" t="n">
        <v>0</v>
      </c>
      <c r="P777" t="n">
        <v>0</v>
      </c>
      <c r="Q777" t="n">
        <v>0</v>
      </c>
      <c r="R777" s="2" t="inlineStr"/>
    </row>
    <row r="778" ht="15" customHeight="1">
      <c r="A778" t="inlineStr">
        <is>
          <t>A 7484-2024</t>
        </is>
      </c>
      <c r="B778" s="1" t="n">
        <v>45346</v>
      </c>
      <c r="C778" s="1" t="n">
        <v>45630</v>
      </c>
      <c r="D778" t="inlineStr">
        <is>
          <t>JÄMTLANDS LÄN</t>
        </is>
      </c>
      <c r="E778" t="inlineStr">
        <is>
          <t>ÖSTERSUND</t>
        </is>
      </c>
      <c r="G778" t="n">
        <v>5.4</v>
      </c>
      <c r="H778" t="n">
        <v>0</v>
      </c>
      <c r="I778" t="n">
        <v>0</v>
      </c>
      <c r="J778" t="n">
        <v>0</v>
      </c>
      <c r="K778" t="n">
        <v>0</v>
      </c>
      <c r="L778" t="n">
        <v>0</v>
      </c>
      <c r="M778" t="n">
        <v>0</v>
      </c>
      <c r="N778" t="n">
        <v>0</v>
      </c>
      <c r="O778" t="n">
        <v>0</v>
      </c>
      <c r="P778" t="n">
        <v>0</v>
      </c>
      <c r="Q778" t="n">
        <v>0</v>
      </c>
      <c r="R778" s="2" t="inlineStr"/>
    </row>
    <row r="779" ht="15" customHeight="1">
      <c r="A779" t="inlineStr">
        <is>
          <t>A 8166-2024</t>
        </is>
      </c>
      <c r="B779" s="1" t="n">
        <v>45349</v>
      </c>
      <c r="C779" s="1" t="n">
        <v>45630</v>
      </c>
      <c r="D779" t="inlineStr">
        <is>
          <t>JÄMTLANDS LÄN</t>
        </is>
      </c>
      <c r="E779" t="inlineStr">
        <is>
          <t>ÖSTERSUND</t>
        </is>
      </c>
      <c r="G779" t="n">
        <v>2.7</v>
      </c>
      <c r="H779" t="n">
        <v>0</v>
      </c>
      <c r="I779" t="n">
        <v>0</v>
      </c>
      <c r="J779" t="n">
        <v>0</v>
      </c>
      <c r="K779" t="n">
        <v>0</v>
      </c>
      <c r="L779" t="n">
        <v>0</v>
      </c>
      <c r="M779" t="n">
        <v>0</v>
      </c>
      <c r="N779" t="n">
        <v>0</v>
      </c>
      <c r="O779" t="n">
        <v>0</v>
      </c>
      <c r="P779" t="n">
        <v>0</v>
      </c>
      <c r="Q779" t="n">
        <v>0</v>
      </c>
      <c r="R779" s="2" t="inlineStr"/>
    </row>
    <row r="780" ht="15" customHeight="1">
      <c r="A780" t="inlineStr">
        <is>
          <t>A 9109-2024</t>
        </is>
      </c>
      <c r="B780" s="1" t="n">
        <v>45358</v>
      </c>
      <c r="C780" s="1" t="n">
        <v>45630</v>
      </c>
      <c r="D780" t="inlineStr">
        <is>
          <t>JÄMTLANDS LÄN</t>
        </is>
      </c>
      <c r="E780" t="inlineStr">
        <is>
          <t>ÖSTERSUND</t>
        </is>
      </c>
      <c r="G780" t="n">
        <v>17.1</v>
      </c>
      <c r="H780" t="n">
        <v>0</v>
      </c>
      <c r="I780" t="n">
        <v>0</v>
      </c>
      <c r="J780" t="n">
        <v>0</v>
      </c>
      <c r="K780" t="n">
        <v>0</v>
      </c>
      <c r="L780" t="n">
        <v>0</v>
      </c>
      <c r="M780" t="n">
        <v>0</v>
      </c>
      <c r="N780" t="n">
        <v>0</v>
      </c>
      <c r="O780" t="n">
        <v>0</v>
      </c>
      <c r="P780" t="n">
        <v>0</v>
      </c>
      <c r="Q780" t="n">
        <v>0</v>
      </c>
      <c r="R780" s="2" t="inlineStr"/>
    </row>
    <row r="781" ht="15" customHeight="1">
      <c r="A781" t="inlineStr">
        <is>
          <t>A 9151-2024</t>
        </is>
      </c>
      <c r="B781" s="1" t="n">
        <v>45358</v>
      </c>
      <c r="C781" s="1" t="n">
        <v>45630</v>
      </c>
      <c r="D781" t="inlineStr">
        <is>
          <t>JÄMTLANDS LÄN</t>
        </is>
      </c>
      <c r="E781" t="inlineStr">
        <is>
          <t>ÖSTERSUND</t>
        </is>
      </c>
      <c r="G781" t="n">
        <v>2.6</v>
      </c>
      <c r="H781" t="n">
        <v>0</v>
      </c>
      <c r="I781" t="n">
        <v>0</v>
      </c>
      <c r="J781" t="n">
        <v>0</v>
      </c>
      <c r="K781" t="n">
        <v>0</v>
      </c>
      <c r="L781" t="n">
        <v>0</v>
      </c>
      <c r="M781" t="n">
        <v>0</v>
      </c>
      <c r="N781" t="n">
        <v>0</v>
      </c>
      <c r="O781" t="n">
        <v>0</v>
      </c>
      <c r="P781" t="n">
        <v>0</v>
      </c>
      <c r="Q781" t="n">
        <v>0</v>
      </c>
      <c r="R781" s="2" t="inlineStr"/>
    </row>
    <row r="782" ht="15" customHeight="1">
      <c r="A782" t="inlineStr">
        <is>
          <t>A 9859-2024</t>
        </is>
      </c>
      <c r="B782" s="1" t="n">
        <v>45363</v>
      </c>
      <c r="C782" s="1" t="n">
        <v>45630</v>
      </c>
      <c r="D782" t="inlineStr">
        <is>
          <t>JÄMTLANDS LÄN</t>
        </is>
      </c>
      <c r="E782" t="inlineStr">
        <is>
          <t>ÖSTERSUND</t>
        </is>
      </c>
      <c r="G782" t="n">
        <v>5.5</v>
      </c>
      <c r="H782" t="n">
        <v>0</v>
      </c>
      <c r="I782" t="n">
        <v>0</v>
      </c>
      <c r="J782" t="n">
        <v>0</v>
      </c>
      <c r="K782" t="n">
        <v>0</v>
      </c>
      <c r="L782" t="n">
        <v>0</v>
      </c>
      <c r="M782" t="n">
        <v>0</v>
      </c>
      <c r="N782" t="n">
        <v>0</v>
      </c>
      <c r="O782" t="n">
        <v>0</v>
      </c>
      <c r="P782" t="n">
        <v>0</v>
      </c>
      <c r="Q782" t="n">
        <v>0</v>
      </c>
      <c r="R782" s="2" t="inlineStr"/>
    </row>
    <row r="783" ht="15" customHeight="1">
      <c r="A783" t="inlineStr">
        <is>
          <t>A 10064-2024</t>
        </is>
      </c>
      <c r="B783" s="1" t="n">
        <v>45364</v>
      </c>
      <c r="C783" s="1" t="n">
        <v>45630</v>
      </c>
      <c r="D783" t="inlineStr">
        <is>
          <t>JÄMTLANDS LÄN</t>
        </is>
      </c>
      <c r="E783" t="inlineStr">
        <is>
          <t>ÖSTERSUND</t>
        </is>
      </c>
      <c r="G783" t="n">
        <v>13.9</v>
      </c>
      <c r="H783" t="n">
        <v>0</v>
      </c>
      <c r="I783" t="n">
        <v>0</v>
      </c>
      <c r="J783" t="n">
        <v>0</v>
      </c>
      <c r="K783" t="n">
        <v>0</v>
      </c>
      <c r="L783" t="n">
        <v>0</v>
      </c>
      <c r="M783" t="n">
        <v>0</v>
      </c>
      <c r="N783" t="n">
        <v>0</v>
      </c>
      <c r="O783" t="n">
        <v>0</v>
      </c>
      <c r="P783" t="n">
        <v>0</v>
      </c>
      <c r="Q783" t="n">
        <v>0</v>
      </c>
      <c r="R783" s="2" t="inlineStr"/>
    </row>
    <row r="784" ht="15" customHeight="1">
      <c r="A784" t="inlineStr">
        <is>
          <t>A 10619-2024</t>
        </is>
      </c>
      <c r="B784" s="1" t="n">
        <v>45367</v>
      </c>
      <c r="C784" s="1" t="n">
        <v>45630</v>
      </c>
      <c r="D784" t="inlineStr">
        <is>
          <t>JÄMTLANDS LÄN</t>
        </is>
      </c>
      <c r="E784" t="inlineStr">
        <is>
          <t>ÖSTERSUND</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11052-2024</t>
        </is>
      </c>
      <c r="B785" s="1" t="n">
        <v>45370</v>
      </c>
      <c r="C785" s="1" t="n">
        <v>45630</v>
      </c>
      <c r="D785" t="inlineStr">
        <is>
          <t>JÄMTLANDS LÄN</t>
        </is>
      </c>
      <c r="E785" t="inlineStr">
        <is>
          <t>ÖSTERSUND</t>
        </is>
      </c>
      <c r="G785" t="n">
        <v>2.3</v>
      </c>
      <c r="H785" t="n">
        <v>0</v>
      </c>
      <c r="I785" t="n">
        <v>0</v>
      </c>
      <c r="J785" t="n">
        <v>0</v>
      </c>
      <c r="K785" t="n">
        <v>0</v>
      </c>
      <c r="L785" t="n">
        <v>0</v>
      </c>
      <c r="M785" t="n">
        <v>0</v>
      </c>
      <c r="N785" t="n">
        <v>0</v>
      </c>
      <c r="O785" t="n">
        <v>0</v>
      </c>
      <c r="P785" t="n">
        <v>0</v>
      </c>
      <c r="Q785" t="n">
        <v>0</v>
      </c>
      <c r="R785" s="2" t="inlineStr"/>
    </row>
    <row r="786" ht="15" customHeight="1">
      <c r="A786" t="inlineStr">
        <is>
          <t>A 11768-2024</t>
        </is>
      </c>
      <c r="B786" s="1" t="n">
        <v>45373</v>
      </c>
      <c r="C786" s="1" t="n">
        <v>45630</v>
      </c>
      <c r="D786" t="inlineStr">
        <is>
          <t>JÄMTLANDS LÄN</t>
        </is>
      </c>
      <c r="E786" t="inlineStr">
        <is>
          <t>ÖSTERSUND</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11877-2024</t>
        </is>
      </c>
      <c r="B787" s="1" t="n">
        <v>45376</v>
      </c>
      <c r="C787" s="1" t="n">
        <v>45630</v>
      </c>
      <c r="D787" t="inlineStr">
        <is>
          <t>JÄMTLANDS LÄN</t>
        </is>
      </c>
      <c r="E787" t="inlineStr">
        <is>
          <t>ÖSTERSUND</t>
        </is>
      </c>
      <c r="G787" t="n">
        <v>2.6</v>
      </c>
      <c r="H787" t="n">
        <v>0</v>
      </c>
      <c r="I787" t="n">
        <v>0</v>
      </c>
      <c r="J787" t="n">
        <v>0</v>
      </c>
      <c r="K787" t="n">
        <v>0</v>
      </c>
      <c r="L787" t="n">
        <v>0</v>
      </c>
      <c r="M787" t="n">
        <v>0</v>
      </c>
      <c r="N787" t="n">
        <v>0</v>
      </c>
      <c r="O787" t="n">
        <v>0</v>
      </c>
      <c r="P787" t="n">
        <v>0</v>
      </c>
      <c r="Q787" t="n">
        <v>0</v>
      </c>
      <c r="R787" s="2" t="inlineStr"/>
    </row>
    <row r="788" ht="15" customHeight="1">
      <c r="A788" t="inlineStr">
        <is>
          <t>A 11931-2024</t>
        </is>
      </c>
      <c r="B788" s="1" t="n">
        <v>45376</v>
      </c>
      <c r="C788" s="1" t="n">
        <v>45630</v>
      </c>
      <c r="D788" t="inlineStr">
        <is>
          <t>JÄMTLANDS LÄN</t>
        </is>
      </c>
      <c r="E788" t="inlineStr">
        <is>
          <t>ÖSTERSUND</t>
        </is>
      </c>
      <c r="G788" t="n">
        <v>1.6</v>
      </c>
      <c r="H788" t="n">
        <v>0</v>
      </c>
      <c r="I788" t="n">
        <v>0</v>
      </c>
      <c r="J788" t="n">
        <v>0</v>
      </c>
      <c r="K788" t="n">
        <v>0</v>
      </c>
      <c r="L788" t="n">
        <v>0</v>
      </c>
      <c r="M788" t="n">
        <v>0</v>
      </c>
      <c r="N788" t="n">
        <v>0</v>
      </c>
      <c r="O788" t="n">
        <v>0</v>
      </c>
      <c r="P788" t="n">
        <v>0</v>
      </c>
      <c r="Q788" t="n">
        <v>0</v>
      </c>
      <c r="R788" s="2" t="inlineStr"/>
    </row>
    <row r="789" ht="15" customHeight="1">
      <c r="A789" t="inlineStr">
        <is>
          <t>A 14142-2024</t>
        </is>
      </c>
      <c r="B789" s="1" t="n">
        <v>45392</v>
      </c>
      <c r="C789" s="1" t="n">
        <v>45630</v>
      </c>
      <c r="D789" t="inlineStr">
        <is>
          <t>JÄMTLANDS LÄN</t>
        </is>
      </c>
      <c r="E789" t="inlineStr">
        <is>
          <t>ÖSTERSUND</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16068-2024</t>
        </is>
      </c>
      <c r="B790" s="1" t="n">
        <v>45406</v>
      </c>
      <c r="C790" s="1" t="n">
        <v>45630</v>
      </c>
      <c r="D790" t="inlineStr">
        <is>
          <t>JÄMTLANDS LÄN</t>
        </is>
      </c>
      <c r="E790" t="inlineStr">
        <is>
          <t>ÖSTERSUND</t>
        </is>
      </c>
      <c r="F790" t="inlineStr">
        <is>
          <t>SCA</t>
        </is>
      </c>
      <c r="G790" t="n">
        <v>35.6</v>
      </c>
      <c r="H790" t="n">
        <v>0</v>
      </c>
      <c r="I790" t="n">
        <v>0</v>
      </c>
      <c r="J790" t="n">
        <v>0</v>
      </c>
      <c r="K790" t="n">
        <v>0</v>
      </c>
      <c r="L790" t="n">
        <v>0</v>
      </c>
      <c r="M790" t="n">
        <v>0</v>
      </c>
      <c r="N790" t="n">
        <v>0</v>
      </c>
      <c r="O790" t="n">
        <v>0</v>
      </c>
      <c r="P790" t="n">
        <v>0</v>
      </c>
      <c r="Q790" t="n">
        <v>0</v>
      </c>
      <c r="R790" s="2" t="inlineStr"/>
    </row>
    <row r="791" ht="15" customHeight="1">
      <c r="A791" t="inlineStr">
        <is>
          <t>A 16065-2024</t>
        </is>
      </c>
      <c r="B791" s="1" t="n">
        <v>45406</v>
      </c>
      <c r="C791" s="1" t="n">
        <v>45630</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16459-2024</t>
        </is>
      </c>
      <c r="B792" s="1" t="n">
        <v>45407</v>
      </c>
      <c r="C792" s="1" t="n">
        <v>45630</v>
      </c>
      <c r="D792" t="inlineStr">
        <is>
          <t>JÄMTLANDS LÄN</t>
        </is>
      </c>
      <c r="E792" t="inlineStr">
        <is>
          <t>ÖSTERSUND</t>
        </is>
      </c>
      <c r="G792" t="n">
        <v>24</v>
      </c>
      <c r="H792" t="n">
        <v>0</v>
      </c>
      <c r="I792" t="n">
        <v>0</v>
      </c>
      <c r="J792" t="n">
        <v>0</v>
      </c>
      <c r="K792" t="n">
        <v>0</v>
      </c>
      <c r="L792" t="n">
        <v>0</v>
      </c>
      <c r="M792" t="n">
        <v>0</v>
      </c>
      <c r="N792" t="n">
        <v>0</v>
      </c>
      <c r="O792" t="n">
        <v>0</v>
      </c>
      <c r="P792" t="n">
        <v>0</v>
      </c>
      <c r="Q792" t="n">
        <v>0</v>
      </c>
      <c r="R792" s="2" t="inlineStr"/>
    </row>
    <row r="793" ht="15" customHeight="1">
      <c r="A793" t="inlineStr">
        <is>
          <t>A 16689-2024</t>
        </is>
      </c>
      <c r="B793" s="1" t="n">
        <v>45408</v>
      </c>
      <c r="C793" s="1" t="n">
        <v>45630</v>
      </c>
      <c r="D793" t="inlineStr">
        <is>
          <t>JÄMTLANDS LÄN</t>
        </is>
      </c>
      <c r="E793" t="inlineStr">
        <is>
          <t>ÖSTERSUND</t>
        </is>
      </c>
      <c r="G793" t="n">
        <v>0.6</v>
      </c>
      <c r="H793" t="n">
        <v>0</v>
      </c>
      <c r="I793" t="n">
        <v>0</v>
      </c>
      <c r="J793" t="n">
        <v>0</v>
      </c>
      <c r="K793" t="n">
        <v>0</v>
      </c>
      <c r="L793" t="n">
        <v>0</v>
      </c>
      <c r="M793" t="n">
        <v>0</v>
      </c>
      <c r="N793" t="n">
        <v>0</v>
      </c>
      <c r="O793" t="n">
        <v>0</v>
      </c>
      <c r="P793" t="n">
        <v>0</v>
      </c>
      <c r="Q793" t="n">
        <v>0</v>
      </c>
      <c r="R793" s="2" t="inlineStr"/>
    </row>
    <row r="794" ht="15" customHeight="1">
      <c r="A794" t="inlineStr">
        <is>
          <t>A 17188-2024</t>
        </is>
      </c>
      <c r="B794" s="1" t="n">
        <v>45413</v>
      </c>
      <c r="C794" s="1" t="n">
        <v>45630</v>
      </c>
      <c r="D794" t="inlineStr">
        <is>
          <t>JÄMTLANDS LÄN</t>
        </is>
      </c>
      <c r="E794" t="inlineStr">
        <is>
          <t>ÖSTERSUND</t>
        </is>
      </c>
      <c r="F794" t="inlineStr">
        <is>
          <t>SCA</t>
        </is>
      </c>
      <c r="G794" t="n">
        <v>14.6</v>
      </c>
      <c r="H794" t="n">
        <v>0</v>
      </c>
      <c r="I794" t="n">
        <v>0</v>
      </c>
      <c r="J794" t="n">
        <v>0</v>
      </c>
      <c r="K794" t="n">
        <v>0</v>
      </c>
      <c r="L794" t="n">
        <v>0</v>
      </c>
      <c r="M794" t="n">
        <v>0</v>
      </c>
      <c r="N794" t="n">
        <v>0</v>
      </c>
      <c r="O794" t="n">
        <v>0</v>
      </c>
      <c r="P794" t="n">
        <v>0</v>
      </c>
      <c r="Q794" t="n">
        <v>0</v>
      </c>
      <c r="R794" s="2" t="inlineStr"/>
    </row>
    <row r="795" ht="15" customHeight="1">
      <c r="A795" t="inlineStr">
        <is>
          <t>A 17062-2024</t>
        </is>
      </c>
      <c r="B795" s="1" t="n">
        <v>45412</v>
      </c>
      <c r="C795" s="1" t="n">
        <v>45630</v>
      </c>
      <c r="D795" t="inlineStr">
        <is>
          <t>JÄMTLANDS LÄN</t>
        </is>
      </c>
      <c r="E795" t="inlineStr">
        <is>
          <t>ÖSTERSUND</t>
        </is>
      </c>
      <c r="G795" t="n">
        <v>8</v>
      </c>
      <c r="H795" t="n">
        <v>0</v>
      </c>
      <c r="I795" t="n">
        <v>0</v>
      </c>
      <c r="J795" t="n">
        <v>0</v>
      </c>
      <c r="K795" t="n">
        <v>0</v>
      </c>
      <c r="L795" t="n">
        <v>0</v>
      </c>
      <c r="M795" t="n">
        <v>0</v>
      </c>
      <c r="N795" t="n">
        <v>0</v>
      </c>
      <c r="O795" t="n">
        <v>0</v>
      </c>
      <c r="P795" t="n">
        <v>0</v>
      </c>
      <c r="Q795" t="n">
        <v>0</v>
      </c>
      <c r="R795" s="2" t="inlineStr"/>
    </row>
    <row r="796" ht="15" customHeight="1">
      <c r="A796" t="inlineStr">
        <is>
          <t>A 17066-2024</t>
        </is>
      </c>
      <c r="B796" s="1" t="n">
        <v>45412</v>
      </c>
      <c r="C796" s="1" t="n">
        <v>45630</v>
      </c>
      <c r="D796" t="inlineStr">
        <is>
          <t>JÄMTLANDS LÄN</t>
        </is>
      </c>
      <c r="E796" t="inlineStr">
        <is>
          <t>ÖSTERSUND</t>
        </is>
      </c>
      <c r="G796" t="n">
        <v>4.2</v>
      </c>
      <c r="H796" t="n">
        <v>0</v>
      </c>
      <c r="I796" t="n">
        <v>0</v>
      </c>
      <c r="J796" t="n">
        <v>0</v>
      </c>
      <c r="K796" t="n">
        <v>0</v>
      </c>
      <c r="L796" t="n">
        <v>0</v>
      </c>
      <c r="M796" t="n">
        <v>0</v>
      </c>
      <c r="N796" t="n">
        <v>0</v>
      </c>
      <c r="O796" t="n">
        <v>0</v>
      </c>
      <c r="P796" t="n">
        <v>0</v>
      </c>
      <c r="Q796" t="n">
        <v>0</v>
      </c>
      <c r="R796" s="2" t="inlineStr"/>
    </row>
    <row r="797" ht="15" customHeight="1">
      <c r="A797" t="inlineStr">
        <is>
          <t>A 17547-2024</t>
        </is>
      </c>
      <c r="B797" s="1" t="n">
        <v>45415</v>
      </c>
      <c r="C797" s="1" t="n">
        <v>45630</v>
      </c>
      <c r="D797" t="inlineStr">
        <is>
          <t>JÄMTLANDS LÄN</t>
        </is>
      </c>
      <c r="E797" t="inlineStr">
        <is>
          <t>ÖSTERSUND</t>
        </is>
      </c>
      <c r="G797" t="n">
        <v>2.1</v>
      </c>
      <c r="H797" t="n">
        <v>0</v>
      </c>
      <c r="I797" t="n">
        <v>0</v>
      </c>
      <c r="J797" t="n">
        <v>0</v>
      </c>
      <c r="K797" t="n">
        <v>0</v>
      </c>
      <c r="L797" t="n">
        <v>0</v>
      </c>
      <c r="M797" t="n">
        <v>0</v>
      </c>
      <c r="N797" t="n">
        <v>0</v>
      </c>
      <c r="O797" t="n">
        <v>0</v>
      </c>
      <c r="P797" t="n">
        <v>0</v>
      </c>
      <c r="Q797" t="n">
        <v>0</v>
      </c>
      <c r="R797" s="2" t="inlineStr"/>
    </row>
    <row r="798" ht="15" customHeight="1">
      <c r="A798" t="inlineStr">
        <is>
          <t>A 17760-2024</t>
        </is>
      </c>
      <c r="B798" s="1" t="n">
        <v>45418</v>
      </c>
      <c r="C798" s="1" t="n">
        <v>45630</v>
      </c>
      <c r="D798" t="inlineStr">
        <is>
          <t>JÄMTLANDS LÄN</t>
        </is>
      </c>
      <c r="E798" t="inlineStr">
        <is>
          <t>ÖSTERSUND</t>
        </is>
      </c>
      <c r="G798" t="n">
        <v>1.6</v>
      </c>
      <c r="H798" t="n">
        <v>0</v>
      </c>
      <c r="I798" t="n">
        <v>0</v>
      </c>
      <c r="J798" t="n">
        <v>0</v>
      </c>
      <c r="K798" t="n">
        <v>0</v>
      </c>
      <c r="L798" t="n">
        <v>0</v>
      </c>
      <c r="M798" t="n">
        <v>0</v>
      </c>
      <c r="N798" t="n">
        <v>0</v>
      </c>
      <c r="O798" t="n">
        <v>0</v>
      </c>
      <c r="P798" t="n">
        <v>0</v>
      </c>
      <c r="Q798" t="n">
        <v>0</v>
      </c>
      <c r="R798" s="2" t="inlineStr"/>
    </row>
    <row r="799" ht="15" customHeight="1">
      <c r="A799" t="inlineStr">
        <is>
          <t>A 17709-2024</t>
        </is>
      </c>
      <c r="B799" s="1" t="n">
        <v>45418</v>
      </c>
      <c r="C799" s="1" t="n">
        <v>45630</v>
      </c>
      <c r="D799" t="inlineStr">
        <is>
          <t>JÄMTLANDS LÄN</t>
        </is>
      </c>
      <c r="E799" t="inlineStr">
        <is>
          <t>ÖSTERSUND</t>
        </is>
      </c>
      <c r="G799" t="n">
        <v>2.9</v>
      </c>
      <c r="H799" t="n">
        <v>0</v>
      </c>
      <c r="I799" t="n">
        <v>0</v>
      </c>
      <c r="J799" t="n">
        <v>0</v>
      </c>
      <c r="K799" t="n">
        <v>0</v>
      </c>
      <c r="L799" t="n">
        <v>0</v>
      </c>
      <c r="M799" t="n">
        <v>0</v>
      </c>
      <c r="N799" t="n">
        <v>0</v>
      </c>
      <c r="O799" t="n">
        <v>0</v>
      </c>
      <c r="P799" t="n">
        <v>0</v>
      </c>
      <c r="Q799" t="n">
        <v>0</v>
      </c>
      <c r="R799" s="2" t="inlineStr"/>
    </row>
    <row r="800" ht="15" customHeight="1">
      <c r="A800" t="inlineStr">
        <is>
          <t>A 18627-2024</t>
        </is>
      </c>
      <c r="B800" s="1" t="n">
        <v>45426</v>
      </c>
      <c r="C800" s="1" t="n">
        <v>45630</v>
      </c>
      <c r="D800" t="inlineStr">
        <is>
          <t>JÄMTLANDS LÄN</t>
        </is>
      </c>
      <c r="E800" t="inlineStr">
        <is>
          <t>ÖSTERSUND</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18643-2024</t>
        </is>
      </c>
      <c r="B801" s="1" t="n">
        <v>45426</v>
      </c>
      <c r="C801" s="1" t="n">
        <v>45630</v>
      </c>
      <c r="D801" t="inlineStr">
        <is>
          <t>JÄMTLANDS LÄN</t>
        </is>
      </c>
      <c r="E801" t="inlineStr">
        <is>
          <t>ÖSTERSUND</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18624-2024</t>
        </is>
      </c>
      <c r="B802" s="1" t="n">
        <v>45426</v>
      </c>
      <c r="C802" s="1" t="n">
        <v>45630</v>
      </c>
      <c r="D802" t="inlineStr">
        <is>
          <t>JÄMTLANDS LÄN</t>
        </is>
      </c>
      <c r="E802" t="inlineStr">
        <is>
          <t>ÖSTERSUND</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19112-2024</t>
        </is>
      </c>
      <c r="B803" s="1" t="n">
        <v>45427</v>
      </c>
      <c r="C803" s="1" t="n">
        <v>45630</v>
      </c>
      <c r="D803" t="inlineStr">
        <is>
          <t>JÄMTLANDS LÄN</t>
        </is>
      </c>
      <c r="E803" t="inlineStr">
        <is>
          <t>ÖSTERSUND</t>
        </is>
      </c>
      <c r="G803" t="n">
        <v>3.6</v>
      </c>
      <c r="H803" t="n">
        <v>0</v>
      </c>
      <c r="I803" t="n">
        <v>0</v>
      </c>
      <c r="J803" t="n">
        <v>0</v>
      </c>
      <c r="K803" t="n">
        <v>0</v>
      </c>
      <c r="L803" t="n">
        <v>0</v>
      </c>
      <c r="M803" t="n">
        <v>0</v>
      </c>
      <c r="N803" t="n">
        <v>0</v>
      </c>
      <c r="O803" t="n">
        <v>0</v>
      </c>
      <c r="P803" t="n">
        <v>0</v>
      </c>
      <c r="Q803" t="n">
        <v>0</v>
      </c>
      <c r="R803" s="2" t="inlineStr"/>
    </row>
    <row r="804" ht="15" customHeight="1">
      <c r="A804" t="inlineStr">
        <is>
          <t>A 19037-2024</t>
        </is>
      </c>
      <c r="B804" s="1" t="n">
        <v>45427</v>
      </c>
      <c r="C804" s="1" t="n">
        <v>45630</v>
      </c>
      <c r="D804" t="inlineStr">
        <is>
          <t>JÄMTLANDS LÄN</t>
        </is>
      </c>
      <c r="E804" t="inlineStr">
        <is>
          <t>ÖSTERSUND</t>
        </is>
      </c>
      <c r="G804" t="n">
        <v>2</v>
      </c>
      <c r="H804" t="n">
        <v>0</v>
      </c>
      <c r="I804" t="n">
        <v>0</v>
      </c>
      <c r="J804" t="n">
        <v>0</v>
      </c>
      <c r="K804" t="n">
        <v>0</v>
      </c>
      <c r="L804" t="n">
        <v>0</v>
      </c>
      <c r="M804" t="n">
        <v>0</v>
      </c>
      <c r="N804" t="n">
        <v>0</v>
      </c>
      <c r="O804" t="n">
        <v>0</v>
      </c>
      <c r="P804" t="n">
        <v>0</v>
      </c>
      <c r="Q804" t="n">
        <v>0</v>
      </c>
      <c r="R804" s="2" t="inlineStr"/>
    </row>
    <row r="805" ht="15" customHeight="1">
      <c r="A805" t="inlineStr">
        <is>
          <t>A 19138-2024</t>
        </is>
      </c>
      <c r="B805" s="1" t="n">
        <v>45428</v>
      </c>
      <c r="C805" s="1" t="n">
        <v>45630</v>
      </c>
      <c r="D805" t="inlineStr">
        <is>
          <t>JÄMTLANDS LÄN</t>
        </is>
      </c>
      <c r="E805" t="inlineStr">
        <is>
          <t>ÖSTERSUND</t>
        </is>
      </c>
      <c r="G805" t="n">
        <v>13.6</v>
      </c>
      <c r="H805" t="n">
        <v>0</v>
      </c>
      <c r="I805" t="n">
        <v>0</v>
      </c>
      <c r="J805" t="n">
        <v>0</v>
      </c>
      <c r="K805" t="n">
        <v>0</v>
      </c>
      <c r="L805" t="n">
        <v>0</v>
      </c>
      <c r="M805" t="n">
        <v>0</v>
      </c>
      <c r="N805" t="n">
        <v>0</v>
      </c>
      <c r="O805" t="n">
        <v>0</v>
      </c>
      <c r="P805" t="n">
        <v>0</v>
      </c>
      <c r="Q805" t="n">
        <v>0</v>
      </c>
      <c r="R805" s="2" t="inlineStr"/>
    </row>
    <row r="806" ht="15" customHeight="1">
      <c r="A806" t="inlineStr">
        <is>
          <t>A 19233-2024</t>
        </is>
      </c>
      <c r="B806" s="1" t="n">
        <v>45428</v>
      </c>
      <c r="C806" s="1" t="n">
        <v>45630</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19408-2024</t>
        </is>
      </c>
      <c r="B807" s="1" t="n">
        <v>45428</v>
      </c>
      <c r="C807" s="1" t="n">
        <v>45630</v>
      </c>
      <c r="D807" t="inlineStr">
        <is>
          <t>JÄMTLANDS LÄN</t>
        </is>
      </c>
      <c r="E807" t="inlineStr">
        <is>
          <t>ÖSTERSUND</t>
        </is>
      </c>
      <c r="G807" t="n">
        <v>11.1</v>
      </c>
      <c r="H807" t="n">
        <v>0</v>
      </c>
      <c r="I807" t="n">
        <v>0</v>
      </c>
      <c r="J807" t="n">
        <v>0</v>
      </c>
      <c r="K807" t="n">
        <v>0</v>
      </c>
      <c r="L807" t="n">
        <v>0</v>
      </c>
      <c r="M807" t="n">
        <v>0</v>
      </c>
      <c r="N807" t="n">
        <v>0</v>
      </c>
      <c r="O807" t="n">
        <v>0</v>
      </c>
      <c r="P807" t="n">
        <v>0</v>
      </c>
      <c r="Q807" t="n">
        <v>0</v>
      </c>
      <c r="R807" s="2" t="inlineStr"/>
    </row>
    <row r="808" ht="15" customHeight="1">
      <c r="A808" t="inlineStr">
        <is>
          <t>A 19323-2024</t>
        </is>
      </c>
      <c r="B808" s="1" t="n">
        <v>45429</v>
      </c>
      <c r="C808" s="1" t="n">
        <v>45630</v>
      </c>
      <c r="D808" t="inlineStr">
        <is>
          <t>JÄMTLANDS LÄN</t>
        </is>
      </c>
      <c r="E808" t="inlineStr">
        <is>
          <t>ÖSTERSUND</t>
        </is>
      </c>
      <c r="F808" t="inlineStr">
        <is>
          <t>Kommuner</t>
        </is>
      </c>
      <c r="G808" t="n">
        <v>0.2</v>
      </c>
      <c r="H808" t="n">
        <v>0</v>
      </c>
      <c r="I808" t="n">
        <v>0</v>
      </c>
      <c r="J808" t="n">
        <v>0</v>
      </c>
      <c r="K808" t="n">
        <v>0</v>
      </c>
      <c r="L808" t="n">
        <v>0</v>
      </c>
      <c r="M808" t="n">
        <v>0</v>
      </c>
      <c r="N808" t="n">
        <v>0</v>
      </c>
      <c r="O808" t="n">
        <v>0</v>
      </c>
      <c r="P808" t="n">
        <v>0</v>
      </c>
      <c r="Q808" t="n">
        <v>0</v>
      </c>
      <c r="R808" s="2" t="inlineStr"/>
    </row>
    <row r="809" ht="15" customHeight="1">
      <c r="A809" t="inlineStr">
        <is>
          <t>A 19566-2024</t>
        </is>
      </c>
      <c r="B809" s="1" t="n">
        <v>45430</v>
      </c>
      <c r="C809" s="1" t="n">
        <v>45630</v>
      </c>
      <c r="D809" t="inlineStr">
        <is>
          <t>JÄMTLANDS LÄN</t>
        </is>
      </c>
      <c r="E809" t="inlineStr">
        <is>
          <t>ÖSTERSUND</t>
        </is>
      </c>
      <c r="G809" t="n">
        <v>0</v>
      </c>
      <c r="H809" t="n">
        <v>0</v>
      </c>
      <c r="I809" t="n">
        <v>0</v>
      </c>
      <c r="J809" t="n">
        <v>0</v>
      </c>
      <c r="K809" t="n">
        <v>0</v>
      </c>
      <c r="L809" t="n">
        <v>0</v>
      </c>
      <c r="M809" t="n">
        <v>0</v>
      </c>
      <c r="N809" t="n">
        <v>0</v>
      </c>
      <c r="O809" t="n">
        <v>0</v>
      </c>
      <c r="P809" t="n">
        <v>0</v>
      </c>
      <c r="Q809" t="n">
        <v>0</v>
      </c>
      <c r="R809" s="2" t="inlineStr"/>
    </row>
    <row r="810" ht="15" customHeight="1">
      <c r="A810" t="inlineStr">
        <is>
          <t>A 19570-2024</t>
        </is>
      </c>
      <c r="B810" s="1" t="n">
        <v>45430</v>
      </c>
      <c r="C810" s="1" t="n">
        <v>45630</v>
      </c>
      <c r="D810" t="inlineStr">
        <is>
          <t>JÄMTLANDS LÄN</t>
        </is>
      </c>
      <c r="E810" t="inlineStr">
        <is>
          <t>ÖSTERSUND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19725-2024</t>
        </is>
      </c>
      <c r="B811" s="1" t="n">
        <v>45432</v>
      </c>
      <c r="C811" s="1" t="n">
        <v>45630</v>
      </c>
      <c r="D811" t="inlineStr">
        <is>
          <t>JÄMTLANDS LÄN</t>
        </is>
      </c>
      <c r="E811" t="inlineStr">
        <is>
          <t>ÖSTERSUND</t>
        </is>
      </c>
      <c r="G811" t="n">
        <v>7.2</v>
      </c>
      <c r="H811" t="n">
        <v>0</v>
      </c>
      <c r="I811" t="n">
        <v>0</v>
      </c>
      <c r="J811" t="n">
        <v>0</v>
      </c>
      <c r="K811" t="n">
        <v>0</v>
      </c>
      <c r="L811" t="n">
        <v>0</v>
      </c>
      <c r="M811" t="n">
        <v>0</v>
      </c>
      <c r="N811" t="n">
        <v>0</v>
      </c>
      <c r="O811" t="n">
        <v>0</v>
      </c>
      <c r="P811" t="n">
        <v>0</v>
      </c>
      <c r="Q811" t="n">
        <v>0</v>
      </c>
      <c r="R811" s="2" t="inlineStr"/>
    </row>
    <row r="812" ht="15" customHeight="1">
      <c r="A812" t="inlineStr">
        <is>
          <t>A 20068-2024</t>
        </is>
      </c>
      <c r="B812" s="1" t="n">
        <v>45434</v>
      </c>
      <c r="C812" s="1" t="n">
        <v>45630</v>
      </c>
      <c r="D812" t="inlineStr">
        <is>
          <t>JÄMTLANDS LÄN</t>
        </is>
      </c>
      <c r="E812" t="inlineStr">
        <is>
          <t>ÖSTERSUND</t>
        </is>
      </c>
      <c r="G812" t="n">
        <v>10.2</v>
      </c>
      <c r="H812" t="n">
        <v>0</v>
      </c>
      <c r="I812" t="n">
        <v>0</v>
      </c>
      <c r="J812" t="n">
        <v>0</v>
      </c>
      <c r="K812" t="n">
        <v>0</v>
      </c>
      <c r="L812" t="n">
        <v>0</v>
      </c>
      <c r="M812" t="n">
        <v>0</v>
      </c>
      <c r="N812" t="n">
        <v>0</v>
      </c>
      <c r="O812" t="n">
        <v>0</v>
      </c>
      <c r="P812" t="n">
        <v>0</v>
      </c>
      <c r="Q812" t="n">
        <v>0</v>
      </c>
      <c r="R812" s="2" t="inlineStr"/>
    </row>
    <row r="813" ht="15" customHeight="1">
      <c r="A813" t="inlineStr">
        <is>
          <t>A 20400-2024</t>
        </is>
      </c>
      <c r="B813" s="1" t="n">
        <v>45435</v>
      </c>
      <c r="C813" s="1" t="n">
        <v>45630</v>
      </c>
      <c r="D813" t="inlineStr">
        <is>
          <t>JÄMTLANDS LÄN</t>
        </is>
      </c>
      <c r="E813" t="inlineStr">
        <is>
          <t>ÖSTERSUND</t>
        </is>
      </c>
      <c r="G813" t="n">
        <v>0.9</v>
      </c>
      <c r="H813" t="n">
        <v>0</v>
      </c>
      <c r="I813" t="n">
        <v>0</v>
      </c>
      <c r="J813" t="n">
        <v>0</v>
      </c>
      <c r="K813" t="n">
        <v>0</v>
      </c>
      <c r="L813" t="n">
        <v>0</v>
      </c>
      <c r="M813" t="n">
        <v>0</v>
      </c>
      <c r="N813" t="n">
        <v>0</v>
      </c>
      <c r="O813" t="n">
        <v>0</v>
      </c>
      <c r="P813" t="n">
        <v>0</v>
      </c>
      <c r="Q813" t="n">
        <v>0</v>
      </c>
      <c r="R813" s="2" t="inlineStr"/>
    </row>
    <row r="814" ht="15" customHeight="1">
      <c r="A814" t="inlineStr">
        <is>
          <t>A 20632-2024</t>
        </is>
      </c>
      <c r="B814" s="1" t="n">
        <v>45436</v>
      </c>
      <c r="C814" s="1" t="n">
        <v>45630</v>
      </c>
      <c r="D814" t="inlineStr">
        <is>
          <t>JÄMTLANDS LÄN</t>
        </is>
      </c>
      <c r="E814" t="inlineStr">
        <is>
          <t>ÖSTERSUND</t>
        </is>
      </c>
      <c r="G814" t="n">
        <v>5.6</v>
      </c>
      <c r="H814" t="n">
        <v>0</v>
      </c>
      <c r="I814" t="n">
        <v>0</v>
      </c>
      <c r="J814" t="n">
        <v>0</v>
      </c>
      <c r="K814" t="n">
        <v>0</v>
      </c>
      <c r="L814" t="n">
        <v>0</v>
      </c>
      <c r="M814" t="n">
        <v>0</v>
      </c>
      <c r="N814" t="n">
        <v>0</v>
      </c>
      <c r="O814" t="n">
        <v>0</v>
      </c>
      <c r="P814" t="n">
        <v>0</v>
      </c>
      <c r="Q814" t="n">
        <v>0</v>
      </c>
      <c r="R814" s="2" t="inlineStr"/>
    </row>
    <row r="815" ht="15" customHeight="1">
      <c r="A815" t="inlineStr">
        <is>
          <t>A 20629-2024</t>
        </is>
      </c>
      <c r="B815" s="1" t="n">
        <v>45436</v>
      </c>
      <c r="C815" s="1" t="n">
        <v>45630</v>
      </c>
      <c r="D815" t="inlineStr">
        <is>
          <t>JÄMTLANDS LÄN</t>
        </is>
      </c>
      <c r="E815" t="inlineStr">
        <is>
          <t>ÖSTERSUND</t>
        </is>
      </c>
      <c r="G815" t="n">
        <v>2.3</v>
      </c>
      <c r="H815" t="n">
        <v>0</v>
      </c>
      <c r="I815" t="n">
        <v>0</v>
      </c>
      <c r="J815" t="n">
        <v>0</v>
      </c>
      <c r="K815" t="n">
        <v>0</v>
      </c>
      <c r="L815" t="n">
        <v>0</v>
      </c>
      <c r="M815" t="n">
        <v>0</v>
      </c>
      <c r="N815" t="n">
        <v>0</v>
      </c>
      <c r="O815" t="n">
        <v>0</v>
      </c>
      <c r="P815" t="n">
        <v>0</v>
      </c>
      <c r="Q815" t="n">
        <v>0</v>
      </c>
      <c r="R815" s="2" t="inlineStr"/>
    </row>
    <row r="816" ht="15" customHeight="1">
      <c r="A816" t="inlineStr">
        <is>
          <t>A 20736-2024</t>
        </is>
      </c>
      <c r="B816" s="1" t="n">
        <v>45436</v>
      </c>
      <c r="C816" s="1" t="n">
        <v>45630</v>
      </c>
      <c r="D816" t="inlineStr">
        <is>
          <t>JÄMTLANDS LÄN</t>
        </is>
      </c>
      <c r="E816" t="inlineStr">
        <is>
          <t>ÖSTERSUND</t>
        </is>
      </c>
      <c r="G816" t="n">
        <v>5.3</v>
      </c>
      <c r="H816" t="n">
        <v>0</v>
      </c>
      <c r="I816" t="n">
        <v>0</v>
      </c>
      <c r="J816" t="n">
        <v>0</v>
      </c>
      <c r="K816" t="n">
        <v>0</v>
      </c>
      <c r="L816" t="n">
        <v>0</v>
      </c>
      <c r="M816" t="n">
        <v>0</v>
      </c>
      <c r="N816" t="n">
        <v>0</v>
      </c>
      <c r="O816" t="n">
        <v>0</v>
      </c>
      <c r="P816" t="n">
        <v>0</v>
      </c>
      <c r="Q816" t="n">
        <v>0</v>
      </c>
      <c r="R816" s="2" t="inlineStr"/>
    </row>
    <row r="817" ht="15" customHeight="1">
      <c r="A817" t="inlineStr">
        <is>
          <t>A 21094-2024</t>
        </is>
      </c>
      <c r="B817" s="1" t="n">
        <v>45440</v>
      </c>
      <c r="C817" s="1" t="n">
        <v>45630</v>
      </c>
      <c r="D817" t="inlineStr">
        <is>
          <t>JÄMTLANDS LÄN</t>
        </is>
      </c>
      <c r="E817" t="inlineStr">
        <is>
          <t>ÖSTERSUND</t>
        </is>
      </c>
      <c r="F817" t="inlineStr">
        <is>
          <t>SCA</t>
        </is>
      </c>
      <c r="G817" t="n">
        <v>7.6</v>
      </c>
      <c r="H817" t="n">
        <v>0</v>
      </c>
      <c r="I817" t="n">
        <v>0</v>
      </c>
      <c r="J817" t="n">
        <v>0</v>
      </c>
      <c r="K817" t="n">
        <v>0</v>
      </c>
      <c r="L817" t="n">
        <v>0</v>
      </c>
      <c r="M817" t="n">
        <v>0</v>
      </c>
      <c r="N817" t="n">
        <v>0</v>
      </c>
      <c r="O817" t="n">
        <v>0</v>
      </c>
      <c r="P817" t="n">
        <v>0</v>
      </c>
      <c r="Q817" t="n">
        <v>0</v>
      </c>
      <c r="R817" s="2" t="inlineStr"/>
    </row>
    <row r="818" ht="15" customHeight="1">
      <c r="A818" t="inlineStr">
        <is>
          <t>A 21093-2024</t>
        </is>
      </c>
      <c r="B818" s="1" t="n">
        <v>45440</v>
      </c>
      <c r="C818" s="1" t="n">
        <v>45630</v>
      </c>
      <c r="D818" t="inlineStr">
        <is>
          <t>JÄMTLANDS LÄN</t>
        </is>
      </c>
      <c r="E818" t="inlineStr">
        <is>
          <t>ÖSTERSUND</t>
        </is>
      </c>
      <c r="F818" t="inlineStr">
        <is>
          <t>SCA</t>
        </is>
      </c>
      <c r="G818" t="n">
        <v>9.300000000000001</v>
      </c>
      <c r="H818" t="n">
        <v>0</v>
      </c>
      <c r="I818" t="n">
        <v>0</v>
      </c>
      <c r="J818" t="n">
        <v>0</v>
      </c>
      <c r="K818" t="n">
        <v>0</v>
      </c>
      <c r="L818" t="n">
        <v>0</v>
      </c>
      <c r="M818" t="n">
        <v>0</v>
      </c>
      <c r="N818" t="n">
        <v>0</v>
      </c>
      <c r="O818" t="n">
        <v>0</v>
      </c>
      <c r="P818" t="n">
        <v>0</v>
      </c>
      <c r="Q818" t="n">
        <v>0</v>
      </c>
      <c r="R818" s="2" t="inlineStr"/>
    </row>
    <row r="819" ht="15" customHeight="1">
      <c r="A819" t="inlineStr">
        <is>
          <t>A 21373-2024</t>
        </is>
      </c>
      <c r="B819" s="1" t="n">
        <v>45441</v>
      </c>
      <c r="C819" s="1" t="n">
        <v>45630</v>
      </c>
      <c r="D819" t="inlineStr">
        <is>
          <t>JÄMTLANDS LÄN</t>
        </is>
      </c>
      <c r="E819" t="inlineStr">
        <is>
          <t>ÖSTERSUND</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21822-2024</t>
        </is>
      </c>
      <c r="B820" s="1" t="n">
        <v>45442</v>
      </c>
      <c r="C820" s="1" t="n">
        <v>45630</v>
      </c>
      <c r="D820" t="inlineStr">
        <is>
          <t>JÄMTLANDS LÄN</t>
        </is>
      </c>
      <c r="E820" t="inlineStr">
        <is>
          <t>ÖSTERSUND</t>
        </is>
      </c>
      <c r="G820" t="n">
        <v>5.1</v>
      </c>
      <c r="H820" t="n">
        <v>0</v>
      </c>
      <c r="I820" t="n">
        <v>0</v>
      </c>
      <c r="J820" t="n">
        <v>0</v>
      </c>
      <c r="K820" t="n">
        <v>0</v>
      </c>
      <c r="L820" t="n">
        <v>0</v>
      </c>
      <c r="M820" t="n">
        <v>0</v>
      </c>
      <c r="N820" t="n">
        <v>0</v>
      </c>
      <c r="O820" t="n">
        <v>0</v>
      </c>
      <c r="P820" t="n">
        <v>0</v>
      </c>
      <c r="Q820" t="n">
        <v>0</v>
      </c>
      <c r="R820" s="2" t="inlineStr"/>
    </row>
    <row r="821" ht="15" customHeight="1">
      <c r="A821" t="inlineStr">
        <is>
          <t>A 21667-2024</t>
        </is>
      </c>
      <c r="B821" s="1" t="n">
        <v>45442</v>
      </c>
      <c r="C821" s="1" t="n">
        <v>45630</v>
      </c>
      <c r="D821" t="inlineStr">
        <is>
          <t>JÄMTLANDS LÄN</t>
        </is>
      </c>
      <c r="E821" t="inlineStr">
        <is>
          <t>ÖSTERSUND</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22123-2024</t>
        </is>
      </c>
      <c r="B822" s="1" t="n">
        <v>45444</v>
      </c>
      <c r="C822" s="1" t="n">
        <v>45630</v>
      </c>
      <c r="D822" t="inlineStr">
        <is>
          <t>JÄMTLANDS LÄN</t>
        </is>
      </c>
      <c r="E822" t="inlineStr">
        <is>
          <t>ÖSTERSUND</t>
        </is>
      </c>
      <c r="G822" t="n">
        <v>5.1</v>
      </c>
      <c r="H822" t="n">
        <v>0</v>
      </c>
      <c r="I822" t="n">
        <v>0</v>
      </c>
      <c r="J822" t="n">
        <v>0</v>
      </c>
      <c r="K822" t="n">
        <v>0</v>
      </c>
      <c r="L822" t="n">
        <v>0</v>
      </c>
      <c r="M822" t="n">
        <v>0</v>
      </c>
      <c r="N822" t="n">
        <v>0</v>
      </c>
      <c r="O822" t="n">
        <v>0</v>
      </c>
      <c r="P822" t="n">
        <v>0</v>
      </c>
      <c r="Q822" t="n">
        <v>0</v>
      </c>
      <c r="R822" s="2" t="inlineStr"/>
    </row>
    <row r="823" ht="15" customHeight="1">
      <c r="A823" t="inlineStr">
        <is>
          <t>A 22478-2024</t>
        </is>
      </c>
      <c r="B823" s="1" t="n">
        <v>45447</v>
      </c>
      <c r="C823" s="1" t="n">
        <v>45630</v>
      </c>
      <c r="D823" t="inlineStr">
        <is>
          <t>JÄMTLANDS LÄN</t>
        </is>
      </c>
      <c r="E823" t="inlineStr">
        <is>
          <t>ÖSTERSUND</t>
        </is>
      </c>
      <c r="F823" t="inlineStr">
        <is>
          <t>SCA</t>
        </is>
      </c>
      <c r="G823" t="n">
        <v>5.8</v>
      </c>
      <c r="H823" t="n">
        <v>0</v>
      </c>
      <c r="I823" t="n">
        <v>0</v>
      </c>
      <c r="J823" t="n">
        <v>0</v>
      </c>
      <c r="K823" t="n">
        <v>0</v>
      </c>
      <c r="L823" t="n">
        <v>0</v>
      </c>
      <c r="M823" t="n">
        <v>0</v>
      </c>
      <c r="N823" t="n">
        <v>0</v>
      </c>
      <c r="O823" t="n">
        <v>0</v>
      </c>
      <c r="P823" t="n">
        <v>0</v>
      </c>
      <c r="Q823" t="n">
        <v>0</v>
      </c>
      <c r="R823" s="2" t="inlineStr"/>
    </row>
    <row r="824" ht="15" customHeight="1">
      <c r="A824" t="inlineStr">
        <is>
          <t>A 23124-2024</t>
        </is>
      </c>
      <c r="B824" s="1" t="n">
        <v>45450</v>
      </c>
      <c r="C824" s="1" t="n">
        <v>45630</v>
      </c>
      <c r="D824" t="inlineStr">
        <is>
          <t>JÄMTLANDS LÄN</t>
        </is>
      </c>
      <c r="E824" t="inlineStr">
        <is>
          <t>ÖSTERSUND</t>
        </is>
      </c>
      <c r="G824" t="n">
        <v>5.8</v>
      </c>
      <c r="H824" t="n">
        <v>0</v>
      </c>
      <c r="I824" t="n">
        <v>0</v>
      </c>
      <c r="J824" t="n">
        <v>0</v>
      </c>
      <c r="K824" t="n">
        <v>0</v>
      </c>
      <c r="L824" t="n">
        <v>0</v>
      </c>
      <c r="M824" t="n">
        <v>0</v>
      </c>
      <c r="N824" t="n">
        <v>0</v>
      </c>
      <c r="O824" t="n">
        <v>0</v>
      </c>
      <c r="P824" t="n">
        <v>0</v>
      </c>
      <c r="Q824" t="n">
        <v>0</v>
      </c>
      <c r="R824" s="2" t="inlineStr"/>
    </row>
    <row r="825" ht="15" customHeight="1">
      <c r="A825" t="inlineStr">
        <is>
          <t>A 23191-2024</t>
        </is>
      </c>
      <c r="B825" s="1" t="n">
        <v>45450</v>
      </c>
      <c r="C825" s="1" t="n">
        <v>45630</v>
      </c>
      <c r="D825" t="inlineStr">
        <is>
          <t>JÄMTLANDS LÄN</t>
        </is>
      </c>
      <c r="E825" t="inlineStr">
        <is>
          <t>ÖSTERSUND</t>
        </is>
      </c>
      <c r="G825" t="n">
        <v>7</v>
      </c>
      <c r="H825" t="n">
        <v>0</v>
      </c>
      <c r="I825" t="n">
        <v>0</v>
      </c>
      <c r="J825" t="n">
        <v>0</v>
      </c>
      <c r="K825" t="n">
        <v>0</v>
      </c>
      <c r="L825" t="n">
        <v>0</v>
      </c>
      <c r="M825" t="n">
        <v>0</v>
      </c>
      <c r="N825" t="n">
        <v>0</v>
      </c>
      <c r="O825" t="n">
        <v>0</v>
      </c>
      <c r="P825" t="n">
        <v>0</v>
      </c>
      <c r="Q825" t="n">
        <v>0</v>
      </c>
      <c r="R825" s="2" t="inlineStr"/>
    </row>
    <row r="826" ht="15" customHeight="1">
      <c r="A826" t="inlineStr">
        <is>
          <t>A 23492-2024</t>
        </is>
      </c>
      <c r="B826" s="1" t="n">
        <v>45453</v>
      </c>
      <c r="C826" s="1" t="n">
        <v>45630</v>
      </c>
      <c r="D826" t="inlineStr">
        <is>
          <t>JÄMTLANDS LÄN</t>
        </is>
      </c>
      <c r="E826" t="inlineStr">
        <is>
          <t>ÖSTERSUND</t>
        </is>
      </c>
      <c r="G826" t="n">
        <v>9.1</v>
      </c>
      <c r="H826" t="n">
        <v>0</v>
      </c>
      <c r="I826" t="n">
        <v>0</v>
      </c>
      <c r="J826" t="n">
        <v>0</v>
      </c>
      <c r="K826" t="n">
        <v>0</v>
      </c>
      <c r="L826" t="n">
        <v>0</v>
      </c>
      <c r="M826" t="n">
        <v>0</v>
      </c>
      <c r="N826" t="n">
        <v>0</v>
      </c>
      <c r="O826" t="n">
        <v>0</v>
      </c>
      <c r="P826" t="n">
        <v>0</v>
      </c>
      <c r="Q826" t="n">
        <v>0</v>
      </c>
      <c r="R826" s="2" t="inlineStr"/>
    </row>
    <row r="827" ht="15" customHeight="1">
      <c r="A827" t="inlineStr">
        <is>
          <t>A 24246-2024</t>
        </is>
      </c>
      <c r="B827" s="1" t="n">
        <v>45457</v>
      </c>
      <c r="C827" s="1" t="n">
        <v>45630</v>
      </c>
      <c r="D827" t="inlineStr">
        <is>
          <t>JÄMTLANDS LÄN</t>
        </is>
      </c>
      <c r="E827" t="inlineStr">
        <is>
          <t>ÖSTERSUND</t>
        </is>
      </c>
      <c r="G827" t="n">
        <v>5.3</v>
      </c>
      <c r="H827" t="n">
        <v>0</v>
      </c>
      <c r="I827" t="n">
        <v>0</v>
      </c>
      <c r="J827" t="n">
        <v>0</v>
      </c>
      <c r="K827" t="n">
        <v>0</v>
      </c>
      <c r="L827" t="n">
        <v>0</v>
      </c>
      <c r="M827" t="n">
        <v>0</v>
      </c>
      <c r="N827" t="n">
        <v>0</v>
      </c>
      <c r="O827" t="n">
        <v>0</v>
      </c>
      <c r="P827" t="n">
        <v>0</v>
      </c>
      <c r="Q827" t="n">
        <v>0</v>
      </c>
      <c r="R827" s="2" t="inlineStr"/>
    </row>
    <row r="828" ht="15" customHeight="1">
      <c r="A828" t="inlineStr">
        <is>
          <t>A 24781-2024</t>
        </is>
      </c>
      <c r="B828" s="1" t="n">
        <v>45460</v>
      </c>
      <c r="C828" s="1" t="n">
        <v>45630</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24786-2024</t>
        </is>
      </c>
      <c r="B829" s="1" t="n">
        <v>45460</v>
      </c>
      <c r="C829" s="1" t="n">
        <v>45630</v>
      </c>
      <c r="D829" t="inlineStr">
        <is>
          <t>JÄMTLANDS LÄN</t>
        </is>
      </c>
      <c r="E829" t="inlineStr">
        <is>
          <t>ÖSTERSUND</t>
        </is>
      </c>
      <c r="G829" t="n">
        <v>0.1</v>
      </c>
      <c r="H829" t="n">
        <v>0</v>
      </c>
      <c r="I829" t="n">
        <v>0</v>
      </c>
      <c r="J829" t="n">
        <v>0</v>
      </c>
      <c r="K829" t="n">
        <v>0</v>
      </c>
      <c r="L829" t="n">
        <v>0</v>
      </c>
      <c r="M829" t="n">
        <v>0</v>
      </c>
      <c r="N829" t="n">
        <v>0</v>
      </c>
      <c r="O829" t="n">
        <v>0</v>
      </c>
      <c r="P829" t="n">
        <v>0</v>
      </c>
      <c r="Q829" t="n">
        <v>0</v>
      </c>
      <c r="R829" s="2" t="inlineStr"/>
    </row>
    <row r="830" ht="15" customHeight="1">
      <c r="A830" t="inlineStr">
        <is>
          <t>A 24605-2024</t>
        </is>
      </c>
      <c r="B830" s="1" t="n">
        <v>45460</v>
      </c>
      <c r="C830" s="1" t="n">
        <v>45630</v>
      </c>
      <c r="D830" t="inlineStr">
        <is>
          <t>JÄMTLANDS LÄN</t>
        </is>
      </c>
      <c r="E830" t="inlineStr">
        <is>
          <t>ÖSTERSUND</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25388-2024</t>
        </is>
      </c>
      <c r="B831" s="1" t="n">
        <v>45463</v>
      </c>
      <c r="C831" s="1" t="n">
        <v>45630</v>
      </c>
      <c r="D831" t="inlineStr">
        <is>
          <t>JÄMTLANDS LÄN</t>
        </is>
      </c>
      <c r="E831" t="inlineStr">
        <is>
          <t>ÖSTERSUND</t>
        </is>
      </c>
      <c r="G831" t="n">
        <v>2.7</v>
      </c>
      <c r="H831" t="n">
        <v>0</v>
      </c>
      <c r="I831" t="n">
        <v>0</v>
      </c>
      <c r="J831" t="n">
        <v>0</v>
      </c>
      <c r="K831" t="n">
        <v>0</v>
      </c>
      <c r="L831" t="n">
        <v>0</v>
      </c>
      <c r="M831" t="n">
        <v>0</v>
      </c>
      <c r="N831" t="n">
        <v>0</v>
      </c>
      <c r="O831" t="n">
        <v>0</v>
      </c>
      <c r="P831" t="n">
        <v>0</v>
      </c>
      <c r="Q831" t="n">
        <v>0</v>
      </c>
      <c r="R831" s="2" t="inlineStr"/>
    </row>
    <row r="832" ht="15" customHeight="1">
      <c r="A832" t="inlineStr">
        <is>
          <t>A 25385-2024</t>
        </is>
      </c>
      <c r="B832" s="1" t="n">
        <v>45463</v>
      </c>
      <c r="C832" s="1" t="n">
        <v>45630</v>
      </c>
      <c r="D832" t="inlineStr">
        <is>
          <t>JÄMTLANDS LÄN</t>
        </is>
      </c>
      <c r="E832" t="inlineStr">
        <is>
          <t>ÖSTERSUND</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25187-2024</t>
        </is>
      </c>
      <c r="B833" s="1" t="n">
        <v>45462</v>
      </c>
      <c r="C833" s="1" t="n">
        <v>45630</v>
      </c>
      <c r="D833" t="inlineStr">
        <is>
          <t>JÄMTLANDS LÄN</t>
        </is>
      </c>
      <c r="E833" t="inlineStr">
        <is>
          <t>ÖSTERSUND</t>
        </is>
      </c>
      <c r="G833" t="n">
        <v>2.4</v>
      </c>
      <c r="H833" t="n">
        <v>0</v>
      </c>
      <c r="I833" t="n">
        <v>0</v>
      </c>
      <c r="J833" t="n">
        <v>0</v>
      </c>
      <c r="K833" t="n">
        <v>0</v>
      </c>
      <c r="L833" t="n">
        <v>0</v>
      </c>
      <c r="M833" t="n">
        <v>0</v>
      </c>
      <c r="N833" t="n">
        <v>0</v>
      </c>
      <c r="O833" t="n">
        <v>0</v>
      </c>
      <c r="P833" t="n">
        <v>0</v>
      </c>
      <c r="Q833" t="n">
        <v>0</v>
      </c>
      <c r="R833" s="2" t="inlineStr"/>
    </row>
    <row r="834" ht="15" customHeight="1">
      <c r="A834" t="inlineStr">
        <is>
          <t>A 26202-2024</t>
        </is>
      </c>
      <c r="B834" s="1" t="n">
        <v>45468</v>
      </c>
      <c r="C834" s="1" t="n">
        <v>45630</v>
      </c>
      <c r="D834" t="inlineStr">
        <is>
          <t>JÄMTLANDS LÄN</t>
        </is>
      </c>
      <c r="E834" t="inlineStr">
        <is>
          <t>ÖSTERSUND</t>
        </is>
      </c>
      <c r="G834" t="n">
        <v>6.7</v>
      </c>
      <c r="H834" t="n">
        <v>0</v>
      </c>
      <c r="I834" t="n">
        <v>0</v>
      </c>
      <c r="J834" t="n">
        <v>0</v>
      </c>
      <c r="K834" t="n">
        <v>0</v>
      </c>
      <c r="L834" t="n">
        <v>0</v>
      </c>
      <c r="M834" t="n">
        <v>0</v>
      </c>
      <c r="N834" t="n">
        <v>0</v>
      </c>
      <c r="O834" t="n">
        <v>0</v>
      </c>
      <c r="P834" t="n">
        <v>0</v>
      </c>
      <c r="Q834" t="n">
        <v>0</v>
      </c>
      <c r="R834" s="2" t="inlineStr"/>
    </row>
    <row r="835" ht="15" customHeight="1">
      <c r="A835" t="inlineStr">
        <is>
          <t>A 27906-2024</t>
        </is>
      </c>
      <c r="B835" s="1" t="n">
        <v>45476</v>
      </c>
      <c r="C835" s="1" t="n">
        <v>45630</v>
      </c>
      <c r="D835" t="inlineStr">
        <is>
          <t>JÄMTLANDS LÄN</t>
        </is>
      </c>
      <c r="E835" t="inlineStr">
        <is>
          <t>ÖSTERSUND</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27689-2024</t>
        </is>
      </c>
      <c r="B836" s="1" t="n">
        <v>45475</v>
      </c>
      <c r="C836" s="1" t="n">
        <v>45630</v>
      </c>
      <c r="D836" t="inlineStr">
        <is>
          <t>JÄMTLANDS LÄN</t>
        </is>
      </c>
      <c r="E836" t="inlineStr">
        <is>
          <t>ÖSTERSUND</t>
        </is>
      </c>
      <c r="G836" t="n">
        <v>0.6</v>
      </c>
      <c r="H836" t="n">
        <v>0</v>
      </c>
      <c r="I836" t="n">
        <v>0</v>
      </c>
      <c r="J836" t="n">
        <v>0</v>
      </c>
      <c r="K836" t="n">
        <v>0</v>
      </c>
      <c r="L836" t="n">
        <v>0</v>
      </c>
      <c r="M836" t="n">
        <v>0</v>
      </c>
      <c r="N836" t="n">
        <v>0</v>
      </c>
      <c r="O836" t="n">
        <v>0</v>
      </c>
      <c r="P836" t="n">
        <v>0</v>
      </c>
      <c r="Q836" t="n">
        <v>0</v>
      </c>
      <c r="R836" s="2" t="inlineStr"/>
    </row>
    <row r="837" ht="15" customHeight="1">
      <c r="A837" t="inlineStr">
        <is>
          <t>A 27764-2024</t>
        </is>
      </c>
      <c r="B837" s="1" t="n">
        <v>45475</v>
      </c>
      <c r="C837" s="1" t="n">
        <v>45630</v>
      </c>
      <c r="D837" t="inlineStr">
        <is>
          <t>JÄMTLANDS LÄN</t>
        </is>
      </c>
      <c r="E837" t="inlineStr">
        <is>
          <t>ÖSTERSUND</t>
        </is>
      </c>
      <c r="G837" t="n">
        <v>2.8</v>
      </c>
      <c r="H837" t="n">
        <v>0</v>
      </c>
      <c r="I837" t="n">
        <v>0</v>
      </c>
      <c r="J837" t="n">
        <v>0</v>
      </c>
      <c r="K837" t="n">
        <v>0</v>
      </c>
      <c r="L837" t="n">
        <v>0</v>
      </c>
      <c r="M837" t="n">
        <v>0</v>
      </c>
      <c r="N837" t="n">
        <v>0</v>
      </c>
      <c r="O837" t="n">
        <v>0</v>
      </c>
      <c r="P837" t="n">
        <v>0</v>
      </c>
      <c r="Q837" t="n">
        <v>0</v>
      </c>
      <c r="R837" s="2" t="inlineStr"/>
    </row>
    <row r="838" ht="15" customHeight="1">
      <c r="A838" t="inlineStr">
        <is>
          <t>A 27779-2024</t>
        </is>
      </c>
      <c r="B838" s="1" t="n">
        <v>45475</v>
      </c>
      <c r="C838" s="1" t="n">
        <v>45630</v>
      </c>
      <c r="D838" t="inlineStr">
        <is>
          <t>JÄMTLANDS LÄN</t>
        </is>
      </c>
      <c r="E838" t="inlineStr">
        <is>
          <t>ÖSTERSUND</t>
        </is>
      </c>
      <c r="G838" t="n">
        <v>4.3</v>
      </c>
      <c r="H838" t="n">
        <v>0</v>
      </c>
      <c r="I838" t="n">
        <v>0</v>
      </c>
      <c r="J838" t="n">
        <v>0</v>
      </c>
      <c r="K838" t="n">
        <v>0</v>
      </c>
      <c r="L838" t="n">
        <v>0</v>
      </c>
      <c r="M838" t="n">
        <v>0</v>
      </c>
      <c r="N838" t="n">
        <v>0</v>
      </c>
      <c r="O838" t="n">
        <v>0</v>
      </c>
      <c r="P838" t="n">
        <v>0</v>
      </c>
      <c r="Q838" t="n">
        <v>0</v>
      </c>
      <c r="R838" s="2" t="inlineStr"/>
    </row>
    <row r="839" ht="15" customHeight="1">
      <c r="A839" t="inlineStr">
        <is>
          <t>A 28277-2024</t>
        </is>
      </c>
      <c r="B839" s="1" t="n">
        <v>45477</v>
      </c>
      <c r="C839" s="1" t="n">
        <v>45630</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28179-2024</t>
        </is>
      </c>
      <c r="B840" s="1" t="n">
        <v>45477</v>
      </c>
      <c r="C840" s="1" t="n">
        <v>45630</v>
      </c>
      <c r="D840" t="inlineStr">
        <is>
          <t>JÄMTLANDS LÄN</t>
        </is>
      </c>
      <c r="E840" t="inlineStr">
        <is>
          <t>ÖSTERSUND</t>
        </is>
      </c>
      <c r="G840" t="n">
        <v>2.2</v>
      </c>
      <c r="H840" t="n">
        <v>0</v>
      </c>
      <c r="I840" t="n">
        <v>0</v>
      </c>
      <c r="J840" t="n">
        <v>0</v>
      </c>
      <c r="K840" t="n">
        <v>0</v>
      </c>
      <c r="L840" t="n">
        <v>0</v>
      </c>
      <c r="M840" t="n">
        <v>0</v>
      </c>
      <c r="N840" t="n">
        <v>0</v>
      </c>
      <c r="O840" t="n">
        <v>0</v>
      </c>
      <c r="P840" t="n">
        <v>0</v>
      </c>
      <c r="Q840" t="n">
        <v>0</v>
      </c>
      <c r="R840" s="2" t="inlineStr"/>
    </row>
    <row r="841" ht="15" customHeight="1">
      <c r="A841" t="inlineStr">
        <is>
          <t>A 28180-2024</t>
        </is>
      </c>
      <c r="B841" s="1" t="n">
        <v>45477</v>
      </c>
      <c r="C841" s="1" t="n">
        <v>45630</v>
      </c>
      <c r="D841" t="inlineStr">
        <is>
          <t>JÄMTLANDS LÄN</t>
        </is>
      </c>
      <c r="E841" t="inlineStr">
        <is>
          <t>ÖSTERSUND</t>
        </is>
      </c>
      <c r="G841" t="n">
        <v>2.6</v>
      </c>
      <c r="H841" t="n">
        <v>0</v>
      </c>
      <c r="I841" t="n">
        <v>0</v>
      </c>
      <c r="J841" t="n">
        <v>0</v>
      </c>
      <c r="K841" t="n">
        <v>0</v>
      </c>
      <c r="L841" t="n">
        <v>0</v>
      </c>
      <c r="M841" t="n">
        <v>0</v>
      </c>
      <c r="N841" t="n">
        <v>0</v>
      </c>
      <c r="O841" t="n">
        <v>0</v>
      </c>
      <c r="P841" t="n">
        <v>0</v>
      </c>
      <c r="Q841" t="n">
        <v>0</v>
      </c>
      <c r="R841" s="2" t="inlineStr"/>
    </row>
    <row r="842" ht="15" customHeight="1">
      <c r="A842" t="inlineStr">
        <is>
          <t>A 28181-2024</t>
        </is>
      </c>
      <c r="B842" s="1" t="n">
        <v>45477</v>
      </c>
      <c r="C842" s="1" t="n">
        <v>45630</v>
      </c>
      <c r="D842" t="inlineStr">
        <is>
          <t>JÄMTLANDS LÄN</t>
        </is>
      </c>
      <c r="E842" t="inlineStr">
        <is>
          <t>ÖSTERSUND</t>
        </is>
      </c>
      <c r="G842" t="n">
        <v>0.7</v>
      </c>
      <c r="H842" t="n">
        <v>0</v>
      </c>
      <c r="I842" t="n">
        <v>0</v>
      </c>
      <c r="J842" t="n">
        <v>0</v>
      </c>
      <c r="K842" t="n">
        <v>0</v>
      </c>
      <c r="L842" t="n">
        <v>0</v>
      </c>
      <c r="M842" t="n">
        <v>0</v>
      </c>
      <c r="N842" t="n">
        <v>0</v>
      </c>
      <c r="O842" t="n">
        <v>0</v>
      </c>
      <c r="P842" t="n">
        <v>0</v>
      </c>
      <c r="Q842" t="n">
        <v>0</v>
      </c>
      <c r="R842" s="2" t="inlineStr"/>
    </row>
    <row r="843" ht="15" customHeight="1">
      <c r="A843" t="inlineStr">
        <is>
          <t>A 28543-2024</t>
        </is>
      </c>
      <c r="B843" s="1" t="n">
        <v>45478</v>
      </c>
      <c r="C843" s="1" t="n">
        <v>45630</v>
      </c>
      <c r="D843" t="inlineStr">
        <is>
          <t>JÄMTLANDS LÄN</t>
        </is>
      </c>
      <c r="E843" t="inlineStr">
        <is>
          <t>ÖSTERSUND</t>
        </is>
      </c>
      <c r="G843" t="n">
        <v>5.6</v>
      </c>
      <c r="H843" t="n">
        <v>0</v>
      </c>
      <c r="I843" t="n">
        <v>0</v>
      </c>
      <c r="J843" t="n">
        <v>0</v>
      </c>
      <c r="K843" t="n">
        <v>0</v>
      </c>
      <c r="L843" t="n">
        <v>0</v>
      </c>
      <c r="M843" t="n">
        <v>0</v>
      </c>
      <c r="N843" t="n">
        <v>0</v>
      </c>
      <c r="O843" t="n">
        <v>0</v>
      </c>
      <c r="P843" t="n">
        <v>0</v>
      </c>
      <c r="Q843" t="n">
        <v>0</v>
      </c>
      <c r="R843" s="2" t="inlineStr"/>
    </row>
    <row r="844" ht="15" customHeight="1">
      <c r="A844" t="inlineStr">
        <is>
          <t>A 29496-2024</t>
        </is>
      </c>
      <c r="B844" s="1" t="n">
        <v>45484</v>
      </c>
      <c r="C844" s="1" t="n">
        <v>45630</v>
      </c>
      <c r="D844" t="inlineStr">
        <is>
          <t>JÄMTLANDS LÄN</t>
        </is>
      </c>
      <c r="E844" t="inlineStr">
        <is>
          <t>ÖSTERSUND</t>
        </is>
      </c>
      <c r="G844" t="n">
        <v>4.3</v>
      </c>
      <c r="H844" t="n">
        <v>0</v>
      </c>
      <c r="I844" t="n">
        <v>0</v>
      </c>
      <c r="J844" t="n">
        <v>0</v>
      </c>
      <c r="K844" t="n">
        <v>0</v>
      </c>
      <c r="L844" t="n">
        <v>0</v>
      </c>
      <c r="M844" t="n">
        <v>0</v>
      </c>
      <c r="N844" t="n">
        <v>0</v>
      </c>
      <c r="O844" t="n">
        <v>0</v>
      </c>
      <c r="P844" t="n">
        <v>0</v>
      </c>
      <c r="Q844" t="n">
        <v>0</v>
      </c>
      <c r="R844" s="2" t="inlineStr"/>
    </row>
    <row r="845" ht="15" customHeight="1">
      <c r="A845" t="inlineStr">
        <is>
          <t>A 30539-2024</t>
        </is>
      </c>
      <c r="B845" s="1" t="n">
        <v>45492</v>
      </c>
      <c r="C845" s="1" t="n">
        <v>45630</v>
      </c>
      <c r="D845" t="inlineStr">
        <is>
          <t>JÄMTLANDS LÄN</t>
        </is>
      </c>
      <c r="E845" t="inlineStr">
        <is>
          <t>ÖSTERSUND</t>
        </is>
      </c>
      <c r="G845" t="n">
        <v>4.9</v>
      </c>
      <c r="H845" t="n">
        <v>0</v>
      </c>
      <c r="I845" t="n">
        <v>0</v>
      </c>
      <c r="J845" t="n">
        <v>0</v>
      </c>
      <c r="K845" t="n">
        <v>0</v>
      </c>
      <c r="L845" t="n">
        <v>0</v>
      </c>
      <c r="M845" t="n">
        <v>0</v>
      </c>
      <c r="N845" t="n">
        <v>0</v>
      </c>
      <c r="O845" t="n">
        <v>0</v>
      </c>
      <c r="P845" t="n">
        <v>0</v>
      </c>
      <c r="Q845" t="n">
        <v>0</v>
      </c>
      <c r="R845" s="2" t="inlineStr"/>
    </row>
    <row r="846" ht="15" customHeight="1">
      <c r="A846" t="inlineStr">
        <is>
          <t>A 30821-2024</t>
        </is>
      </c>
      <c r="B846" s="1" t="n">
        <v>45497</v>
      </c>
      <c r="C846" s="1" t="n">
        <v>45630</v>
      </c>
      <c r="D846" t="inlineStr">
        <is>
          <t>JÄMTLANDS LÄN</t>
        </is>
      </c>
      <c r="E846" t="inlineStr">
        <is>
          <t>ÖSTERSUND</t>
        </is>
      </c>
      <c r="G846" t="n">
        <v>3.4</v>
      </c>
      <c r="H846" t="n">
        <v>0</v>
      </c>
      <c r="I846" t="n">
        <v>0</v>
      </c>
      <c r="J846" t="n">
        <v>0</v>
      </c>
      <c r="K846" t="n">
        <v>0</v>
      </c>
      <c r="L846" t="n">
        <v>0</v>
      </c>
      <c r="M846" t="n">
        <v>0</v>
      </c>
      <c r="N846" t="n">
        <v>0</v>
      </c>
      <c r="O846" t="n">
        <v>0</v>
      </c>
      <c r="P846" t="n">
        <v>0</v>
      </c>
      <c r="Q846" t="n">
        <v>0</v>
      </c>
      <c r="R846" s="2" t="inlineStr"/>
    </row>
    <row r="847" ht="15" customHeight="1">
      <c r="A847" t="inlineStr">
        <is>
          <t>A 31448-2024</t>
        </is>
      </c>
      <c r="B847" s="1" t="n">
        <v>45506</v>
      </c>
      <c r="C847" s="1" t="n">
        <v>45630</v>
      </c>
      <c r="D847" t="inlineStr">
        <is>
          <t>JÄMTLANDS LÄN</t>
        </is>
      </c>
      <c r="E847" t="inlineStr">
        <is>
          <t>ÖSTERSUND</t>
        </is>
      </c>
      <c r="G847" t="n">
        <v>10</v>
      </c>
      <c r="H847" t="n">
        <v>0</v>
      </c>
      <c r="I847" t="n">
        <v>0</v>
      </c>
      <c r="J847" t="n">
        <v>0</v>
      </c>
      <c r="K847" t="n">
        <v>0</v>
      </c>
      <c r="L847" t="n">
        <v>0</v>
      </c>
      <c r="M847" t="n">
        <v>0</v>
      </c>
      <c r="N847" t="n">
        <v>0</v>
      </c>
      <c r="O847" t="n">
        <v>0</v>
      </c>
      <c r="P847" t="n">
        <v>0</v>
      </c>
      <c r="Q847" t="n">
        <v>0</v>
      </c>
      <c r="R847" s="2" t="inlineStr"/>
    </row>
    <row r="848" ht="15" customHeight="1">
      <c r="A848" t="inlineStr">
        <is>
          <t>A 31464-2024</t>
        </is>
      </c>
      <c r="B848" s="1" t="n">
        <v>45506</v>
      </c>
      <c r="C848" s="1" t="n">
        <v>45630</v>
      </c>
      <c r="D848" t="inlineStr">
        <is>
          <t>JÄMTLANDS LÄN</t>
        </is>
      </c>
      <c r="E848" t="inlineStr">
        <is>
          <t>ÖSTERSUND</t>
        </is>
      </c>
      <c r="F848" t="inlineStr">
        <is>
          <t>SCA</t>
        </is>
      </c>
      <c r="G848" t="n">
        <v>8.1</v>
      </c>
      <c r="H848" t="n">
        <v>0</v>
      </c>
      <c r="I848" t="n">
        <v>0</v>
      </c>
      <c r="J848" t="n">
        <v>0</v>
      </c>
      <c r="K848" t="n">
        <v>0</v>
      </c>
      <c r="L848" t="n">
        <v>0</v>
      </c>
      <c r="M848" t="n">
        <v>0</v>
      </c>
      <c r="N848" t="n">
        <v>0</v>
      </c>
      <c r="O848" t="n">
        <v>0</v>
      </c>
      <c r="P848" t="n">
        <v>0</v>
      </c>
      <c r="Q848" t="n">
        <v>0</v>
      </c>
      <c r="R848" s="2" t="inlineStr"/>
    </row>
    <row r="849" ht="15" customHeight="1">
      <c r="A849" t="inlineStr">
        <is>
          <t>A 31446-2024</t>
        </is>
      </c>
      <c r="B849" s="1" t="n">
        <v>45506</v>
      </c>
      <c r="C849" s="1" t="n">
        <v>45630</v>
      </c>
      <c r="D849" t="inlineStr">
        <is>
          <t>JÄMTLANDS LÄN</t>
        </is>
      </c>
      <c r="E849" t="inlineStr">
        <is>
          <t>ÖSTERSUND</t>
        </is>
      </c>
      <c r="G849" t="n">
        <v>5.5</v>
      </c>
      <c r="H849" t="n">
        <v>0</v>
      </c>
      <c r="I849" t="n">
        <v>0</v>
      </c>
      <c r="J849" t="n">
        <v>0</v>
      </c>
      <c r="K849" t="n">
        <v>0</v>
      </c>
      <c r="L849" t="n">
        <v>0</v>
      </c>
      <c r="M849" t="n">
        <v>0</v>
      </c>
      <c r="N849" t="n">
        <v>0</v>
      </c>
      <c r="O849" t="n">
        <v>0</v>
      </c>
      <c r="P849" t="n">
        <v>0</v>
      </c>
      <c r="Q849" t="n">
        <v>0</v>
      </c>
      <c r="R849" s="2" t="inlineStr"/>
    </row>
    <row r="850" ht="15" customHeight="1">
      <c r="A850" t="inlineStr">
        <is>
          <t>A 31445-2024</t>
        </is>
      </c>
      <c r="B850" s="1" t="n">
        <v>45506</v>
      </c>
      <c r="C850" s="1" t="n">
        <v>45630</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32224-2024</t>
        </is>
      </c>
      <c r="B851" s="1" t="n">
        <v>45512</v>
      </c>
      <c r="C851" s="1" t="n">
        <v>45630</v>
      </c>
      <c r="D851" t="inlineStr">
        <is>
          <t>JÄMTLANDS LÄN</t>
        </is>
      </c>
      <c r="E851" t="inlineStr">
        <is>
          <t>ÖSTERSUND</t>
        </is>
      </c>
      <c r="G851" t="n">
        <v>1</v>
      </c>
      <c r="H851" t="n">
        <v>0</v>
      </c>
      <c r="I851" t="n">
        <v>0</v>
      </c>
      <c r="J851" t="n">
        <v>0</v>
      </c>
      <c r="K851" t="n">
        <v>0</v>
      </c>
      <c r="L851" t="n">
        <v>0</v>
      </c>
      <c r="M851" t="n">
        <v>0</v>
      </c>
      <c r="N851" t="n">
        <v>0</v>
      </c>
      <c r="O851" t="n">
        <v>0</v>
      </c>
      <c r="P851" t="n">
        <v>0</v>
      </c>
      <c r="Q851" t="n">
        <v>0</v>
      </c>
      <c r="R851" s="2" t="inlineStr"/>
    </row>
    <row r="852" ht="15" customHeight="1">
      <c r="A852" t="inlineStr">
        <is>
          <t>A 32225-2024</t>
        </is>
      </c>
      <c r="B852" s="1" t="n">
        <v>45512</v>
      </c>
      <c r="C852" s="1" t="n">
        <v>45630</v>
      </c>
      <c r="D852" t="inlineStr">
        <is>
          <t>JÄMTLANDS LÄN</t>
        </is>
      </c>
      <c r="E852" t="inlineStr">
        <is>
          <t>ÖSTERSUND</t>
        </is>
      </c>
      <c r="G852" t="n">
        <v>2</v>
      </c>
      <c r="H852" t="n">
        <v>0</v>
      </c>
      <c r="I852" t="n">
        <v>0</v>
      </c>
      <c r="J852" t="n">
        <v>0</v>
      </c>
      <c r="K852" t="n">
        <v>0</v>
      </c>
      <c r="L852" t="n">
        <v>0</v>
      </c>
      <c r="M852" t="n">
        <v>0</v>
      </c>
      <c r="N852" t="n">
        <v>0</v>
      </c>
      <c r="O852" t="n">
        <v>0</v>
      </c>
      <c r="P852" t="n">
        <v>0</v>
      </c>
      <c r="Q852" t="n">
        <v>0</v>
      </c>
      <c r="R852" s="2" t="inlineStr"/>
    </row>
    <row r="853" ht="15" customHeight="1">
      <c r="A853" t="inlineStr">
        <is>
          <t>A 33091-2024</t>
        </is>
      </c>
      <c r="B853" s="1" t="n">
        <v>45517</v>
      </c>
      <c r="C853" s="1" t="n">
        <v>45630</v>
      </c>
      <c r="D853" t="inlineStr">
        <is>
          <t>JÄMTLANDS LÄN</t>
        </is>
      </c>
      <c r="E853" t="inlineStr">
        <is>
          <t>ÖSTERSUND</t>
        </is>
      </c>
      <c r="G853" t="n">
        <v>1</v>
      </c>
      <c r="H853" t="n">
        <v>0</v>
      </c>
      <c r="I853" t="n">
        <v>0</v>
      </c>
      <c r="J853" t="n">
        <v>0</v>
      </c>
      <c r="K853" t="n">
        <v>0</v>
      </c>
      <c r="L853" t="n">
        <v>0</v>
      </c>
      <c r="M853" t="n">
        <v>0</v>
      </c>
      <c r="N853" t="n">
        <v>0</v>
      </c>
      <c r="O853" t="n">
        <v>0</v>
      </c>
      <c r="P853" t="n">
        <v>0</v>
      </c>
      <c r="Q853" t="n">
        <v>0</v>
      </c>
      <c r="R853" s="2" t="inlineStr"/>
    </row>
    <row r="854" ht="15" customHeight="1">
      <c r="A854" t="inlineStr">
        <is>
          <t>A 33015-2024</t>
        </is>
      </c>
      <c r="B854" s="1" t="n">
        <v>45517</v>
      </c>
      <c r="C854" s="1" t="n">
        <v>45630</v>
      </c>
      <c r="D854" t="inlineStr">
        <is>
          <t>JÄMTLANDS LÄN</t>
        </is>
      </c>
      <c r="E854" t="inlineStr">
        <is>
          <t>ÖSTERSUND</t>
        </is>
      </c>
      <c r="G854" t="n">
        <v>2.6</v>
      </c>
      <c r="H854" t="n">
        <v>0</v>
      </c>
      <c r="I854" t="n">
        <v>0</v>
      </c>
      <c r="J854" t="n">
        <v>0</v>
      </c>
      <c r="K854" t="n">
        <v>0</v>
      </c>
      <c r="L854" t="n">
        <v>0</v>
      </c>
      <c r="M854" t="n">
        <v>0</v>
      </c>
      <c r="N854" t="n">
        <v>0</v>
      </c>
      <c r="O854" t="n">
        <v>0</v>
      </c>
      <c r="P854" t="n">
        <v>0</v>
      </c>
      <c r="Q854" t="n">
        <v>0</v>
      </c>
      <c r="R854" s="2" t="inlineStr"/>
    </row>
    <row r="855" ht="15" customHeight="1">
      <c r="A855" t="inlineStr">
        <is>
          <t>A 33621-2024</t>
        </is>
      </c>
      <c r="B855" s="1" t="n">
        <v>45520</v>
      </c>
      <c r="C855" s="1" t="n">
        <v>45630</v>
      </c>
      <c r="D855" t="inlineStr">
        <is>
          <t>JÄMTLANDS LÄN</t>
        </is>
      </c>
      <c r="E855" t="inlineStr">
        <is>
          <t>ÖSTERSUND</t>
        </is>
      </c>
      <c r="G855" t="n">
        <v>2.1</v>
      </c>
      <c r="H855" t="n">
        <v>0</v>
      </c>
      <c r="I855" t="n">
        <v>0</v>
      </c>
      <c r="J855" t="n">
        <v>0</v>
      </c>
      <c r="K855" t="n">
        <v>0</v>
      </c>
      <c r="L855" t="n">
        <v>0</v>
      </c>
      <c r="M855" t="n">
        <v>0</v>
      </c>
      <c r="N855" t="n">
        <v>0</v>
      </c>
      <c r="O855" t="n">
        <v>0</v>
      </c>
      <c r="P855" t="n">
        <v>0</v>
      </c>
      <c r="Q855" t="n">
        <v>0</v>
      </c>
      <c r="R855" s="2" t="inlineStr"/>
    </row>
    <row r="856" ht="15" customHeight="1">
      <c r="A856" t="inlineStr">
        <is>
          <t>A 33779-2024</t>
        </is>
      </c>
      <c r="B856" s="1" t="n">
        <v>45520</v>
      </c>
      <c r="C856" s="1" t="n">
        <v>45630</v>
      </c>
      <c r="D856" t="inlineStr">
        <is>
          <t>JÄMTLANDS LÄN</t>
        </is>
      </c>
      <c r="E856" t="inlineStr">
        <is>
          <t>ÖSTERSUND</t>
        </is>
      </c>
      <c r="G856" t="n">
        <v>1.5</v>
      </c>
      <c r="H856" t="n">
        <v>0</v>
      </c>
      <c r="I856" t="n">
        <v>0</v>
      </c>
      <c r="J856" t="n">
        <v>0</v>
      </c>
      <c r="K856" t="n">
        <v>0</v>
      </c>
      <c r="L856" t="n">
        <v>0</v>
      </c>
      <c r="M856" t="n">
        <v>0</v>
      </c>
      <c r="N856" t="n">
        <v>0</v>
      </c>
      <c r="O856" t="n">
        <v>0</v>
      </c>
      <c r="P856" t="n">
        <v>0</v>
      </c>
      <c r="Q856" t="n">
        <v>0</v>
      </c>
      <c r="R856" s="2" t="inlineStr"/>
    </row>
    <row r="857" ht="15" customHeight="1">
      <c r="A857" t="inlineStr">
        <is>
          <t>A 34112-2024</t>
        </is>
      </c>
      <c r="B857" s="1" t="n">
        <v>45524</v>
      </c>
      <c r="C857" s="1" t="n">
        <v>45630</v>
      </c>
      <c r="D857" t="inlineStr">
        <is>
          <t>JÄMTLANDS LÄN</t>
        </is>
      </c>
      <c r="E857" t="inlineStr">
        <is>
          <t>ÖSTERSUND</t>
        </is>
      </c>
      <c r="G857" t="n">
        <v>1.2</v>
      </c>
      <c r="H857" t="n">
        <v>0</v>
      </c>
      <c r="I857" t="n">
        <v>0</v>
      </c>
      <c r="J857" t="n">
        <v>0</v>
      </c>
      <c r="K857" t="n">
        <v>0</v>
      </c>
      <c r="L857" t="n">
        <v>0</v>
      </c>
      <c r="M857" t="n">
        <v>0</v>
      </c>
      <c r="N857" t="n">
        <v>0</v>
      </c>
      <c r="O857" t="n">
        <v>0</v>
      </c>
      <c r="P857" t="n">
        <v>0</v>
      </c>
      <c r="Q857" t="n">
        <v>0</v>
      </c>
      <c r="R857" s="2" t="inlineStr"/>
    </row>
    <row r="858" ht="15" customHeight="1">
      <c r="A858" t="inlineStr">
        <is>
          <t>A 34118-2024</t>
        </is>
      </c>
      <c r="B858" s="1" t="n">
        <v>45524</v>
      </c>
      <c r="C858" s="1" t="n">
        <v>45630</v>
      </c>
      <c r="D858" t="inlineStr">
        <is>
          <t>JÄMTLANDS LÄN</t>
        </is>
      </c>
      <c r="E858" t="inlineStr">
        <is>
          <t>ÖSTERSUND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34470-2024</t>
        </is>
      </c>
      <c r="B859" s="1" t="n">
        <v>45525</v>
      </c>
      <c r="C859" s="1" t="n">
        <v>45630</v>
      </c>
      <c r="D859" t="inlineStr">
        <is>
          <t>JÄMTLANDS LÄN</t>
        </is>
      </c>
      <c r="E859" t="inlineStr">
        <is>
          <t>ÖSTERSUND</t>
        </is>
      </c>
      <c r="G859" t="n">
        <v>7.6</v>
      </c>
      <c r="H859" t="n">
        <v>0</v>
      </c>
      <c r="I859" t="n">
        <v>0</v>
      </c>
      <c r="J859" t="n">
        <v>0</v>
      </c>
      <c r="K859" t="n">
        <v>0</v>
      </c>
      <c r="L859" t="n">
        <v>0</v>
      </c>
      <c r="M859" t="n">
        <v>0</v>
      </c>
      <c r="N859" t="n">
        <v>0</v>
      </c>
      <c r="O859" t="n">
        <v>0</v>
      </c>
      <c r="P859" t="n">
        <v>0</v>
      </c>
      <c r="Q859" t="n">
        <v>0</v>
      </c>
      <c r="R859" s="2" t="inlineStr"/>
    </row>
    <row r="860" ht="15" customHeight="1">
      <c r="A860" t="inlineStr">
        <is>
          <t>A 34507-2024</t>
        </is>
      </c>
      <c r="B860" s="1" t="n">
        <v>45525</v>
      </c>
      <c r="C860" s="1" t="n">
        <v>45630</v>
      </c>
      <c r="D860" t="inlineStr">
        <is>
          <t>JÄMTLANDS LÄN</t>
        </is>
      </c>
      <c r="E860" t="inlineStr">
        <is>
          <t>ÖSTERSUND</t>
        </is>
      </c>
      <c r="G860" t="n">
        <v>0.6</v>
      </c>
      <c r="H860" t="n">
        <v>0</v>
      </c>
      <c r="I860" t="n">
        <v>0</v>
      </c>
      <c r="J860" t="n">
        <v>0</v>
      </c>
      <c r="K860" t="n">
        <v>0</v>
      </c>
      <c r="L860" t="n">
        <v>0</v>
      </c>
      <c r="M860" t="n">
        <v>0</v>
      </c>
      <c r="N860" t="n">
        <v>0</v>
      </c>
      <c r="O860" t="n">
        <v>0</v>
      </c>
      <c r="P860" t="n">
        <v>0</v>
      </c>
      <c r="Q860" t="n">
        <v>0</v>
      </c>
      <c r="R860" s="2" t="inlineStr"/>
    </row>
    <row r="861" ht="15" customHeight="1">
      <c r="A861" t="inlineStr">
        <is>
          <t>A 35984-2024</t>
        </is>
      </c>
      <c r="B861" s="1" t="n">
        <v>45533</v>
      </c>
      <c r="C861" s="1" t="n">
        <v>45630</v>
      </c>
      <c r="D861" t="inlineStr">
        <is>
          <t>JÄMTLANDS LÄN</t>
        </is>
      </c>
      <c r="E861" t="inlineStr">
        <is>
          <t>ÖSTERSUND</t>
        </is>
      </c>
      <c r="G861" t="n">
        <v>2.9</v>
      </c>
      <c r="H861" t="n">
        <v>0</v>
      </c>
      <c r="I861" t="n">
        <v>0</v>
      </c>
      <c r="J861" t="n">
        <v>0</v>
      </c>
      <c r="K861" t="n">
        <v>0</v>
      </c>
      <c r="L861" t="n">
        <v>0</v>
      </c>
      <c r="M861" t="n">
        <v>0</v>
      </c>
      <c r="N861" t="n">
        <v>0</v>
      </c>
      <c r="O861" t="n">
        <v>0</v>
      </c>
      <c r="P861" t="n">
        <v>0</v>
      </c>
      <c r="Q861" t="n">
        <v>0</v>
      </c>
      <c r="R861" s="2" t="inlineStr"/>
    </row>
    <row r="862" ht="15" customHeight="1">
      <c r="A862" t="inlineStr">
        <is>
          <t>A 36465-2024</t>
        </is>
      </c>
      <c r="B862" s="1" t="n">
        <v>45537</v>
      </c>
      <c r="C862" s="1" t="n">
        <v>45630</v>
      </c>
      <c r="D862" t="inlineStr">
        <is>
          <t>JÄMTLANDS LÄN</t>
        </is>
      </c>
      <c r="E862" t="inlineStr">
        <is>
          <t>ÖSTERSUND</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36469-2024</t>
        </is>
      </c>
      <c r="B863" s="1" t="n">
        <v>45537</v>
      </c>
      <c r="C863" s="1" t="n">
        <v>45630</v>
      </c>
      <c r="D863" t="inlineStr">
        <is>
          <t>JÄMTLANDS LÄN</t>
        </is>
      </c>
      <c r="E863" t="inlineStr">
        <is>
          <t>ÖSTERSUND</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37270-2024</t>
        </is>
      </c>
      <c r="B864" s="1" t="n">
        <v>45540</v>
      </c>
      <c r="C864" s="1" t="n">
        <v>45630</v>
      </c>
      <c r="D864" t="inlineStr">
        <is>
          <t>JÄMTLANDS LÄN</t>
        </is>
      </c>
      <c r="E864" t="inlineStr">
        <is>
          <t>ÖSTERSUND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37685-2024</t>
        </is>
      </c>
      <c r="B865" s="1" t="n">
        <v>45541</v>
      </c>
      <c r="C865" s="1" t="n">
        <v>45630</v>
      </c>
      <c r="D865" t="inlineStr">
        <is>
          <t>JÄMTLANDS LÄN</t>
        </is>
      </c>
      <c r="E865" t="inlineStr">
        <is>
          <t>ÖSTERSUND</t>
        </is>
      </c>
      <c r="F865" t="inlineStr">
        <is>
          <t>SCA</t>
        </is>
      </c>
      <c r="G865" t="n">
        <v>11.2</v>
      </c>
      <c r="H865" t="n">
        <v>0</v>
      </c>
      <c r="I865" t="n">
        <v>0</v>
      </c>
      <c r="J865" t="n">
        <v>0</v>
      </c>
      <c r="K865" t="n">
        <v>0</v>
      </c>
      <c r="L865" t="n">
        <v>0</v>
      </c>
      <c r="M865" t="n">
        <v>0</v>
      </c>
      <c r="N865" t="n">
        <v>0</v>
      </c>
      <c r="O865" t="n">
        <v>0</v>
      </c>
      <c r="P865" t="n">
        <v>0</v>
      </c>
      <c r="Q865" t="n">
        <v>0</v>
      </c>
      <c r="R865" s="2" t="inlineStr"/>
    </row>
    <row r="866" ht="15" customHeight="1">
      <c r="A866" t="inlineStr">
        <is>
          <t>A 38926-2024</t>
        </is>
      </c>
      <c r="B866" s="1" t="n">
        <v>45547</v>
      </c>
      <c r="C866" s="1" t="n">
        <v>45630</v>
      </c>
      <c r="D866" t="inlineStr">
        <is>
          <t>JÄMTLANDS LÄN</t>
        </is>
      </c>
      <c r="E866" t="inlineStr">
        <is>
          <t>ÖSTERSUND</t>
        </is>
      </c>
      <c r="G866" t="n">
        <v>0.4</v>
      </c>
      <c r="H866" t="n">
        <v>0</v>
      </c>
      <c r="I866" t="n">
        <v>0</v>
      </c>
      <c r="J866" t="n">
        <v>0</v>
      </c>
      <c r="K866" t="n">
        <v>0</v>
      </c>
      <c r="L866" t="n">
        <v>0</v>
      </c>
      <c r="M866" t="n">
        <v>0</v>
      </c>
      <c r="N866" t="n">
        <v>0</v>
      </c>
      <c r="O866" t="n">
        <v>0</v>
      </c>
      <c r="P866" t="n">
        <v>0</v>
      </c>
      <c r="Q866" t="n">
        <v>0</v>
      </c>
      <c r="R866" s="2" t="inlineStr"/>
    </row>
    <row r="867" ht="15" customHeight="1">
      <c r="A867" t="inlineStr">
        <is>
          <t>A 38920-2024</t>
        </is>
      </c>
      <c r="B867" s="1" t="n">
        <v>45547</v>
      </c>
      <c r="C867" s="1" t="n">
        <v>45630</v>
      </c>
      <c r="D867" t="inlineStr">
        <is>
          <t>JÄMTLANDS LÄN</t>
        </is>
      </c>
      <c r="E867" t="inlineStr">
        <is>
          <t>ÖSTERSUND</t>
        </is>
      </c>
      <c r="G867" t="n">
        <v>1.9</v>
      </c>
      <c r="H867" t="n">
        <v>0</v>
      </c>
      <c r="I867" t="n">
        <v>0</v>
      </c>
      <c r="J867" t="n">
        <v>0</v>
      </c>
      <c r="K867" t="n">
        <v>0</v>
      </c>
      <c r="L867" t="n">
        <v>0</v>
      </c>
      <c r="M867" t="n">
        <v>0</v>
      </c>
      <c r="N867" t="n">
        <v>0</v>
      </c>
      <c r="O867" t="n">
        <v>0</v>
      </c>
      <c r="P867" t="n">
        <v>0</v>
      </c>
      <c r="Q867" t="n">
        <v>0</v>
      </c>
      <c r="R867" s="2" t="inlineStr"/>
    </row>
    <row r="868" ht="15" customHeight="1">
      <c r="A868" t="inlineStr">
        <is>
          <t>A 38924-2024</t>
        </is>
      </c>
      <c r="B868" s="1" t="n">
        <v>45547</v>
      </c>
      <c r="C868" s="1" t="n">
        <v>45630</v>
      </c>
      <c r="D868" t="inlineStr">
        <is>
          <t>JÄMTLANDS LÄN</t>
        </is>
      </c>
      <c r="E868" t="inlineStr">
        <is>
          <t>ÖSTERSUND</t>
        </is>
      </c>
      <c r="G868" t="n">
        <v>3.5</v>
      </c>
      <c r="H868" t="n">
        <v>0</v>
      </c>
      <c r="I868" t="n">
        <v>0</v>
      </c>
      <c r="J868" t="n">
        <v>0</v>
      </c>
      <c r="K868" t="n">
        <v>0</v>
      </c>
      <c r="L868" t="n">
        <v>0</v>
      </c>
      <c r="M868" t="n">
        <v>0</v>
      </c>
      <c r="N868" t="n">
        <v>0</v>
      </c>
      <c r="O868" t="n">
        <v>0</v>
      </c>
      <c r="P868" t="n">
        <v>0</v>
      </c>
      <c r="Q868" t="n">
        <v>0</v>
      </c>
      <c r="R868" s="2" t="inlineStr"/>
    </row>
    <row r="869" ht="15" customHeight="1">
      <c r="A869" t="inlineStr">
        <is>
          <t>A 39065-2024</t>
        </is>
      </c>
      <c r="B869" s="1" t="n">
        <v>45548</v>
      </c>
      <c r="C869" s="1" t="n">
        <v>45630</v>
      </c>
      <c r="D869" t="inlineStr">
        <is>
          <t>JÄMTLANDS LÄN</t>
        </is>
      </c>
      <c r="E869" t="inlineStr">
        <is>
          <t>ÖSTERSUND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39510-2024</t>
        </is>
      </c>
      <c r="B870" s="1" t="n">
        <v>45551</v>
      </c>
      <c r="C870" s="1" t="n">
        <v>45630</v>
      </c>
      <c r="D870" t="inlineStr">
        <is>
          <t>JÄMTLANDS LÄN</t>
        </is>
      </c>
      <c r="E870" t="inlineStr">
        <is>
          <t>ÖSTERSUND</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39509-2024</t>
        </is>
      </c>
      <c r="B871" s="1" t="n">
        <v>45551</v>
      </c>
      <c r="C871" s="1" t="n">
        <v>45630</v>
      </c>
      <c r="D871" t="inlineStr">
        <is>
          <t>JÄMTLANDS LÄN</t>
        </is>
      </c>
      <c r="E871" t="inlineStr">
        <is>
          <t>ÖSTERSUND</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39915-2024</t>
        </is>
      </c>
      <c r="B872" s="1" t="n">
        <v>45553</v>
      </c>
      <c r="C872" s="1" t="n">
        <v>45630</v>
      </c>
      <c r="D872" t="inlineStr">
        <is>
          <t>JÄMTLANDS LÄN</t>
        </is>
      </c>
      <c r="E872" t="inlineStr">
        <is>
          <t>ÖSTERSUND</t>
        </is>
      </c>
      <c r="G872" t="n">
        <v>1.3</v>
      </c>
      <c r="H872" t="n">
        <v>0</v>
      </c>
      <c r="I872" t="n">
        <v>0</v>
      </c>
      <c r="J872" t="n">
        <v>0</v>
      </c>
      <c r="K872" t="n">
        <v>0</v>
      </c>
      <c r="L872" t="n">
        <v>0</v>
      </c>
      <c r="M872" t="n">
        <v>0</v>
      </c>
      <c r="N872" t="n">
        <v>0</v>
      </c>
      <c r="O872" t="n">
        <v>0</v>
      </c>
      <c r="P872" t="n">
        <v>0</v>
      </c>
      <c r="Q872" t="n">
        <v>0</v>
      </c>
      <c r="R872" s="2" t="inlineStr"/>
    </row>
    <row r="873" ht="15" customHeight="1">
      <c r="A873" t="inlineStr">
        <is>
          <t>A 39975-2024</t>
        </is>
      </c>
      <c r="B873" s="1" t="n">
        <v>45553</v>
      </c>
      <c r="C873" s="1" t="n">
        <v>45630</v>
      </c>
      <c r="D873" t="inlineStr">
        <is>
          <t>JÄMTLANDS LÄN</t>
        </is>
      </c>
      <c r="E873" t="inlineStr">
        <is>
          <t>ÖSTERSUND</t>
        </is>
      </c>
      <c r="G873" t="n">
        <v>3.8</v>
      </c>
      <c r="H873" t="n">
        <v>0</v>
      </c>
      <c r="I873" t="n">
        <v>0</v>
      </c>
      <c r="J873" t="n">
        <v>0</v>
      </c>
      <c r="K873" t="n">
        <v>0</v>
      </c>
      <c r="L873" t="n">
        <v>0</v>
      </c>
      <c r="M873" t="n">
        <v>0</v>
      </c>
      <c r="N873" t="n">
        <v>0</v>
      </c>
      <c r="O873" t="n">
        <v>0</v>
      </c>
      <c r="P873" t="n">
        <v>0</v>
      </c>
      <c r="Q873" t="n">
        <v>0</v>
      </c>
      <c r="R873" s="2" t="inlineStr"/>
    </row>
    <row r="874" ht="15" customHeight="1">
      <c r="A874" t="inlineStr">
        <is>
          <t>A 40672-2024</t>
        </is>
      </c>
      <c r="B874" s="1" t="n">
        <v>45557</v>
      </c>
      <c r="C874" s="1" t="n">
        <v>45630</v>
      </c>
      <c r="D874" t="inlineStr">
        <is>
          <t>JÄMTLANDS LÄN</t>
        </is>
      </c>
      <c r="E874" t="inlineStr">
        <is>
          <t>ÖSTERSUND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40983-2024</t>
        </is>
      </c>
      <c r="B875" s="1" t="n">
        <v>45558</v>
      </c>
      <c r="C875" s="1" t="n">
        <v>45630</v>
      </c>
      <c r="D875" t="inlineStr">
        <is>
          <t>JÄMTLANDS LÄN</t>
        </is>
      </c>
      <c r="E875" t="inlineStr">
        <is>
          <t>ÖSTERSUND</t>
        </is>
      </c>
      <c r="F875" t="inlineStr">
        <is>
          <t>SCA</t>
        </is>
      </c>
      <c r="G875" t="n">
        <v>10.6</v>
      </c>
      <c r="H875" t="n">
        <v>0</v>
      </c>
      <c r="I875" t="n">
        <v>0</v>
      </c>
      <c r="J875" t="n">
        <v>0</v>
      </c>
      <c r="K875" t="n">
        <v>0</v>
      </c>
      <c r="L875" t="n">
        <v>0</v>
      </c>
      <c r="M875" t="n">
        <v>0</v>
      </c>
      <c r="N875" t="n">
        <v>0</v>
      </c>
      <c r="O875" t="n">
        <v>0</v>
      </c>
      <c r="P875" t="n">
        <v>0</v>
      </c>
      <c r="Q875" t="n">
        <v>0</v>
      </c>
      <c r="R875" s="2" t="inlineStr"/>
    </row>
    <row r="876" ht="15" customHeight="1">
      <c r="A876" t="inlineStr">
        <is>
          <t>A 41280-2024</t>
        </is>
      </c>
      <c r="B876" s="1" t="n">
        <v>45559</v>
      </c>
      <c r="C876" s="1" t="n">
        <v>45630</v>
      </c>
      <c r="D876" t="inlineStr">
        <is>
          <t>JÄMTLANDS LÄN</t>
        </is>
      </c>
      <c r="E876" t="inlineStr">
        <is>
          <t>ÖSTERSUND</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41483-2024</t>
        </is>
      </c>
      <c r="B877" s="1" t="n">
        <v>45560</v>
      </c>
      <c r="C877" s="1" t="n">
        <v>45630</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41780-2024</t>
        </is>
      </c>
      <c r="B878" s="1" t="n">
        <v>45561</v>
      </c>
      <c r="C878" s="1" t="n">
        <v>45630</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42550-2024</t>
        </is>
      </c>
      <c r="B879" s="1" t="n">
        <v>45565</v>
      </c>
      <c r="C879" s="1" t="n">
        <v>45630</v>
      </c>
      <c r="D879" t="inlineStr">
        <is>
          <t>JÄMTLANDS LÄN</t>
        </is>
      </c>
      <c r="E879" t="inlineStr">
        <is>
          <t>ÖSTERSUND</t>
        </is>
      </c>
      <c r="F879" t="inlineStr">
        <is>
          <t>Övriga Aktiebolag</t>
        </is>
      </c>
      <c r="G879" t="n">
        <v>0.9</v>
      </c>
      <c r="H879" t="n">
        <v>0</v>
      </c>
      <c r="I879" t="n">
        <v>0</v>
      </c>
      <c r="J879" t="n">
        <v>0</v>
      </c>
      <c r="K879" t="n">
        <v>0</v>
      </c>
      <c r="L879" t="n">
        <v>0</v>
      </c>
      <c r="M879" t="n">
        <v>0</v>
      </c>
      <c r="N879" t="n">
        <v>0</v>
      </c>
      <c r="O879" t="n">
        <v>0</v>
      </c>
      <c r="P879" t="n">
        <v>0</v>
      </c>
      <c r="Q879" t="n">
        <v>0</v>
      </c>
      <c r="R879" s="2" t="inlineStr"/>
    </row>
    <row r="880" ht="15" customHeight="1">
      <c r="A880" t="inlineStr">
        <is>
          <t>A 42547-2024</t>
        </is>
      </c>
      <c r="B880" s="1" t="n">
        <v>45565</v>
      </c>
      <c r="C880" s="1" t="n">
        <v>45630</v>
      </c>
      <c r="D880" t="inlineStr">
        <is>
          <t>JÄMTLANDS LÄN</t>
        </is>
      </c>
      <c r="E880" t="inlineStr">
        <is>
          <t>ÖSTERSUND</t>
        </is>
      </c>
      <c r="F880" t="inlineStr">
        <is>
          <t>Övriga Aktiebolag</t>
        </is>
      </c>
      <c r="G880" t="n">
        <v>7.1</v>
      </c>
      <c r="H880" t="n">
        <v>0</v>
      </c>
      <c r="I880" t="n">
        <v>0</v>
      </c>
      <c r="J880" t="n">
        <v>0</v>
      </c>
      <c r="K880" t="n">
        <v>0</v>
      </c>
      <c r="L880" t="n">
        <v>0</v>
      </c>
      <c r="M880" t="n">
        <v>0</v>
      </c>
      <c r="N880" t="n">
        <v>0</v>
      </c>
      <c r="O880" t="n">
        <v>0</v>
      </c>
      <c r="P880" t="n">
        <v>0</v>
      </c>
      <c r="Q880" t="n">
        <v>0</v>
      </c>
      <c r="R880" s="2" t="inlineStr"/>
    </row>
    <row r="881" ht="15" customHeight="1">
      <c r="A881" t="inlineStr">
        <is>
          <t>A 43082-2024</t>
        </is>
      </c>
      <c r="B881" s="1" t="n">
        <v>45567</v>
      </c>
      <c r="C881" s="1" t="n">
        <v>45630</v>
      </c>
      <c r="D881" t="inlineStr">
        <is>
          <t>JÄMTLANDS LÄN</t>
        </is>
      </c>
      <c r="E881" t="inlineStr">
        <is>
          <t>ÖSTERSUND</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43118-2024</t>
        </is>
      </c>
      <c r="B882" s="1" t="n">
        <v>45567</v>
      </c>
      <c r="C882" s="1" t="n">
        <v>45630</v>
      </c>
      <c r="D882" t="inlineStr">
        <is>
          <t>JÄMTLANDS LÄN</t>
        </is>
      </c>
      <c r="E882" t="inlineStr">
        <is>
          <t>ÖSTERSUND</t>
        </is>
      </c>
      <c r="G882" t="n">
        <v>5.1</v>
      </c>
      <c r="H882" t="n">
        <v>0</v>
      </c>
      <c r="I882" t="n">
        <v>0</v>
      </c>
      <c r="J882" t="n">
        <v>0</v>
      </c>
      <c r="K882" t="n">
        <v>0</v>
      </c>
      <c r="L882" t="n">
        <v>0</v>
      </c>
      <c r="M882" t="n">
        <v>0</v>
      </c>
      <c r="N882" t="n">
        <v>0</v>
      </c>
      <c r="O882" t="n">
        <v>0</v>
      </c>
      <c r="P882" t="n">
        <v>0</v>
      </c>
      <c r="Q882" t="n">
        <v>0</v>
      </c>
      <c r="R882" s="2" t="inlineStr"/>
    </row>
    <row r="883" ht="15" customHeight="1">
      <c r="A883" t="inlineStr">
        <is>
          <t>A 43016-2024</t>
        </is>
      </c>
      <c r="B883" s="1" t="n">
        <v>45567</v>
      </c>
      <c r="C883" s="1" t="n">
        <v>45630</v>
      </c>
      <c r="D883" t="inlineStr">
        <is>
          <t>JÄMTLANDS LÄN</t>
        </is>
      </c>
      <c r="E883" t="inlineStr">
        <is>
          <t>ÖSTERSUND</t>
        </is>
      </c>
      <c r="G883" t="n">
        <v>5.3</v>
      </c>
      <c r="H883" t="n">
        <v>0</v>
      </c>
      <c r="I883" t="n">
        <v>0</v>
      </c>
      <c r="J883" t="n">
        <v>0</v>
      </c>
      <c r="K883" t="n">
        <v>0</v>
      </c>
      <c r="L883" t="n">
        <v>0</v>
      </c>
      <c r="M883" t="n">
        <v>0</v>
      </c>
      <c r="N883" t="n">
        <v>0</v>
      </c>
      <c r="O883" t="n">
        <v>0</v>
      </c>
      <c r="P883" t="n">
        <v>0</v>
      </c>
      <c r="Q883" t="n">
        <v>0</v>
      </c>
      <c r="R883" s="2" t="inlineStr"/>
    </row>
    <row r="884" ht="15" customHeight="1">
      <c r="A884" t="inlineStr">
        <is>
          <t>A 43148-2024</t>
        </is>
      </c>
      <c r="B884" s="1" t="n">
        <v>45567</v>
      </c>
      <c r="C884" s="1" t="n">
        <v>45630</v>
      </c>
      <c r="D884" t="inlineStr">
        <is>
          <t>JÄMTLANDS LÄN</t>
        </is>
      </c>
      <c r="E884" t="inlineStr">
        <is>
          <t>ÖSTERSUND</t>
        </is>
      </c>
      <c r="G884" t="n">
        <v>3</v>
      </c>
      <c r="H884" t="n">
        <v>0</v>
      </c>
      <c r="I884" t="n">
        <v>0</v>
      </c>
      <c r="J884" t="n">
        <v>0</v>
      </c>
      <c r="K884" t="n">
        <v>0</v>
      </c>
      <c r="L884" t="n">
        <v>0</v>
      </c>
      <c r="M884" t="n">
        <v>0</v>
      </c>
      <c r="N884" t="n">
        <v>0</v>
      </c>
      <c r="O884" t="n">
        <v>0</v>
      </c>
      <c r="P884" t="n">
        <v>0</v>
      </c>
      <c r="Q884" t="n">
        <v>0</v>
      </c>
      <c r="R884" s="2" t="inlineStr"/>
    </row>
    <row r="885" ht="15" customHeight="1">
      <c r="A885" t="inlineStr">
        <is>
          <t>A 43557-2024</t>
        </is>
      </c>
      <c r="B885" s="1" t="n">
        <v>45569</v>
      </c>
      <c r="C885" s="1" t="n">
        <v>45630</v>
      </c>
      <c r="D885" t="inlineStr">
        <is>
          <t>JÄMTLANDS LÄN</t>
        </is>
      </c>
      <c r="E885" t="inlineStr">
        <is>
          <t>ÖSTERSUND</t>
        </is>
      </c>
      <c r="G885" t="n">
        <v>3.6</v>
      </c>
      <c r="H885" t="n">
        <v>0</v>
      </c>
      <c r="I885" t="n">
        <v>0</v>
      </c>
      <c r="J885" t="n">
        <v>0</v>
      </c>
      <c r="K885" t="n">
        <v>0</v>
      </c>
      <c r="L885" t="n">
        <v>0</v>
      </c>
      <c r="M885" t="n">
        <v>0</v>
      </c>
      <c r="N885" t="n">
        <v>0</v>
      </c>
      <c r="O885" t="n">
        <v>0</v>
      </c>
      <c r="P885" t="n">
        <v>0</v>
      </c>
      <c r="Q885" t="n">
        <v>0</v>
      </c>
      <c r="R885" s="2" t="inlineStr"/>
    </row>
    <row r="886" ht="15" customHeight="1">
      <c r="A886" t="inlineStr">
        <is>
          <t>A 43560-2024</t>
        </is>
      </c>
      <c r="B886" s="1" t="n">
        <v>45569</v>
      </c>
      <c r="C886" s="1" t="n">
        <v>45630</v>
      </c>
      <c r="D886" t="inlineStr">
        <is>
          <t>JÄMTLANDS LÄN</t>
        </is>
      </c>
      <c r="E886" t="inlineStr">
        <is>
          <t>ÖSTERSUND</t>
        </is>
      </c>
      <c r="G886" t="n">
        <v>2.7</v>
      </c>
      <c r="H886" t="n">
        <v>0</v>
      </c>
      <c r="I886" t="n">
        <v>0</v>
      </c>
      <c r="J886" t="n">
        <v>0</v>
      </c>
      <c r="K886" t="n">
        <v>0</v>
      </c>
      <c r="L886" t="n">
        <v>0</v>
      </c>
      <c r="M886" t="n">
        <v>0</v>
      </c>
      <c r="N886" t="n">
        <v>0</v>
      </c>
      <c r="O886" t="n">
        <v>0</v>
      </c>
      <c r="P886" t="n">
        <v>0</v>
      </c>
      <c r="Q886" t="n">
        <v>0</v>
      </c>
      <c r="R886" s="2" t="inlineStr"/>
    </row>
    <row r="887" ht="15" customHeight="1">
      <c r="A887" t="inlineStr">
        <is>
          <t>A 44048-2024</t>
        </is>
      </c>
      <c r="B887" s="1" t="n">
        <v>45572</v>
      </c>
      <c r="C887" s="1" t="n">
        <v>45630</v>
      </c>
      <c r="D887" t="inlineStr">
        <is>
          <t>JÄMTLANDS LÄN</t>
        </is>
      </c>
      <c r="E887" t="inlineStr">
        <is>
          <t>ÖSTERSUND</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44489-2024</t>
        </is>
      </c>
      <c r="B888" s="1" t="n">
        <v>45574</v>
      </c>
      <c r="C888" s="1" t="n">
        <v>45630</v>
      </c>
      <c r="D888" t="inlineStr">
        <is>
          <t>JÄMTLANDS LÄN</t>
        </is>
      </c>
      <c r="E888" t="inlineStr">
        <is>
          <t>ÖSTERSUND</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44707-2024</t>
        </is>
      </c>
      <c r="B889" s="1" t="n">
        <v>45574</v>
      </c>
      <c r="C889" s="1" t="n">
        <v>45630</v>
      </c>
      <c r="D889" t="inlineStr">
        <is>
          <t>JÄMTLANDS LÄN</t>
        </is>
      </c>
      <c r="E889" t="inlineStr">
        <is>
          <t>ÖSTERSUND</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45341-2024</t>
        </is>
      </c>
      <c r="B890" s="1" t="n">
        <v>45576</v>
      </c>
      <c r="C890" s="1" t="n">
        <v>45630</v>
      </c>
      <c r="D890" t="inlineStr">
        <is>
          <t>JÄMTLANDS LÄN</t>
        </is>
      </c>
      <c r="E890" t="inlineStr">
        <is>
          <t>ÖSTERSUND</t>
        </is>
      </c>
      <c r="G890" t="n">
        <v>5.9</v>
      </c>
      <c r="H890" t="n">
        <v>0</v>
      </c>
      <c r="I890" t="n">
        <v>0</v>
      </c>
      <c r="J890" t="n">
        <v>0</v>
      </c>
      <c r="K890" t="n">
        <v>0</v>
      </c>
      <c r="L890" t="n">
        <v>0</v>
      </c>
      <c r="M890" t="n">
        <v>0</v>
      </c>
      <c r="N890" t="n">
        <v>0</v>
      </c>
      <c r="O890" t="n">
        <v>0</v>
      </c>
      <c r="P890" t="n">
        <v>0</v>
      </c>
      <c r="Q890" t="n">
        <v>0</v>
      </c>
      <c r="R890" s="2" t="inlineStr"/>
    </row>
    <row r="891" ht="15" customHeight="1">
      <c r="A891" t="inlineStr">
        <is>
          <t>A 45338-2024</t>
        </is>
      </c>
      <c r="B891" s="1" t="n">
        <v>45576</v>
      </c>
      <c r="C891" s="1" t="n">
        <v>45630</v>
      </c>
      <c r="D891" t="inlineStr">
        <is>
          <t>JÄMTLANDS LÄN</t>
        </is>
      </c>
      <c r="E891" t="inlineStr">
        <is>
          <t>ÖSTERSUND</t>
        </is>
      </c>
      <c r="G891" t="n">
        <v>1.4</v>
      </c>
      <c r="H891" t="n">
        <v>0</v>
      </c>
      <c r="I891" t="n">
        <v>0</v>
      </c>
      <c r="J891" t="n">
        <v>0</v>
      </c>
      <c r="K891" t="n">
        <v>0</v>
      </c>
      <c r="L891" t="n">
        <v>0</v>
      </c>
      <c r="M891" t="n">
        <v>0</v>
      </c>
      <c r="N891" t="n">
        <v>0</v>
      </c>
      <c r="O891" t="n">
        <v>0</v>
      </c>
      <c r="P891" t="n">
        <v>0</v>
      </c>
      <c r="Q891" t="n">
        <v>0</v>
      </c>
      <c r="R891" s="2" t="inlineStr"/>
    </row>
    <row r="892" ht="15" customHeight="1">
      <c r="A892" t="inlineStr">
        <is>
          <t>A 45340-2024</t>
        </is>
      </c>
      <c r="B892" s="1" t="n">
        <v>45576</v>
      </c>
      <c r="C892" s="1" t="n">
        <v>45630</v>
      </c>
      <c r="D892" t="inlineStr">
        <is>
          <t>JÄMTLANDS LÄN</t>
        </is>
      </c>
      <c r="E892" t="inlineStr">
        <is>
          <t>ÖSTERSUND</t>
        </is>
      </c>
      <c r="G892" t="n">
        <v>1.6</v>
      </c>
      <c r="H892" t="n">
        <v>0</v>
      </c>
      <c r="I892" t="n">
        <v>0</v>
      </c>
      <c r="J892" t="n">
        <v>0</v>
      </c>
      <c r="K892" t="n">
        <v>0</v>
      </c>
      <c r="L892" t="n">
        <v>0</v>
      </c>
      <c r="M892" t="n">
        <v>0</v>
      </c>
      <c r="N892" t="n">
        <v>0</v>
      </c>
      <c r="O892" t="n">
        <v>0</v>
      </c>
      <c r="P892" t="n">
        <v>0</v>
      </c>
      <c r="Q892" t="n">
        <v>0</v>
      </c>
      <c r="R892" s="2" t="inlineStr"/>
    </row>
    <row r="893" ht="15" customHeight="1">
      <c r="A893" t="inlineStr">
        <is>
          <t>A 45610-2024</t>
        </is>
      </c>
      <c r="B893" s="1" t="n">
        <v>45579</v>
      </c>
      <c r="C893" s="1" t="n">
        <v>45630</v>
      </c>
      <c r="D893" t="inlineStr">
        <is>
          <t>JÄMTLANDS LÄN</t>
        </is>
      </c>
      <c r="E893" t="inlineStr">
        <is>
          <t>ÖSTERSUND</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45742-2024</t>
        </is>
      </c>
      <c r="B894" s="1" t="n">
        <v>45579</v>
      </c>
      <c r="C894" s="1" t="n">
        <v>45630</v>
      </c>
      <c r="D894" t="inlineStr">
        <is>
          <t>JÄMTLANDS LÄN</t>
        </is>
      </c>
      <c r="E894" t="inlineStr">
        <is>
          <t>ÖSTERSUND</t>
        </is>
      </c>
      <c r="G894" t="n">
        <v>2.4</v>
      </c>
      <c r="H894" t="n">
        <v>0</v>
      </c>
      <c r="I894" t="n">
        <v>0</v>
      </c>
      <c r="J894" t="n">
        <v>0</v>
      </c>
      <c r="K894" t="n">
        <v>0</v>
      </c>
      <c r="L894" t="n">
        <v>0</v>
      </c>
      <c r="M894" t="n">
        <v>0</v>
      </c>
      <c r="N894" t="n">
        <v>0</v>
      </c>
      <c r="O894" t="n">
        <v>0</v>
      </c>
      <c r="P894" t="n">
        <v>0</v>
      </c>
      <c r="Q894" t="n">
        <v>0</v>
      </c>
      <c r="R894" s="2" t="inlineStr"/>
    </row>
    <row r="895" ht="15" customHeight="1">
      <c r="A895" t="inlineStr">
        <is>
          <t>A 45895-2024</t>
        </is>
      </c>
      <c r="B895" s="1" t="n">
        <v>45580</v>
      </c>
      <c r="C895" s="1" t="n">
        <v>45630</v>
      </c>
      <c r="D895" t="inlineStr">
        <is>
          <t>JÄMTLANDS LÄN</t>
        </is>
      </c>
      <c r="E895" t="inlineStr">
        <is>
          <t>ÖSTERSUND</t>
        </is>
      </c>
      <c r="G895" t="n">
        <v>1.2</v>
      </c>
      <c r="H895" t="n">
        <v>0</v>
      </c>
      <c r="I895" t="n">
        <v>0</v>
      </c>
      <c r="J895" t="n">
        <v>0</v>
      </c>
      <c r="K895" t="n">
        <v>0</v>
      </c>
      <c r="L895" t="n">
        <v>0</v>
      </c>
      <c r="M895" t="n">
        <v>0</v>
      </c>
      <c r="N895" t="n">
        <v>0</v>
      </c>
      <c r="O895" t="n">
        <v>0</v>
      </c>
      <c r="P895" t="n">
        <v>0</v>
      </c>
      <c r="Q895" t="n">
        <v>0</v>
      </c>
      <c r="R895" s="2" t="inlineStr"/>
    </row>
    <row r="896" ht="15" customHeight="1">
      <c r="A896" t="inlineStr">
        <is>
          <t>A 45856-2024</t>
        </is>
      </c>
      <c r="B896" s="1" t="n">
        <v>45580</v>
      </c>
      <c r="C896" s="1" t="n">
        <v>45630</v>
      </c>
      <c r="D896" t="inlineStr">
        <is>
          <t>JÄMTLANDS LÄN</t>
        </is>
      </c>
      <c r="E896" t="inlineStr">
        <is>
          <t>ÖSTERSUND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46732-2024</t>
        </is>
      </c>
      <c r="B897" s="1" t="n">
        <v>45583</v>
      </c>
      <c r="C897" s="1" t="n">
        <v>45630</v>
      </c>
      <c r="D897" t="inlineStr">
        <is>
          <t>JÄMTLANDS LÄN</t>
        </is>
      </c>
      <c r="E897" t="inlineStr">
        <is>
          <t>ÖSTERSUND</t>
        </is>
      </c>
      <c r="G897" t="n">
        <v>3.3</v>
      </c>
      <c r="H897" t="n">
        <v>0</v>
      </c>
      <c r="I897" t="n">
        <v>0</v>
      </c>
      <c r="J897" t="n">
        <v>0</v>
      </c>
      <c r="K897" t="n">
        <v>0</v>
      </c>
      <c r="L897" t="n">
        <v>0</v>
      </c>
      <c r="M897" t="n">
        <v>0</v>
      </c>
      <c r="N897" t="n">
        <v>0</v>
      </c>
      <c r="O897" t="n">
        <v>0</v>
      </c>
      <c r="P897" t="n">
        <v>0</v>
      </c>
      <c r="Q897" t="n">
        <v>0</v>
      </c>
      <c r="R897" s="2" t="inlineStr"/>
    </row>
    <row r="898" ht="15" customHeight="1">
      <c r="A898" t="inlineStr">
        <is>
          <t>A 47245-2024</t>
        </is>
      </c>
      <c r="B898" s="1" t="n">
        <v>45586</v>
      </c>
      <c r="C898" s="1" t="n">
        <v>45630</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47022-2024</t>
        </is>
      </c>
      <c r="B899" s="1" t="n">
        <v>45586</v>
      </c>
      <c r="C899" s="1" t="n">
        <v>45630</v>
      </c>
      <c r="D899" t="inlineStr">
        <is>
          <t>JÄMTLANDS LÄN</t>
        </is>
      </c>
      <c r="E899" t="inlineStr">
        <is>
          <t>ÖSTERSUND</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47357-2024</t>
        </is>
      </c>
      <c r="B900" s="1" t="n">
        <v>45587</v>
      </c>
      <c r="C900" s="1" t="n">
        <v>45630</v>
      </c>
      <c r="D900" t="inlineStr">
        <is>
          <t>JÄMTLANDS LÄN</t>
        </is>
      </c>
      <c r="E900" t="inlineStr">
        <is>
          <t>ÖSTERSUND</t>
        </is>
      </c>
      <c r="G900" t="n">
        <v>2.4</v>
      </c>
      <c r="H900" t="n">
        <v>0</v>
      </c>
      <c r="I900" t="n">
        <v>0</v>
      </c>
      <c r="J900" t="n">
        <v>0</v>
      </c>
      <c r="K900" t="n">
        <v>0</v>
      </c>
      <c r="L900" t="n">
        <v>0</v>
      </c>
      <c r="M900" t="n">
        <v>0</v>
      </c>
      <c r="N900" t="n">
        <v>0</v>
      </c>
      <c r="O900" t="n">
        <v>0</v>
      </c>
      <c r="P900" t="n">
        <v>0</v>
      </c>
      <c r="Q900" t="n">
        <v>0</v>
      </c>
      <c r="R900" s="2" t="inlineStr"/>
    </row>
    <row r="901" ht="15" customHeight="1">
      <c r="A901" t="inlineStr">
        <is>
          <t>A 47804-2024</t>
        </is>
      </c>
      <c r="B901" s="1" t="n">
        <v>45588</v>
      </c>
      <c r="C901" s="1" t="n">
        <v>45630</v>
      </c>
      <c r="D901" t="inlineStr">
        <is>
          <t>JÄMTLANDS LÄN</t>
        </is>
      </c>
      <c r="E901" t="inlineStr">
        <is>
          <t>ÖSTERSUND</t>
        </is>
      </c>
      <c r="F901" t="inlineStr">
        <is>
          <t>SCA</t>
        </is>
      </c>
      <c r="G901" t="n">
        <v>7.3</v>
      </c>
      <c r="H901" t="n">
        <v>0</v>
      </c>
      <c r="I901" t="n">
        <v>0</v>
      </c>
      <c r="J901" t="n">
        <v>0</v>
      </c>
      <c r="K901" t="n">
        <v>0</v>
      </c>
      <c r="L901" t="n">
        <v>0</v>
      </c>
      <c r="M901" t="n">
        <v>0</v>
      </c>
      <c r="N901" t="n">
        <v>0</v>
      </c>
      <c r="O901" t="n">
        <v>0</v>
      </c>
      <c r="P901" t="n">
        <v>0</v>
      </c>
      <c r="Q901" t="n">
        <v>0</v>
      </c>
      <c r="R901" s="2" t="inlineStr"/>
    </row>
    <row r="902" ht="15" customHeight="1">
      <c r="A902" t="inlineStr">
        <is>
          <t>A 47630-2024</t>
        </is>
      </c>
      <c r="B902" s="1" t="n">
        <v>45588</v>
      </c>
      <c r="C902" s="1" t="n">
        <v>45630</v>
      </c>
      <c r="D902" t="inlineStr">
        <is>
          <t>JÄMTLANDS LÄN</t>
        </is>
      </c>
      <c r="E902" t="inlineStr">
        <is>
          <t>ÖSTERSUND</t>
        </is>
      </c>
      <c r="G902" t="n">
        <v>0.9</v>
      </c>
      <c r="H902" t="n">
        <v>0</v>
      </c>
      <c r="I902" t="n">
        <v>0</v>
      </c>
      <c r="J902" t="n">
        <v>0</v>
      </c>
      <c r="K902" t="n">
        <v>0</v>
      </c>
      <c r="L902" t="n">
        <v>0</v>
      </c>
      <c r="M902" t="n">
        <v>0</v>
      </c>
      <c r="N902" t="n">
        <v>0</v>
      </c>
      <c r="O902" t="n">
        <v>0</v>
      </c>
      <c r="P902" t="n">
        <v>0</v>
      </c>
      <c r="Q902" t="n">
        <v>0</v>
      </c>
      <c r="R902" s="2" t="inlineStr"/>
    </row>
    <row r="903" ht="15" customHeight="1">
      <c r="A903" t="inlineStr">
        <is>
          <t>A 47628-2024</t>
        </is>
      </c>
      <c r="B903" s="1" t="n">
        <v>45588</v>
      </c>
      <c r="C903" s="1" t="n">
        <v>45630</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47789-2024</t>
        </is>
      </c>
      <c r="B904" s="1" t="n">
        <v>45588</v>
      </c>
      <c r="C904" s="1" t="n">
        <v>45630</v>
      </c>
      <c r="D904" t="inlineStr">
        <is>
          <t>JÄMTLANDS LÄN</t>
        </is>
      </c>
      <c r="E904" t="inlineStr">
        <is>
          <t>ÖSTERSUND</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47805-2024</t>
        </is>
      </c>
      <c r="B905" s="1" t="n">
        <v>45588</v>
      </c>
      <c r="C905" s="1" t="n">
        <v>45630</v>
      </c>
      <c r="D905" t="inlineStr">
        <is>
          <t>JÄMTLANDS LÄN</t>
        </is>
      </c>
      <c r="E905" t="inlineStr">
        <is>
          <t>ÖSTERSUND</t>
        </is>
      </c>
      <c r="G905" t="n">
        <v>7.4</v>
      </c>
      <c r="H905" t="n">
        <v>0</v>
      </c>
      <c r="I905" t="n">
        <v>0</v>
      </c>
      <c r="J905" t="n">
        <v>0</v>
      </c>
      <c r="K905" t="n">
        <v>0</v>
      </c>
      <c r="L905" t="n">
        <v>0</v>
      </c>
      <c r="M905" t="n">
        <v>0</v>
      </c>
      <c r="N905" t="n">
        <v>0</v>
      </c>
      <c r="O905" t="n">
        <v>0</v>
      </c>
      <c r="P905" t="n">
        <v>0</v>
      </c>
      <c r="Q905" t="n">
        <v>0</v>
      </c>
      <c r="R905" s="2" t="inlineStr"/>
    </row>
    <row r="906" ht="15" customHeight="1">
      <c r="A906" t="inlineStr">
        <is>
          <t>A 47627-2024</t>
        </is>
      </c>
      <c r="B906" s="1" t="n">
        <v>45588</v>
      </c>
      <c r="C906" s="1" t="n">
        <v>45630</v>
      </c>
      <c r="D906" t="inlineStr">
        <is>
          <t>JÄMTLANDS LÄN</t>
        </is>
      </c>
      <c r="E906" t="inlineStr">
        <is>
          <t>ÖSTERSUND</t>
        </is>
      </c>
      <c r="G906" t="n">
        <v>0.8</v>
      </c>
      <c r="H906" t="n">
        <v>0</v>
      </c>
      <c r="I906" t="n">
        <v>0</v>
      </c>
      <c r="J906" t="n">
        <v>0</v>
      </c>
      <c r="K906" t="n">
        <v>0</v>
      </c>
      <c r="L906" t="n">
        <v>0</v>
      </c>
      <c r="M906" t="n">
        <v>0</v>
      </c>
      <c r="N906" t="n">
        <v>0</v>
      </c>
      <c r="O906" t="n">
        <v>0</v>
      </c>
      <c r="P906" t="n">
        <v>0</v>
      </c>
      <c r="Q906" t="n">
        <v>0</v>
      </c>
      <c r="R906" s="2" t="inlineStr"/>
    </row>
    <row r="907" ht="15" customHeight="1">
      <c r="A907" t="inlineStr">
        <is>
          <t>A 48131-2024</t>
        </is>
      </c>
      <c r="B907" s="1" t="n">
        <v>45589</v>
      </c>
      <c r="C907" s="1" t="n">
        <v>45630</v>
      </c>
      <c r="D907" t="inlineStr">
        <is>
          <t>JÄMTLANDS LÄN</t>
        </is>
      </c>
      <c r="E907" t="inlineStr">
        <is>
          <t>ÖSTERSUND</t>
        </is>
      </c>
      <c r="G907" t="n">
        <v>2.6</v>
      </c>
      <c r="H907" t="n">
        <v>0</v>
      </c>
      <c r="I907" t="n">
        <v>0</v>
      </c>
      <c r="J907" t="n">
        <v>0</v>
      </c>
      <c r="K907" t="n">
        <v>0</v>
      </c>
      <c r="L907" t="n">
        <v>0</v>
      </c>
      <c r="M907" t="n">
        <v>0</v>
      </c>
      <c r="N907" t="n">
        <v>0</v>
      </c>
      <c r="O907" t="n">
        <v>0</v>
      </c>
      <c r="P907" t="n">
        <v>0</v>
      </c>
      <c r="Q907" t="n">
        <v>0</v>
      </c>
      <c r="R907" s="2" t="inlineStr"/>
    </row>
    <row r="908" ht="15" customHeight="1">
      <c r="A908" t="inlineStr">
        <is>
          <t>A 48106-2024</t>
        </is>
      </c>
      <c r="B908" s="1" t="n">
        <v>45589</v>
      </c>
      <c r="C908" s="1" t="n">
        <v>45630</v>
      </c>
      <c r="D908" t="inlineStr">
        <is>
          <t>JÄMTLANDS LÄN</t>
        </is>
      </c>
      <c r="E908" t="inlineStr">
        <is>
          <t>ÖSTERSUND</t>
        </is>
      </c>
      <c r="G908" t="n">
        <v>3.5</v>
      </c>
      <c r="H908" t="n">
        <v>0</v>
      </c>
      <c r="I908" t="n">
        <v>0</v>
      </c>
      <c r="J908" t="n">
        <v>0</v>
      </c>
      <c r="K908" t="n">
        <v>0</v>
      </c>
      <c r="L908" t="n">
        <v>0</v>
      </c>
      <c r="M908" t="n">
        <v>0</v>
      </c>
      <c r="N908" t="n">
        <v>0</v>
      </c>
      <c r="O908" t="n">
        <v>0</v>
      </c>
      <c r="P908" t="n">
        <v>0</v>
      </c>
      <c r="Q908" t="n">
        <v>0</v>
      </c>
      <c r="R908" s="2" t="inlineStr"/>
    </row>
    <row r="909" ht="15" customHeight="1">
      <c r="A909" t="inlineStr">
        <is>
          <t>A 48421-2024</t>
        </is>
      </c>
      <c r="B909" s="1" t="n">
        <v>45590</v>
      </c>
      <c r="C909" s="1" t="n">
        <v>45630</v>
      </c>
      <c r="D909" t="inlineStr">
        <is>
          <t>JÄMTLANDS LÄN</t>
        </is>
      </c>
      <c r="E909" t="inlineStr">
        <is>
          <t>ÖSTERSUND</t>
        </is>
      </c>
      <c r="G909" t="n">
        <v>1.9</v>
      </c>
      <c r="H909" t="n">
        <v>0</v>
      </c>
      <c r="I909" t="n">
        <v>0</v>
      </c>
      <c r="J909" t="n">
        <v>0</v>
      </c>
      <c r="K909" t="n">
        <v>0</v>
      </c>
      <c r="L909" t="n">
        <v>0</v>
      </c>
      <c r="M909" t="n">
        <v>0</v>
      </c>
      <c r="N909" t="n">
        <v>0</v>
      </c>
      <c r="O909" t="n">
        <v>0</v>
      </c>
      <c r="P909" t="n">
        <v>0</v>
      </c>
      <c r="Q909" t="n">
        <v>0</v>
      </c>
      <c r="R909" s="2" t="inlineStr"/>
    </row>
    <row r="910" ht="15" customHeight="1">
      <c r="A910" t="inlineStr">
        <is>
          <t>A 48422-2024</t>
        </is>
      </c>
      <c r="B910" s="1" t="n">
        <v>45590</v>
      </c>
      <c r="C910" s="1" t="n">
        <v>45630</v>
      </c>
      <c r="D910" t="inlineStr">
        <is>
          <t>JÄMTLANDS LÄN</t>
        </is>
      </c>
      <c r="E910" t="inlineStr">
        <is>
          <t>ÖSTERSUND</t>
        </is>
      </c>
      <c r="G910" t="n">
        <v>14.6</v>
      </c>
      <c r="H910" t="n">
        <v>0</v>
      </c>
      <c r="I910" t="n">
        <v>0</v>
      </c>
      <c r="J910" t="n">
        <v>0</v>
      </c>
      <c r="K910" t="n">
        <v>0</v>
      </c>
      <c r="L910" t="n">
        <v>0</v>
      </c>
      <c r="M910" t="n">
        <v>0</v>
      </c>
      <c r="N910" t="n">
        <v>0</v>
      </c>
      <c r="O910" t="n">
        <v>0</v>
      </c>
      <c r="P910" t="n">
        <v>0</v>
      </c>
      <c r="Q910" t="n">
        <v>0</v>
      </c>
      <c r="R910" s="2" t="inlineStr"/>
    </row>
    <row r="911" ht="15" customHeight="1">
      <c r="A911" t="inlineStr">
        <is>
          <t>A 48696-2024</t>
        </is>
      </c>
      <c r="B911" s="1" t="n">
        <v>45593</v>
      </c>
      <c r="C911" s="1" t="n">
        <v>45630</v>
      </c>
      <c r="D911" t="inlineStr">
        <is>
          <t>JÄMTLANDS LÄN</t>
        </is>
      </c>
      <c r="E911" t="inlineStr">
        <is>
          <t>ÖSTERSUND</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48737-2024</t>
        </is>
      </c>
      <c r="B912" s="1" t="n">
        <v>45593</v>
      </c>
      <c r="C912" s="1" t="n">
        <v>45630</v>
      </c>
      <c r="D912" t="inlineStr">
        <is>
          <t>JÄMTLANDS LÄN</t>
        </is>
      </c>
      <c r="E912" t="inlineStr">
        <is>
          <t>ÖSTERSUND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49192-2024</t>
        </is>
      </c>
      <c r="B913" s="1" t="n">
        <v>45595</v>
      </c>
      <c r="C913" s="1" t="n">
        <v>45630</v>
      </c>
      <c r="D913" t="inlineStr">
        <is>
          <t>JÄMTLANDS LÄN</t>
        </is>
      </c>
      <c r="E913" t="inlineStr">
        <is>
          <t>ÖSTERSUND</t>
        </is>
      </c>
      <c r="G913" t="n">
        <v>1.1</v>
      </c>
      <c r="H913" t="n">
        <v>0</v>
      </c>
      <c r="I913" t="n">
        <v>0</v>
      </c>
      <c r="J913" t="n">
        <v>0</v>
      </c>
      <c r="K913" t="n">
        <v>0</v>
      </c>
      <c r="L913" t="n">
        <v>0</v>
      </c>
      <c r="M913" t="n">
        <v>0</v>
      </c>
      <c r="N913" t="n">
        <v>0</v>
      </c>
      <c r="O913" t="n">
        <v>0</v>
      </c>
      <c r="P913" t="n">
        <v>0</v>
      </c>
      <c r="Q913" t="n">
        <v>0</v>
      </c>
      <c r="R913" s="2" t="inlineStr"/>
    </row>
    <row r="914" ht="15" customHeight="1">
      <c r="A914" t="inlineStr">
        <is>
          <t>A 49240-2024</t>
        </is>
      </c>
      <c r="B914" s="1" t="n">
        <v>45595</v>
      </c>
      <c r="C914" s="1" t="n">
        <v>45630</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49546-2024</t>
        </is>
      </c>
      <c r="B915" s="1" t="n">
        <v>45596</v>
      </c>
      <c r="C915" s="1" t="n">
        <v>45630</v>
      </c>
      <c r="D915" t="inlineStr">
        <is>
          <t>JÄMTLANDS LÄN</t>
        </is>
      </c>
      <c r="E915" t="inlineStr">
        <is>
          <t>ÖSTERSUND</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49592-2024</t>
        </is>
      </c>
      <c r="B916" s="1" t="n">
        <v>45596</v>
      </c>
      <c r="C916" s="1" t="n">
        <v>45630</v>
      </c>
      <c r="D916" t="inlineStr">
        <is>
          <t>JÄMTLANDS LÄN</t>
        </is>
      </c>
      <c r="E916" t="inlineStr">
        <is>
          <t>ÖSTERSUND</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49788-2024</t>
        </is>
      </c>
      <c r="B917" s="1" t="n">
        <v>45597</v>
      </c>
      <c r="C917" s="1" t="n">
        <v>45630</v>
      </c>
      <c r="D917" t="inlineStr">
        <is>
          <t>JÄMTLANDS LÄN</t>
        </is>
      </c>
      <c r="E917" t="inlineStr">
        <is>
          <t>ÖSTERSUND</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50088-2024</t>
        </is>
      </c>
      <c r="B918" s="1" t="n">
        <v>45600</v>
      </c>
      <c r="C918" s="1" t="n">
        <v>45630</v>
      </c>
      <c r="D918" t="inlineStr">
        <is>
          <t>JÄMTLANDS LÄN</t>
        </is>
      </c>
      <c r="E918" t="inlineStr">
        <is>
          <t>ÖSTERSUND</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50218-2024</t>
        </is>
      </c>
      <c r="B919" s="1" t="n">
        <v>45600</v>
      </c>
      <c r="C919" s="1" t="n">
        <v>45630</v>
      </c>
      <c r="D919" t="inlineStr">
        <is>
          <t>JÄMTLANDS LÄN</t>
        </is>
      </c>
      <c r="E919" t="inlineStr">
        <is>
          <t>ÖSTERSUND</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50560-2024</t>
        </is>
      </c>
      <c r="B920" s="1" t="n">
        <v>45601</v>
      </c>
      <c r="C920" s="1" t="n">
        <v>45630</v>
      </c>
      <c r="D920" t="inlineStr">
        <is>
          <t>JÄMTLANDS LÄN</t>
        </is>
      </c>
      <c r="E920" t="inlineStr">
        <is>
          <t>ÖSTERSUND</t>
        </is>
      </c>
      <c r="G920" t="n">
        <v>2.3</v>
      </c>
      <c r="H920" t="n">
        <v>0</v>
      </c>
      <c r="I920" t="n">
        <v>0</v>
      </c>
      <c r="J920" t="n">
        <v>0</v>
      </c>
      <c r="K920" t="n">
        <v>0</v>
      </c>
      <c r="L920" t="n">
        <v>0</v>
      </c>
      <c r="M920" t="n">
        <v>0</v>
      </c>
      <c r="N920" t="n">
        <v>0</v>
      </c>
      <c r="O920" t="n">
        <v>0</v>
      </c>
      <c r="P920" t="n">
        <v>0</v>
      </c>
      <c r="Q920" t="n">
        <v>0</v>
      </c>
      <c r="R920" s="2" t="inlineStr"/>
    </row>
    <row r="921" ht="15" customHeight="1">
      <c r="A921" t="inlineStr">
        <is>
          <t>A 50861-2024</t>
        </is>
      </c>
      <c r="B921" s="1" t="n">
        <v>45602</v>
      </c>
      <c r="C921" s="1" t="n">
        <v>45630</v>
      </c>
      <c r="D921" t="inlineStr">
        <is>
          <t>JÄMTLANDS LÄN</t>
        </is>
      </c>
      <c r="E921" t="inlineStr">
        <is>
          <t>ÖSTERSUND</t>
        </is>
      </c>
      <c r="G921" t="n">
        <v>5</v>
      </c>
      <c r="H921" t="n">
        <v>0</v>
      </c>
      <c r="I921" t="n">
        <v>0</v>
      </c>
      <c r="J921" t="n">
        <v>0</v>
      </c>
      <c r="K921" t="n">
        <v>0</v>
      </c>
      <c r="L921" t="n">
        <v>0</v>
      </c>
      <c r="M921" t="n">
        <v>0</v>
      </c>
      <c r="N921" t="n">
        <v>0</v>
      </c>
      <c r="O921" t="n">
        <v>0</v>
      </c>
      <c r="P921" t="n">
        <v>0</v>
      </c>
      <c r="Q921" t="n">
        <v>0</v>
      </c>
      <c r="R921" s="2" t="inlineStr"/>
    </row>
    <row r="922" ht="15" customHeight="1">
      <c r="A922" t="inlineStr">
        <is>
          <t>A 50860-2024</t>
        </is>
      </c>
      <c r="B922" s="1" t="n">
        <v>45602</v>
      </c>
      <c r="C922" s="1" t="n">
        <v>45630</v>
      </c>
      <c r="D922" t="inlineStr">
        <is>
          <t>JÄMTLANDS LÄN</t>
        </is>
      </c>
      <c r="E922" t="inlineStr">
        <is>
          <t>ÖSTERSUND</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50971-2024</t>
        </is>
      </c>
      <c r="B923" s="1" t="n">
        <v>45603</v>
      </c>
      <c r="C923" s="1" t="n">
        <v>45630</v>
      </c>
      <c r="D923" t="inlineStr">
        <is>
          <t>JÄMTLANDS LÄN</t>
        </is>
      </c>
      <c r="E923" t="inlineStr">
        <is>
          <t>ÖSTERSUND</t>
        </is>
      </c>
      <c r="G923" t="n">
        <v>3.2</v>
      </c>
      <c r="H923" t="n">
        <v>0</v>
      </c>
      <c r="I923" t="n">
        <v>0</v>
      </c>
      <c r="J923" t="n">
        <v>0</v>
      </c>
      <c r="K923" t="n">
        <v>0</v>
      </c>
      <c r="L923" t="n">
        <v>0</v>
      </c>
      <c r="M923" t="n">
        <v>0</v>
      </c>
      <c r="N923" t="n">
        <v>0</v>
      </c>
      <c r="O923" t="n">
        <v>0</v>
      </c>
      <c r="P923" t="n">
        <v>0</v>
      </c>
      <c r="Q923" t="n">
        <v>0</v>
      </c>
      <c r="R923" s="2" t="inlineStr"/>
    </row>
    <row r="924" ht="15" customHeight="1">
      <c r="A924" t="inlineStr">
        <is>
          <t>A 51379-2024</t>
        </is>
      </c>
      <c r="B924" s="1" t="n">
        <v>45604</v>
      </c>
      <c r="C924" s="1" t="n">
        <v>45630</v>
      </c>
      <c r="D924" t="inlineStr">
        <is>
          <t>JÄMTLANDS LÄN</t>
        </is>
      </c>
      <c r="E924" t="inlineStr">
        <is>
          <t>ÖSTERSUND</t>
        </is>
      </c>
      <c r="G924" t="n">
        <v>2</v>
      </c>
      <c r="H924" t="n">
        <v>0</v>
      </c>
      <c r="I924" t="n">
        <v>0</v>
      </c>
      <c r="J924" t="n">
        <v>0</v>
      </c>
      <c r="K924" t="n">
        <v>0</v>
      </c>
      <c r="L924" t="n">
        <v>0</v>
      </c>
      <c r="M924" t="n">
        <v>0</v>
      </c>
      <c r="N924" t="n">
        <v>0</v>
      </c>
      <c r="O924" t="n">
        <v>0</v>
      </c>
      <c r="P924" t="n">
        <v>0</v>
      </c>
      <c r="Q924" t="n">
        <v>0</v>
      </c>
      <c r="R924" s="2" t="inlineStr"/>
    </row>
    <row r="925" ht="15" customHeight="1">
      <c r="A925" t="inlineStr">
        <is>
          <t>A 51818-2024</t>
        </is>
      </c>
      <c r="B925" s="1" t="n">
        <v>45607</v>
      </c>
      <c r="C925" s="1" t="n">
        <v>45630</v>
      </c>
      <c r="D925" t="inlineStr">
        <is>
          <t>JÄMTLANDS LÄN</t>
        </is>
      </c>
      <c r="E925" t="inlineStr">
        <is>
          <t>ÖSTERSUND</t>
        </is>
      </c>
      <c r="G925" t="n">
        <v>4.6</v>
      </c>
      <c r="H925" t="n">
        <v>0</v>
      </c>
      <c r="I925" t="n">
        <v>0</v>
      </c>
      <c r="J925" t="n">
        <v>0</v>
      </c>
      <c r="K925" t="n">
        <v>0</v>
      </c>
      <c r="L925" t="n">
        <v>0</v>
      </c>
      <c r="M925" t="n">
        <v>0</v>
      </c>
      <c r="N925" t="n">
        <v>0</v>
      </c>
      <c r="O925" t="n">
        <v>0</v>
      </c>
      <c r="P925" t="n">
        <v>0</v>
      </c>
      <c r="Q925" t="n">
        <v>0</v>
      </c>
      <c r="R925" s="2" t="inlineStr"/>
    </row>
    <row r="926" ht="15" customHeight="1">
      <c r="A926" t="inlineStr">
        <is>
          <t>A 51826-2024</t>
        </is>
      </c>
      <c r="B926" s="1" t="n">
        <v>45607</v>
      </c>
      <c r="C926" s="1" t="n">
        <v>45630</v>
      </c>
      <c r="D926" t="inlineStr">
        <is>
          <t>JÄMTLANDS LÄN</t>
        </is>
      </c>
      <c r="E926" t="inlineStr">
        <is>
          <t>ÖSTERSUND</t>
        </is>
      </c>
      <c r="G926" t="n">
        <v>1.1</v>
      </c>
      <c r="H926" t="n">
        <v>0</v>
      </c>
      <c r="I926" t="n">
        <v>0</v>
      </c>
      <c r="J926" t="n">
        <v>0</v>
      </c>
      <c r="K926" t="n">
        <v>0</v>
      </c>
      <c r="L926" t="n">
        <v>0</v>
      </c>
      <c r="M926" t="n">
        <v>0</v>
      </c>
      <c r="N926" t="n">
        <v>0</v>
      </c>
      <c r="O926" t="n">
        <v>0</v>
      </c>
      <c r="P926" t="n">
        <v>0</v>
      </c>
      <c r="Q926" t="n">
        <v>0</v>
      </c>
      <c r="R926" s="2" t="inlineStr"/>
    </row>
    <row r="927" ht="15" customHeight="1">
      <c r="A927" t="inlineStr">
        <is>
          <t>A 51865-2024</t>
        </is>
      </c>
      <c r="B927" s="1" t="n">
        <v>45607</v>
      </c>
      <c r="C927" s="1" t="n">
        <v>45630</v>
      </c>
      <c r="D927" t="inlineStr">
        <is>
          <t>JÄMTLANDS LÄN</t>
        </is>
      </c>
      <c r="E927" t="inlineStr">
        <is>
          <t>ÖSTERSUND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51856-2024</t>
        </is>
      </c>
      <c r="B928" s="1" t="n">
        <v>45607</v>
      </c>
      <c r="C928" s="1" t="n">
        <v>45630</v>
      </c>
      <c r="D928" t="inlineStr">
        <is>
          <t>JÄMTLANDS LÄN</t>
        </is>
      </c>
      <c r="E928" t="inlineStr">
        <is>
          <t>ÖSTERSUND</t>
        </is>
      </c>
      <c r="G928" t="n">
        <v>13.5</v>
      </c>
      <c r="H928" t="n">
        <v>0</v>
      </c>
      <c r="I928" t="n">
        <v>0</v>
      </c>
      <c r="J928" t="n">
        <v>0</v>
      </c>
      <c r="K928" t="n">
        <v>0</v>
      </c>
      <c r="L928" t="n">
        <v>0</v>
      </c>
      <c r="M928" t="n">
        <v>0</v>
      </c>
      <c r="N928" t="n">
        <v>0</v>
      </c>
      <c r="O928" t="n">
        <v>0</v>
      </c>
      <c r="P928" t="n">
        <v>0</v>
      </c>
      <c r="Q928" t="n">
        <v>0</v>
      </c>
      <c r="R928" s="2" t="inlineStr"/>
    </row>
    <row r="929" ht="15" customHeight="1">
      <c r="A929" t="inlineStr">
        <is>
          <t>A 52405-2024</t>
        </is>
      </c>
      <c r="B929" s="1" t="n">
        <v>45609</v>
      </c>
      <c r="C929" s="1" t="n">
        <v>45630</v>
      </c>
      <c r="D929" t="inlineStr">
        <is>
          <t>JÄMTLANDS LÄN</t>
        </is>
      </c>
      <c r="E929" t="inlineStr">
        <is>
          <t>ÖSTERSUND</t>
        </is>
      </c>
      <c r="G929" t="n">
        <v>4.3</v>
      </c>
      <c r="H929" t="n">
        <v>0</v>
      </c>
      <c r="I929" t="n">
        <v>0</v>
      </c>
      <c r="J929" t="n">
        <v>0</v>
      </c>
      <c r="K929" t="n">
        <v>0</v>
      </c>
      <c r="L929" t="n">
        <v>0</v>
      </c>
      <c r="M929" t="n">
        <v>0</v>
      </c>
      <c r="N929" t="n">
        <v>0</v>
      </c>
      <c r="O929" t="n">
        <v>0</v>
      </c>
      <c r="P929" t="n">
        <v>0</v>
      </c>
      <c r="Q929" t="n">
        <v>0</v>
      </c>
      <c r="R929" s="2" t="inlineStr"/>
    </row>
    <row r="930" ht="15" customHeight="1">
      <c r="A930" t="inlineStr">
        <is>
          <t>A 52480-2024</t>
        </is>
      </c>
      <c r="B930" s="1" t="n">
        <v>45609</v>
      </c>
      <c r="C930" s="1" t="n">
        <v>45630</v>
      </c>
      <c r="D930" t="inlineStr">
        <is>
          <t>JÄMTLANDS LÄN</t>
        </is>
      </c>
      <c r="E930" t="inlineStr">
        <is>
          <t>ÖSTERSUND</t>
        </is>
      </c>
      <c r="G930" t="n">
        <v>20.2</v>
      </c>
      <c r="H930" t="n">
        <v>0</v>
      </c>
      <c r="I930" t="n">
        <v>0</v>
      </c>
      <c r="J930" t="n">
        <v>0</v>
      </c>
      <c r="K930" t="n">
        <v>0</v>
      </c>
      <c r="L930" t="n">
        <v>0</v>
      </c>
      <c r="M930" t="n">
        <v>0</v>
      </c>
      <c r="N930" t="n">
        <v>0</v>
      </c>
      <c r="O930" t="n">
        <v>0</v>
      </c>
      <c r="P930" t="n">
        <v>0</v>
      </c>
      <c r="Q930" t="n">
        <v>0</v>
      </c>
      <c r="R930" s="2" t="inlineStr"/>
    </row>
    <row r="931" ht="15" customHeight="1">
      <c r="A931" t="inlineStr">
        <is>
          <t>A 52483-2024</t>
        </is>
      </c>
      <c r="B931" s="1" t="n">
        <v>45609</v>
      </c>
      <c r="C931" s="1" t="n">
        <v>45630</v>
      </c>
      <c r="D931" t="inlineStr">
        <is>
          <t>JÄMTLANDS LÄN</t>
        </is>
      </c>
      <c r="E931" t="inlineStr">
        <is>
          <t>ÖSTERSUND</t>
        </is>
      </c>
      <c r="G931" t="n">
        <v>3</v>
      </c>
      <c r="H931" t="n">
        <v>0</v>
      </c>
      <c r="I931" t="n">
        <v>0</v>
      </c>
      <c r="J931" t="n">
        <v>0</v>
      </c>
      <c r="K931" t="n">
        <v>0</v>
      </c>
      <c r="L931" t="n">
        <v>0</v>
      </c>
      <c r="M931" t="n">
        <v>0</v>
      </c>
      <c r="N931" t="n">
        <v>0</v>
      </c>
      <c r="O931" t="n">
        <v>0</v>
      </c>
      <c r="P931" t="n">
        <v>0</v>
      </c>
      <c r="Q931" t="n">
        <v>0</v>
      </c>
      <c r="R931" s="2" t="inlineStr"/>
    </row>
    <row r="932" ht="15" customHeight="1">
      <c r="A932" t="inlineStr">
        <is>
          <t>A 52482-2024</t>
        </is>
      </c>
      <c r="B932" s="1" t="n">
        <v>45609</v>
      </c>
      <c r="C932" s="1" t="n">
        <v>45630</v>
      </c>
      <c r="D932" t="inlineStr">
        <is>
          <t>JÄMTLANDS LÄN</t>
        </is>
      </c>
      <c r="E932" t="inlineStr">
        <is>
          <t>ÖSTERSUND</t>
        </is>
      </c>
      <c r="G932" t="n">
        <v>7.3</v>
      </c>
      <c r="H932" t="n">
        <v>0</v>
      </c>
      <c r="I932" t="n">
        <v>0</v>
      </c>
      <c r="J932" t="n">
        <v>0</v>
      </c>
      <c r="K932" t="n">
        <v>0</v>
      </c>
      <c r="L932" t="n">
        <v>0</v>
      </c>
      <c r="M932" t="n">
        <v>0</v>
      </c>
      <c r="N932" t="n">
        <v>0</v>
      </c>
      <c r="O932" t="n">
        <v>0</v>
      </c>
      <c r="P932" t="n">
        <v>0</v>
      </c>
      <c r="Q932" t="n">
        <v>0</v>
      </c>
      <c r="R932" s="2" t="inlineStr"/>
    </row>
    <row r="933" ht="15" customHeight="1">
      <c r="A933" t="inlineStr">
        <is>
          <t>A 52481-2024</t>
        </is>
      </c>
      <c r="B933" s="1" t="n">
        <v>45609</v>
      </c>
      <c r="C933" s="1" t="n">
        <v>45630</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52854-2024</t>
        </is>
      </c>
      <c r="B934" s="1" t="n">
        <v>45610</v>
      </c>
      <c r="C934" s="1" t="n">
        <v>45630</v>
      </c>
      <c r="D934" t="inlineStr">
        <is>
          <t>JÄMTLANDS LÄN</t>
        </is>
      </c>
      <c r="E934" t="inlineStr">
        <is>
          <t>ÖSTERSUND</t>
        </is>
      </c>
      <c r="G934" t="n">
        <v>2.5</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45630</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45630</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53060-2024</t>
        </is>
      </c>
      <c r="B937" s="1" t="n">
        <v>45611</v>
      </c>
      <c r="C937" s="1" t="n">
        <v>45630</v>
      </c>
      <c r="D937" t="inlineStr">
        <is>
          <t>JÄMTLANDS LÄN</t>
        </is>
      </c>
      <c r="E937" t="inlineStr">
        <is>
          <t>ÖSTERSUND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53516-2024</t>
        </is>
      </c>
      <c r="B938" s="1" t="n">
        <v>45614</v>
      </c>
      <c r="C938" s="1" t="n">
        <v>45630</v>
      </c>
      <c r="D938" t="inlineStr">
        <is>
          <t>JÄMTLANDS LÄN</t>
        </is>
      </c>
      <c r="E938" t="inlineStr">
        <is>
          <t>ÖSTERSUND</t>
        </is>
      </c>
      <c r="G938" t="n">
        <v>4.5</v>
      </c>
      <c r="H938" t="n">
        <v>0</v>
      </c>
      <c r="I938" t="n">
        <v>0</v>
      </c>
      <c r="J938" t="n">
        <v>0</v>
      </c>
      <c r="K938" t="n">
        <v>0</v>
      </c>
      <c r="L938" t="n">
        <v>0</v>
      </c>
      <c r="M938" t="n">
        <v>0</v>
      </c>
      <c r="N938" t="n">
        <v>0</v>
      </c>
      <c r="O938" t="n">
        <v>0</v>
      </c>
      <c r="P938" t="n">
        <v>0</v>
      </c>
      <c r="Q938" t="n">
        <v>0</v>
      </c>
      <c r="R938" s="2" t="inlineStr"/>
    </row>
    <row r="939" ht="15" customHeight="1">
      <c r="A939" t="inlineStr">
        <is>
          <t>A 53520-2024</t>
        </is>
      </c>
      <c r="B939" s="1" t="n">
        <v>45614</v>
      </c>
      <c r="C939" s="1" t="n">
        <v>45630</v>
      </c>
      <c r="D939" t="inlineStr">
        <is>
          <t>JÄMTLANDS LÄN</t>
        </is>
      </c>
      <c r="E939" t="inlineStr">
        <is>
          <t>ÖSTERSUND</t>
        </is>
      </c>
      <c r="G939" t="n">
        <v>3</v>
      </c>
      <c r="H939" t="n">
        <v>0</v>
      </c>
      <c r="I939" t="n">
        <v>0</v>
      </c>
      <c r="J939" t="n">
        <v>0</v>
      </c>
      <c r="K939" t="n">
        <v>0</v>
      </c>
      <c r="L939" t="n">
        <v>0</v>
      </c>
      <c r="M939" t="n">
        <v>0</v>
      </c>
      <c r="N939" t="n">
        <v>0</v>
      </c>
      <c r="O939" t="n">
        <v>0</v>
      </c>
      <c r="P939" t="n">
        <v>0</v>
      </c>
      <c r="Q939" t="n">
        <v>0</v>
      </c>
      <c r="R939" s="2" t="inlineStr"/>
    </row>
    <row r="940" ht="15" customHeight="1">
      <c r="A940" t="inlineStr">
        <is>
          <t>A 53536-2024</t>
        </is>
      </c>
      <c r="B940" s="1" t="n">
        <v>45614</v>
      </c>
      <c r="C940" s="1" t="n">
        <v>45630</v>
      </c>
      <c r="D940" t="inlineStr">
        <is>
          <t>JÄMTLANDS LÄN</t>
        </is>
      </c>
      <c r="E940" t="inlineStr">
        <is>
          <t>ÖSTERSUND</t>
        </is>
      </c>
      <c r="G940" t="n">
        <v>4.1</v>
      </c>
      <c r="H940" t="n">
        <v>0</v>
      </c>
      <c r="I940" t="n">
        <v>0</v>
      </c>
      <c r="J940" t="n">
        <v>0</v>
      </c>
      <c r="K940" t="n">
        <v>0</v>
      </c>
      <c r="L940" t="n">
        <v>0</v>
      </c>
      <c r="M940" t="n">
        <v>0</v>
      </c>
      <c r="N940" t="n">
        <v>0</v>
      </c>
      <c r="O940" t="n">
        <v>0</v>
      </c>
      <c r="P940" t="n">
        <v>0</v>
      </c>
      <c r="Q940" t="n">
        <v>0</v>
      </c>
      <c r="R940" s="2" t="inlineStr"/>
    </row>
    <row r="941" ht="15" customHeight="1">
      <c r="A941" t="inlineStr">
        <is>
          <t>A 53745-2024</t>
        </is>
      </c>
      <c r="B941" s="1" t="n">
        <v>45615</v>
      </c>
      <c r="C941" s="1" t="n">
        <v>45630</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53864-2024</t>
        </is>
      </c>
      <c r="B942" s="1" t="n">
        <v>45615</v>
      </c>
      <c r="C942" s="1" t="n">
        <v>45630</v>
      </c>
      <c r="D942" t="inlineStr">
        <is>
          <t>JÄMTLANDS LÄN</t>
        </is>
      </c>
      <c r="E942" t="inlineStr">
        <is>
          <t>ÖSTERSUND</t>
        </is>
      </c>
      <c r="G942" t="n">
        <v>5.5</v>
      </c>
      <c r="H942" t="n">
        <v>0</v>
      </c>
      <c r="I942" t="n">
        <v>0</v>
      </c>
      <c r="J942" t="n">
        <v>0</v>
      </c>
      <c r="K942" t="n">
        <v>0</v>
      </c>
      <c r="L942" t="n">
        <v>0</v>
      </c>
      <c r="M942" t="n">
        <v>0</v>
      </c>
      <c r="N942" t="n">
        <v>0</v>
      </c>
      <c r="O942" t="n">
        <v>0</v>
      </c>
      <c r="P942" t="n">
        <v>0</v>
      </c>
      <c r="Q942" t="n">
        <v>0</v>
      </c>
      <c r="R942" s="2" t="inlineStr"/>
    </row>
    <row r="943" ht="15" customHeight="1">
      <c r="A943" t="inlineStr">
        <is>
          <t>A 53660-2024</t>
        </is>
      </c>
      <c r="B943" s="1" t="n">
        <v>45615</v>
      </c>
      <c r="C943" s="1" t="n">
        <v>45630</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54237-2024</t>
        </is>
      </c>
      <c r="B944" s="1" t="n">
        <v>45616</v>
      </c>
      <c r="C944" s="1" t="n">
        <v>45630</v>
      </c>
      <c r="D944" t="inlineStr">
        <is>
          <t>JÄMTLANDS LÄN</t>
        </is>
      </c>
      <c r="E944" t="inlineStr">
        <is>
          <t>ÖSTERSUND</t>
        </is>
      </c>
      <c r="F944" t="inlineStr">
        <is>
          <t>SCA</t>
        </is>
      </c>
      <c r="G944" t="n">
        <v>8.9</v>
      </c>
      <c r="H944" t="n">
        <v>0</v>
      </c>
      <c r="I944" t="n">
        <v>0</v>
      </c>
      <c r="J944" t="n">
        <v>0</v>
      </c>
      <c r="K944" t="n">
        <v>0</v>
      </c>
      <c r="L944" t="n">
        <v>0</v>
      </c>
      <c r="M944" t="n">
        <v>0</v>
      </c>
      <c r="N944" t="n">
        <v>0</v>
      </c>
      <c r="O944" t="n">
        <v>0</v>
      </c>
      <c r="P944" t="n">
        <v>0</v>
      </c>
      <c r="Q944" t="n">
        <v>0</v>
      </c>
      <c r="R944" s="2" t="inlineStr"/>
    </row>
    <row r="945" ht="15" customHeight="1">
      <c r="A945" t="inlineStr">
        <is>
          <t>A 54317-2024</t>
        </is>
      </c>
      <c r="B945" s="1" t="n">
        <v>45617</v>
      </c>
      <c r="C945" s="1" t="n">
        <v>45630</v>
      </c>
      <c r="D945" t="inlineStr">
        <is>
          <t>JÄMTLANDS LÄN</t>
        </is>
      </c>
      <c r="E945" t="inlineStr">
        <is>
          <t>ÖSTERSUND</t>
        </is>
      </c>
      <c r="G945" t="n">
        <v>4.3</v>
      </c>
      <c r="H945" t="n">
        <v>0</v>
      </c>
      <c r="I945" t="n">
        <v>0</v>
      </c>
      <c r="J945" t="n">
        <v>0</v>
      </c>
      <c r="K945" t="n">
        <v>0</v>
      </c>
      <c r="L945" t="n">
        <v>0</v>
      </c>
      <c r="M945" t="n">
        <v>0</v>
      </c>
      <c r="N945" t="n">
        <v>0</v>
      </c>
      <c r="O945" t="n">
        <v>0</v>
      </c>
      <c r="P945" t="n">
        <v>0</v>
      </c>
      <c r="Q945" t="n">
        <v>0</v>
      </c>
      <c r="R945" s="2" t="inlineStr"/>
    </row>
    <row r="946" ht="15" customHeight="1">
      <c r="A946" t="inlineStr">
        <is>
          <t>A 54359-2024</t>
        </is>
      </c>
      <c r="B946" s="1" t="n">
        <v>45617</v>
      </c>
      <c r="C946" s="1" t="n">
        <v>45630</v>
      </c>
      <c r="D946" t="inlineStr">
        <is>
          <t>JÄMTLANDS LÄN</t>
        </is>
      </c>
      <c r="E946" t="inlineStr">
        <is>
          <t>ÖSTERSUND</t>
        </is>
      </c>
      <c r="G946" t="n">
        <v>3.2</v>
      </c>
      <c r="H946" t="n">
        <v>0</v>
      </c>
      <c r="I946" t="n">
        <v>0</v>
      </c>
      <c r="J946" t="n">
        <v>0</v>
      </c>
      <c r="K946" t="n">
        <v>0</v>
      </c>
      <c r="L946" t="n">
        <v>0</v>
      </c>
      <c r="M946" t="n">
        <v>0</v>
      </c>
      <c r="N946" t="n">
        <v>0</v>
      </c>
      <c r="O946" t="n">
        <v>0</v>
      </c>
      <c r="P946" t="n">
        <v>0</v>
      </c>
      <c r="Q946" t="n">
        <v>0</v>
      </c>
      <c r="R946" s="2" t="inlineStr"/>
    </row>
    <row r="947" ht="15" customHeight="1">
      <c r="A947" t="inlineStr">
        <is>
          <t>A 54587-2024</t>
        </is>
      </c>
      <c r="B947" s="1" t="n">
        <v>45617</v>
      </c>
      <c r="C947" s="1" t="n">
        <v>45630</v>
      </c>
      <c r="D947" t="inlineStr">
        <is>
          <t>JÄMTLANDS LÄN</t>
        </is>
      </c>
      <c r="E947" t="inlineStr">
        <is>
          <t>ÖSTERSUND</t>
        </is>
      </c>
      <c r="G947" t="n">
        <v>14</v>
      </c>
      <c r="H947" t="n">
        <v>0</v>
      </c>
      <c r="I947" t="n">
        <v>0</v>
      </c>
      <c r="J947" t="n">
        <v>0</v>
      </c>
      <c r="K947" t="n">
        <v>0</v>
      </c>
      <c r="L947" t="n">
        <v>0</v>
      </c>
      <c r="M947" t="n">
        <v>0</v>
      </c>
      <c r="N947" t="n">
        <v>0</v>
      </c>
      <c r="O947" t="n">
        <v>0</v>
      </c>
      <c r="P947" t="n">
        <v>0</v>
      </c>
      <c r="Q947" t="n">
        <v>0</v>
      </c>
      <c r="R947" s="2" t="inlineStr"/>
    </row>
    <row r="948" ht="15" customHeight="1">
      <c r="A948" t="inlineStr">
        <is>
          <t>A 54354-2024</t>
        </is>
      </c>
      <c r="B948" s="1" t="n">
        <v>45617</v>
      </c>
      <c r="C948" s="1" t="n">
        <v>45630</v>
      </c>
      <c r="D948" t="inlineStr">
        <is>
          <t>JÄMTLANDS LÄN</t>
        </is>
      </c>
      <c r="E948" t="inlineStr">
        <is>
          <t>ÖSTERSUND</t>
        </is>
      </c>
      <c r="G948" t="n">
        <v>7</v>
      </c>
      <c r="H948" t="n">
        <v>0</v>
      </c>
      <c r="I948" t="n">
        <v>0</v>
      </c>
      <c r="J948" t="n">
        <v>0</v>
      </c>
      <c r="K948" t="n">
        <v>0</v>
      </c>
      <c r="L948" t="n">
        <v>0</v>
      </c>
      <c r="M948" t="n">
        <v>0</v>
      </c>
      <c r="N948" t="n">
        <v>0</v>
      </c>
      <c r="O948" t="n">
        <v>0</v>
      </c>
      <c r="P948" t="n">
        <v>0</v>
      </c>
      <c r="Q948" t="n">
        <v>0</v>
      </c>
      <c r="R948" s="2" t="inlineStr"/>
    </row>
    <row r="949" ht="15" customHeight="1">
      <c r="A949" t="inlineStr">
        <is>
          <t>A 54508-2024</t>
        </is>
      </c>
      <c r="B949" s="1" t="n">
        <v>45617</v>
      </c>
      <c r="C949" s="1" t="n">
        <v>45630</v>
      </c>
      <c r="D949" t="inlineStr">
        <is>
          <t>JÄMTLANDS LÄN</t>
        </is>
      </c>
      <c r="E949" t="inlineStr">
        <is>
          <t>ÖSTERSUND</t>
        </is>
      </c>
      <c r="G949" t="n">
        <v>7.6</v>
      </c>
      <c r="H949" t="n">
        <v>0</v>
      </c>
      <c r="I949" t="n">
        <v>0</v>
      </c>
      <c r="J949" t="n">
        <v>0</v>
      </c>
      <c r="K949" t="n">
        <v>0</v>
      </c>
      <c r="L949" t="n">
        <v>0</v>
      </c>
      <c r="M949" t="n">
        <v>0</v>
      </c>
      <c r="N949" t="n">
        <v>0</v>
      </c>
      <c r="O949" t="n">
        <v>0</v>
      </c>
      <c r="P949" t="n">
        <v>0</v>
      </c>
      <c r="Q949" t="n">
        <v>0</v>
      </c>
      <c r="R949" s="2" t="inlineStr"/>
    </row>
    <row r="950" ht="15" customHeight="1">
      <c r="A950" t="inlineStr">
        <is>
          <t>A 54913-2024</t>
        </is>
      </c>
      <c r="B950" s="1" t="n">
        <v>45618</v>
      </c>
      <c r="C950" s="1" t="n">
        <v>45630</v>
      </c>
      <c r="D950" t="inlineStr">
        <is>
          <t>JÄMTLANDS LÄN</t>
        </is>
      </c>
      <c r="E950" t="inlineStr">
        <is>
          <t>ÖSTERSUND</t>
        </is>
      </c>
      <c r="G950" t="n">
        <v>4.7</v>
      </c>
      <c r="H950" t="n">
        <v>0</v>
      </c>
      <c r="I950" t="n">
        <v>0</v>
      </c>
      <c r="J950" t="n">
        <v>0</v>
      </c>
      <c r="K950" t="n">
        <v>0</v>
      </c>
      <c r="L950" t="n">
        <v>0</v>
      </c>
      <c r="M950" t="n">
        <v>0</v>
      </c>
      <c r="N950" t="n">
        <v>0</v>
      </c>
      <c r="O950" t="n">
        <v>0</v>
      </c>
      <c r="P950" t="n">
        <v>0</v>
      </c>
      <c r="Q950" t="n">
        <v>0</v>
      </c>
      <c r="R950" s="2" t="inlineStr"/>
    </row>
    <row r="951" ht="15" customHeight="1">
      <c r="A951" t="inlineStr">
        <is>
          <t>A 55002-2024</t>
        </is>
      </c>
      <c r="B951" s="1" t="n">
        <v>45621</v>
      </c>
      <c r="C951" s="1" t="n">
        <v>45630</v>
      </c>
      <c r="D951" t="inlineStr">
        <is>
          <t>JÄMTLANDS LÄN</t>
        </is>
      </c>
      <c r="E951" t="inlineStr">
        <is>
          <t>ÖSTERSUND</t>
        </is>
      </c>
      <c r="F951" t="inlineStr">
        <is>
          <t>Övriga Aktiebolag</t>
        </is>
      </c>
      <c r="G951" t="n">
        <v>0.3</v>
      </c>
      <c r="H951" t="n">
        <v>0</v>
      </c>
      <c r="I951" t="n">
        <v>0</v>
      </c>
      <c r="J951" t="n">
        <v>0</v>
      </c>
      <c r="K951" t="n">
        <v>0</v>
      </c>
      <c r="L951" t="n">
        <v>0</v>
      </c>
      <c r="M951" t="n">
        <v>0</v>
      </c>
      <c r="N951" t="n">
        <v>0</v>
      </c>
      <c r="O951" t="n">
        <v>0</v>
      </c>
      <c r="P951" t="n">
        <v>0</v>
      </c>
      <c r="Q951" t="n">
        <v>0</v>
      </c>
      <c r="R951" s="2" t="inlineStr"/>
    </row>
    <row r="952" ht="15" customHeight="1">
      <c r="A952" t="inlineStr">
        <is>
          <t>A 55064-2024</t>
        </is>
      </c>
      <c r="B952" s="1" t="n">
        <v>45621</v>
      </c>
      <c r="C952" s="1" t="n">
        <v>45630</v>
      </c>
      <c r="D952" t="inlineStr">
        <is>
          <t>JÄMTLANDS LÄN</t>
        </is>
      </c>
      <c r="E952" t="inlineStr">
        <is>
          <t>ÖSTERSUND</t>
        </is>
      </c>
      <c r="G952" t="n">
        <v>0.8</v>
      </c>
      <c r="H952" t="n">
        <v>0</v>
      </c>
      <c r="I952" t="n">
        <v>0</v>
      </c>
      <c r="J952" t="n">
        <v>0</v>
      </c>
      <c r="K952" t="n">
        <v>0</v>
      </c>
      <c r="L952" t="n">
        <v>0</v>
      </c>
      <c r="M952" t="n">
        <v>0</v>
      </c>
      <c r="N952" t="n">
        <v>0</v>
      </c>
      <c r="O952" t="n">
        <v>0</v>
      </c>
      <c r="P952" t="n">
        <v>0</v>
      </c>
      <c r="Q952" t="n">
        <v>0</v>
      </c>
      <c r="R952" s="2" t="inlineStr"/>
    </row>
    <row r="953" ht="15" customHeight="1">
      <c r="A953" t="inlineStr">
        <is>
          <t>A 55061-2024</t>
        </is>
      </c>
      <c r="B953" s="1" t="n">
        <v>45621</v>
      </c>
      <c r="C953" s="1" t="n">
        <v>45630</v>
      </c>
      <c r="D953" t="inlineStr">
        <is>
          <t>JÄMTLANDS LÄN</t>
        </is>
      </c>
      <c r="E953" t="inlineStr">
        <is>
          <t>ÖSTERSUND</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55302-2024</t>
        </is>
      </c>
      <c r="B954" s="1" t="n">
        <v>45621</v>
      </c>
      <c r="C954" s="1" t="n">
        <v>45630</v>
      </c>
      <c r="D954" t="inlineStr">
        <is>
          <t>JÄMTLANDS LÄN</t>
        </is>
      </c>
      <c r="E954" t="inlineStr">
        <is>
          <t>ÖSTERSUND</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55314-2024</t>
        </is>
      </c>
      <c r="B955" s="1" t="n">
        <v>45621</v>
      </c>
      <c r="C955" s="1" t="n">
        <v>45630</v>
      </c>
      <c r="D955" t="inlineStr">
        <is>
          <t>JÄMTLANDS LÄN</t>
        </is>
      </c>
      <c r="E955" t="inlineStr">
        <is>
          <t>ÖSTERSUND</t>
        </is>
      </c>
      <c r="G955" t="n">
        <v>14.2</v>
      </c>
      <c r="H955" t="n">
        <v>0</v>
      </c>
      <c r="I955" t="n">
        <v>0</v>
      </c>
      <c r="J955" t="n">
        <v>0</v>
      </c>
      <c r="K955" t="n">
        <v>0</v>
      </c>
      <c r="L955" t="n">
        <v>0</v>
      </c>
      <c r="M955" t="n">
        <v>0</v>
      </c>
      <c r="N955" t="n">
        <v>0</v>
      </c>
      <c r="O955" t="n">
        <v>0</v>
      </c>
      <c r="P955" t="n">
        <v>0</v>
      </c>
      <c r="Q955" t="n">
        <v>0</v>
      </c>
      <c r="R955" s="2" t="inlineStr"/>
    </row>
    <row r="956" ht="15" customHeight="1">
      <c r="A956" t="inlineStr">
        <is>
          <t>A 55365-2024</t>
        </is>
      </c>
      <c r="B956" s="1" t="n">
        <v>45621</v>
      </c>
      <c r="C956" s="1" t="n">
        <v>45630</v>
      </c>
      <c r="D956" t="inlineStr">
        <is>
          <t>JÄMTLANDS LÄN</t>
        </is>
      </c>
      <c r="E956" t="inlineStr">
        <is>
          <t>ÖSTERSUND</t>
        </is>
      </c>
      <c r="G956" t="n">
        <v>1.6</v>
      </c>
      <c r="H956" t="n">
        <v>0</v>
      </c>
      <c r="I956" t="n">
        <v>0</v>
      </c>
      <c r="J956" t="n">
        <v>0</v>
      </c>
      <c r="K956" t="n">
        <v>0</v>
      </c>
      <c r="L956" t="n">
        <v>0</v>
      </c>
      <c r="M956" t="n">
        <v>0</v>
      </c>
      <c r="N956" t="n">
        <v>0</v>
      </c>
      <c r="O956" t="n">
        <v>0</v>
      </c>
      <c r="P956" t="n">
        <v>0</v>
      </c>
      <c r="Q956" t="n">
        <v>0</v>
      </c>
      <c r="R956" s="2" t="inlineStr"/>
    </row>
    <row r="957" ht="15" customHeight="1">
      <c r="A957" t="inlineStr">
        <is>
          <t>A 55294-2024</t>
        </is>
      </c>
      <c r="B957" s="1" t="n">
        <v>45621</v>
      </c>
      <c r="C957" s="1" t="n">
        <v>45630</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55319-2024</t>
        </is>
      </c>
      <c r="B958" s="1" t="n">
        <v>45621</v>
      </c>
      <c r="C958" s="1" t="n">
        <v>45630</v>
      </c>
      <c r="D958" t="inlineStr">
        <is>
          <t>JÄMTLANDS LÄN</t>
        </is>
      </c>
      <c r="E958" t="inlineStr">
        <is>
          <t>ÖSTERSUND</t>
        </is>
      </c>
      <c r="G958" t="n">
        <v>7.1</v>
      </c>
      <c r="H958" t="n">
        <v>0</v>
      </c>
      <c r="I958" t="n">
        <v>0</v>
      </c>
      <c r="J958" t="n">
        <v>0</v>
      </c>
      <c r="K958" t="n">
        <v>0</v>
      </c>
      <c r="L958" t="n">
        <v>0</v>
      </c>
      <c r="M958" t="n">
        <v>0</v>
      </c>
      <c r="N958" t="n">
        <v>0</v>
      </c>
      <c r="O958" t="n">
        <v>0</v>
      </c>
      <c r="P958" t="n">
        <v>0</v>
      </c>
      <c r="Q958" t="n">
        <v>0</v>
      </c>
      <c r="R958" s="2" t="inlineStr"/>
    </row>
    <row r="959" ht="15" customHeight="1">
      <c r="A959" t="inlineStr">
        <is>
          <t>A 55323-2024</t>
        </is>
      </c>
      <c r="B959" s="1" t="n">
        <v>45621</v>
      </c>
      <c r="C959" s="1" t="n">
        <v>45630</v>
      </c>
      <c r="D959" t="inlineStr">
        <is>
          <t>JÄMTLANDS LÄN</t>
        </is>
      </c>
      <c r="E959" t="inlineStr">
        <is>
          <t>ÖSTERSUND</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55572-2024</t>
        </is>
      </c>
      <c r="B960" s="1" t="n">
        <v>45622</v>
      </c>
      <c r="C960" s="1" t="n">
        <v>45630</v>
      </c>
      <c r="D960" t="inlineStr">
        <is>
          <t>JÄMTLANDS LÄN</t>
        </is>
      </c>
      <c r="E960" t="inlineStr">
        <is>
          <t>ÖSTERSUND</t>
        </is>
      </c>
      <c r="F960" t="inlineStr">
        <is>
          <t>SCA</t>
        </is>
      </c>
      <c r="G960" t="n">
        <v>11.2</v>
      </c>
      <c r="H960" t="n">
        <v>0</v>
      </c>
      <c r="I960" t="n">
        <v>0</v>
      </c>
      <c r="J960" t="n">
        <v>0</v>
      </c>
      <c r="K960" t="n">
        <v>0</v>
      </c>
      <c r="L960" t="n">
        <v>0</v>
      </c>
      <c r="M960" t="n">
        <v>0</v>
      </c>
      <c r="N960" t="n">
        <v>0</v>
      </c>
      <c r="O960" t="n">
        <v>0</v>
      </c>
      <c r="P960" t="n">
        <v>0</v>
      </c>
      <c r="Q960" t="n">
        <v>0</v>
      </c>
      <c r="R960" s="2" t="inlineStr"/>
    </row>
    <row r="961" ht="15" customHeight="1">
      <c r="A961" t="inlineStr">
        <is>
          <t>A 55600-2024</t>
        </is>
      </c>
      <c r="B961" s="1" t="n">
        <v>45622</v>
      </c>
      <c r="C961" s="1" t="n">
        <v>45630</v>
      </c>
      <c r="D961" t="inlineStr">
        <is>
          <t>JÄMTLANDS LÄN</t>
        </is>
      </c>
      <c r="E961" t="inlineStr">
        <is>
          <t>ÖSTERSUND</t>
        </is>
      </c>
      <c r="G961" t="n">
        <v>6.5</v>
      </c>
      <c r="H961" t="n">
        <v>0</v>
      </c>
      <c r="I961" t="n">
        <v>0</v>
      </c>
      <c r="J961" t="n">
        <v>0</v>
      </c>
      <c r="K961" t="n">
        <v>0</v>
      </c>
      <c r="L961" t="n">
        <v>0</v>
      </c>
      <c r="M961" t="n">
        <v>0</v>
      </c>
      <c r="N961" t="n">
        <v>0</v>
      </c>
      <c r="O961" t="n">
        <v>0</v>
      </c>
      <c r="P961" t="n">
        <v>0</v>
      </c>
      <c r="Q961" t="n">
        <v>0</v>
      </c>
      <c r="R961" s="2" t="inlineStr"/>
    </row>
    <row r="962" ht="15" customHeight="1">
      <c r="A962" t="inlineStr">
        <is>
          <t>A 55700-2024</t>
        </is>
      </c>
      <c r="B962" s="1" t="n">
        <v>45622</v>
      </c>
      <c r="C962" s="1" t="n">
        <v>45630</v>
      </c>
      <c r="D962" t="inlineStr">
        <is>
          <t>JÄMTLANDS LÄN</t>
        </is>
      </c>
      <c r="E962" t="inlineStr">
        <is>
          <t>ÖSTERSUND</t>
        </is>
      </c>
      <c r="G962" t="n">
        <v>1.7</v>
      </c>
      <c r="H962" t="n">
        <v>0</v>
      </c>
      <c r="I962" t="n">
        <v>0</v>
      </c>
      <c r="J962" t="n">
        <v>0</v>
      </c>
      <c r="K962" t="n">
        <v>0</v>
      </c>
      <c r="L962" t="n">
        <v>0</v>
      </c>
      <c r="M962" t="n">
        <v>0</v>
      </c>
      <c r="N962" t="n">
        <v>0</v>
      </c>
      <c r="O962" t="n">
        <v>0</v>
      </c>
      <c r="P962" t="n">
        <v>0</v>
      </c>
      <c r="Q962" t="n">
        <v>0</v>
      </c>
      <c r="R962" s="2" t="inlineStr"/>
    </row>
    <row r="963" ht="15" customHeight="1">
      <c r="A963" t="inlineStr">
        <is>
          <t>A 56649-2024</t>
        </is>
      </c>
      <c r="B963" s="1" t="n">
        <v>45625</v>
      </c>
      <c r="C963" s="1" t="n">
        <v>45630</v>
      </c>
      <c r="D963" t="inlineStr">
        <is>
          <t>JÄMTLANDS LÄN</t>
        </is>
      </c>
      <c r="E963" t="inlineStr">
        <is>
          <t>ÖSTERSUND</t>
        </is>
      </c>
      <c r="G963" t="n">
        <v>1.6</v>
      </c>
      <c r="H963" t="n">
        <v>0</v>
      </c>
      <c r="I963" t="n">
        <v>0</v>
      </c>
      <c r="J963" t="n">
        <v>0</v>
      </c>
      <c r="K963" t="n">
        <v>0</v>
      </c>
      <c r="L963" t="n">
        <v>0</v>
      </c>
      <c r="M963" t="n">
        <v>0</v>
      </c>
      <c r="N963" t="n">
        <v>0</v>
      </c>
      <c r="O963" t="n">
        <v>0</v>
      </c>
      <c r="P963" t="n">
        <v>0</v>
      </c>
      <c r="Q963" t="n">
        <v>0</v>
      </c>
      <c r="R963" s="2" t="inlineStr"/>
    </row>
    <row r="964" ht="15" customHeight="1">
      <c r="A964" t="inlineStr">
        <is>
          <t>A 56599-2024</t>
        </is>
      </c>
      <c r="B964" s="1" t="n">
        <v>45625</v>
      </c>
      <c r="C964" s="1" t="n">
        <v>45630</v>
      </c>
      <c r="D964" t="inlineStr">
        <is>
          <t>JÄMTLANDS LÄN</t>
        </is>
      </c>
      <c r="E964" t="inlineStr">
        <is>
          <t>ÖSTERSUND</t>
        </is>
      </c>
      <c r="G964" t="n">
        <v>2.1</v>
      </c>
      <c r="H964" t="n">
        <v>0</v>
      </c>
      <c r="I964" t="n">
        <v>0</v>
      </c>
      <c r="J964" t="n">
        <v>0</v>
      </c>
      <c r="K964" t="n">
        <v>0</v>
      </c>
      <c r="L964" t="n">
        <v>0</v>
      </c>
      <c r="M964" t="n">
        <v>0</v>
      </c>
      <c r="N964" t="n">
        <v>0</v>
      </c>
      <c r="O964" t="n">
        <v>0</v>
      </c>
      <c r="P964" t="n">
        <v>0</v>
      </c>
      <c r="Q964" t="n">
        <v>0</v>
      </c>
      <c r="R964" s="2" t="inlineStr"/>
    </row>
    <row r="965" ht="15" customHeight="1">
      <c r="A965" t="inlineStr">
        <is>
          <t>A 56646-2024</t>
        </is>
      </c>
      <c r="B965" s="1" t="n">
        <v>45625</v>
      </c>
      <c r="C965" s="1" t="n">
        <v>45630</v>
      </c>
      <c r="D965" t="inlineStr">
        <is>
          <t>JÄMTLANDS LÄN</t>
        </is>
      </c>
      <c r="E965" t="inlineStr">
        <is>
          <t>ÖSTERSUND</t>
        </is>
      </c>
      <c r="G965" t="n">
        <v>18.9</v>
      </c>
      <c r="H965" t="n">
        <v>0</v>
      </c>
      <c r="I965" t="n">
        <v>0</v>
      </c>
      <c r="J965" t="n">
        <v>0</v>
      </c>
      <c r="K965" t="n">
        <v>0</v>
      </c>
      <c r="L965" t="n">
        <v>0</v>
      </c>
      <c r="M965" t="n">
        <v>0</v>
      </c>
      <c r="N965" t="n">
        <v>0</v>
      </c>
      <c r="O965" t="n">
        <v>0</v>
      </c>
      <c r="P965" t="n">
        <v>0</v>
      </c>
      <c r="Q965" t="n">
        <v>0</v>
      </c>
      <c r="R965" s="2" t="inlineStr"/>
    </row>
    <row r="966">
      <c r="A966" t="inlineStr">
        <is>
          <t>A 56847-2024</t>
        </is>
      </c>
      <c r="B966" s="1" t="n">
        <v>45628</v>
      </c>
      <c r="C966" s="1" t="n">
        <v>45630</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2024-12-04T15:14:56Z</dcterms:created>
  <dcterms:modified xmlns:dcterms="http://purl.org/dc/terms/" xmlns:xsi="http://www.w3.org/2001/XMLSchema-instance" xsi:type="dcterms:W3CDTF">2024-12-04T15:14:57Z</dcterms:modified>
</cp:coreProperties>
</file>