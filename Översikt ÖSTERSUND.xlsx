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46062</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46062</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46062</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46062</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46062</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46062</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46062</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46062</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46062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46062</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46062</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46062</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46062</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46062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46062</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46062</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46062</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46062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46062</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46062</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46062</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46062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46062</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10744-2024</t>
        </is>
      </c>
      <c r="B40" s="1" t="n">
        <v>45369</v>
      </c>
      <c r="C40" s="1" t="n">
        <v>46062</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56648-2025</t>
        </is>
      </c>
      <c r="B41" s="1" t="n">
        <v>45975.63604166666</v>
      </c>
      <c r="C41" s="1" t="n">
        <v>46062</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63193-2025</t>
        </is>
      </c>
      <c r="B42" s="1" t="n">
        <v>46010.45428240741</v>
      </c>
      <c r="C42" s="1" t="n">
        <v>46062</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40777-2023</t>
        </is>
      </c>
      <c r="B43" s="1" t="n">
        <v>45170</v>
      </c>
      <c r="C43" s="1" t="n">
        <v>46062</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46062</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46062</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46062</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46062</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57729-2025</t>
        </is>
      </c>
      <c r="B48" s="1" t="n">
        <v>45981.50630787037</v>
      </c>
      <c r="C48" s="1" t="n">
        <v>46062</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46062</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46062</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46062</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46062</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46062</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46062</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46062</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54608-2023</t>
        </is>
      </c>
      <c r="B56" s="1" t="n">
        <v>45233</v>
      </c>
      <c r="C56" s="1" t="n">
        <v>46062</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46062</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46062</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376-2023</t>
        </is>
      </c>
      <c r="B59" s="1" t="n">
        <v>44929</v>
      </c>
      <c r="C59" s="1" t="n">
        <v>46062</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46062</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46062</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40815-2025</t>
        </is>
      </c>
      <c r="B62" s="1" t="n">
        <v>45897</v>
      </c>
      <c r="C62" s="1" t="n">
        <v>46062</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62696-2025</t>
        </is>
      </c>
      <c r="B63" s="1" t="n">
        <v>46008.48708333333</v>
      </c>
      <c r="C63" s="1" t="n">
        <v>46062</v>
      </c>
      <c r="D63" t="inlineStr">
        <is>
          <t>JÄMTLANDS LÄN</t>
        </is>
      </c>
      <c r="E63" t="inlineStr">
        <is>
          <t>ÖSTERSUND</t>
        </is>
      </c>
      <c r="G63" t="n">
        <v>11.3</v>
      </c>
      <c r="H63" t="n">
        <v>3</v>
      </c>
      <c r="I63" t="n">
        <v>1</v>
      </c>
      <c r="J63" t="n">
        <v>4</v>
      </c>
      <c r="K63" t="n">
        <v>0</v>
      </c>
      <c r="L63" t="n">
        <v>0</v>
      </c>
      <c r="M63" t="n">
        <v>0</v>
      </c>
      <c r="N63" t="n">
        <v>0</v>
      </c>
      <c r="O63" t="n">
        <v>4</v>
      </c>
      <c r="P63" t="n">
        <v>0</v>
      </c>
      <c r="Q63" t="n">
        <v>6</v>
      </c>
      <c r="R63" s="2" t="inlineStr">
        <is>
          <t>Garnlav
Spillkråka
Tretåig hackspett
Ullticka
Stuplav
Revlummer</t>
        </is>
      </c>
      <c r="S63">
        <f>HYPERLINK("https://klasma.github.io/Logging_2380/artfynd/A 62696-2025 artfynd.xlsx", "A 62696-2025")</f>
        <v/>
      </c>
      <c r="T63">
        <f>HYPERLINK("https://klasma.github.io/Logging_2380/kartor/A 62696-2025 karta.png", "A 62696-2025")</f>
        <v/>
      </c>
      <c r="V63">
        <f>HYPERLINK("https://klasma.github.io/Logging_2380/klagomål/A 62696-2025 FSC-klagomål.docx", "A 62696-2025")</f>
        <v/>
      </c>
      <c r="W63">
        <f>HYPERLINK("https://klasma.github.io/Logging_2380/klagomålsmail/A 62696-2025 FSC-klagomål mail.docx", "A 62696-2025")</f>
        <v/>
      </c>
      <c r="X63">
        <f>HYPERLINK("https://klasma.github.io/Logging_2380/tillsyn/A 62696-2025 tillsynsbegäran.docx", "A 62696-2025")</f>
        <v/>
      </c>
      <c r="Y63">
        <f>HYPERLINK("https://klasma.github.io/Logging_2380/tillsynsmail/A 62696-2025 tillsynsbegäran mail.docx", "A 62696-2025")</f>
        <v/>
      </c>
      <c r="Z63">
        <f>HYPERLINK("https://klasma.github.io/Logging_2380/fåglar/A 62696-2025 prioriterade fågelarter.docx", "A 62696-2025")</f>
        <v/>
      </c>
    </row>
    <row r="64" ht="15" customHeight="1">
      <c r="A64" t="inlineStr">
        <is>
          <t>A 63201-2025</t>
        </is>
      </c>
      <c r="B64" s="1" t="n">
        <v>46010.46366898148</v>
      </c>
      <c r="C64" s="1" t="n">
        <v>46062</v>
      </c>
      <c r="D64" t="inlineStr">
        <is>
          <t>JÄMTLANDS LÄN</t>
        </is>
      </c>
      <c r="E64" t="inlineStr">
        <is>
          <t>ÖSTERSUND</t>
        </is>
      </c>
      <c r="G64" t="n">
        <v>5.8</v>
      </c>
      <c r="H64" t="n">
        <v>5</v>
      </c>
      <c r="I64" t="n">
        <v>1</v>
      </c>
      <c r="J64" t="n">
        <v>2</v>
      </c>
      <c r="K64" t="n">
        <v>1</v>
      </c>
      <c r="L64" t="n">
        <v>0</v>
      </c>
      <c r="M64" t="n">
        <v>0</v>
      </c>
      <c r="N64" t="n">
        <v>0</v>
      </c>
      <c r="O64" t="n">
        <v>3</v>
      </c>
      <c r="P64" t="n">
        <v>1</v>
      </c>
      <c r="Q64" t="n">
        <v>6</v>
      </c>
      <c r="R64" s="2" t="inlineStr">
        <is>
          <t>Knärot
Spillkråka
Tretåig hackspett
Kransrams
Lavskrika
Revlummer</t>
        </is>
      </c>
      <c r="S64">
        <f>HYPERLINK("https://klasma.github.io/Logging_2380/artfynd/A 63201-2025 artfynd.xlsx", "A 63201-2025")</f>
        <v/>
      </c>
      <c r="T64">
        <f>HYPERLINK("https://klasma.github.io/Logging_2380/kartor/A 63201-2025 karta.png", "A 63201-2025")</f>
        <v/>
      </c>
      <c r="U64">
        <f>HYPERLINK("https://klasma.github.io/Logging_2380/knärot/A 63201-2025 karta knärot.png", "A 63201-2025")</f>
        <v/>
      </c>
      <c r="V64">
        <f>HYPERLINK("https://klasma.github.io/Logging_2380/klagomål/A 63201-2025 FSC-klagomål.docx", "A 63201-2025")</f>
        <v/>
      </c>
      <c r="W64">
        <f>HYPERLINK("https://klasma.github.io/Logging_2380/klagomålsmail/A 63201-2025 FSC-klagomål mail.docx", "A 63201-2025")</f>
        <v/>
      </c>
      <c r="X64">
        <f>HYPERLINK("https://klasma.github.io/Logging_2380/tillsyn/A 63201-2025 tillsynsbegäran.docx", "A 63201-2025")</f>
        <v/>
      </c>
      <c r="Y64">
        <f>HYPERLINK("https://klasma.github.io/Logging_2380/tillsynsmail/A 63201-2025 tillsynsbegäran mail.docx", "A 63201-2025")</f>
        <v/>
      </c>
      <c r="Z64">
        <f>HYPERLINK("https://klasma.github.io/Logging_2380/fåglar/A 63201-2025 prioriterade fågelarter.docx", "A 63201-2025")</f>
        <v/>
      </c>
    </row>
    <row r="65" ht="15" customHeight="1">
      <c r="A65" t="inlineStr">
        <is>
          <t>A 61212-2025</t>
        </is>
      </c>
      <c r="B65" s="1" t="n">
        <v>46000.61640046296</v>
      </c>
      <c r="C65" s="1" t="n">
        <v>46062</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3995-2025</t>
        </is>
      </c>
      <c r="B66" s="1" t="n">
        <v>45684</v>
      </c>
      <c r="C66" s="1" t="n">
        <v>46062</v>
      </c>
      <c r="D66" t="inlineStr">
        <is>
          <t>JÄMTLANDS LÄN</t>
        </is>
      </c>
      <c r="E66" t="inlineStr">
        <is>
          <t>ÖSTERSUND</t>
        </is>
      </c>
      <c r="G66" t="n">
        <v>6.5</v>
      </c>
      <c r="H66" t="n">
        <v>1</v>
      </c>
      <c r="I66" t="n">
        <v>0</v>
      </c>
      <c r="J66" t="n">
        <v>5</v>
      </c>
      <c r="K66" t="n">
        <v>1</v>
      </c>
      <c r="L66" t="n">
        <v>0</v>
      </c>
      <c r="M66" t="n">
        <v>0</v>
      </c>
      <c r="N66" t="n">
        <v>0</v>
      </c>
      <c r="O66" t="n">
        <v>6</v>
      </c>
      <c r="P66" t="n">
        <v>1</v>
      </c>
      <c r="Q66" t="n">
        <v>6</v>
      </c>
      <c r="R66" s="2" t="inlineStr">
        <is>
          <t>Rynkskinn
Gränsticka
Rosenticka
Tretåig hackspett
Ullticka
Vedtrappmossa</t>
        </is>
      </c>
      <c r="S66">
        <f>HYPERLINK("https://klasma.github.io/Logging_2380/artfynd/A 3995-2025 artfynd.xlsx", "A 3995-2025")</f>
        <v/>
      </c>
      <c r="T66">
        <f>HYPERLINK("https://klasma.github.io/Logging_2380/kartor/A 3995-2025 karta.png", "A 3995-2025")</f>
        <v/>
      </c>
      <c r="V66">
        <f>HYPERLINK("https://klasma.github.io/Logging_2380/klagomål/A 3995-2025 FSC-klagomål.docx", "A 3995-2025")</f>
        <v/>
      </c>
      <c r="W66">
        <f>HYPERLINK("https://klasma.github.io/Logging_2380/klagomålsmail/A 3995-2025 FSC-klagomål mail.docx", "A 3995-2025")</f>
        <v/>
      </c>
      <c r="X66">
        <f>HYPERLINK("https://klasma.github.io/Logging_2380/tillsyn/A 3995-2025 tillsynsbegäran.docx", "A 3995-2025")</f>
        <v/>
      </c>
      <c r="Y66">
        <f>HYPERLINK("https://klasma.github.io/Logging_2380/tillsynsmail/A 3995-2025 tillsynsbegäran mail.docx", "A 3995-2025")</f>
        <v/>
      </c>
      <c r="Z66">
        <f>HYPERLINK("https://klasma.github.io/Logging_2380/fåglar/A 3995-2025 prioriterade fågelarter.docx", "A 3995-2025")</f>
        <v/>
      </c>
    </row>
    <row r="67" ht="15" customHeight="1">
      <c r="A67" t="inlineStr">
        <is>
          <t>A 47392-2022</t>
        </is>
      </c>
      <c r="B67" s="1" t="n">
        <v>44851</v>
      </c>
      <c r="C67" s="1" t="n">
        <v>46062</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12712-2021</t>
        </is>
      </c>
      <c r="B68" s="1" t="n">
        <v>44270.58950231481</v>
      </c>
      <c r="C68" s="1" t="n">
        <v>46062</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61153-2024</t>
        </is>
      </c>
      <c r="B69" s="1" t="n">
        <v>45645</v>
      </c>
      <c r="C69" s="1" t="n">
        <v>46062</v>
      </c>
      <c r="D69" t="inlineStr">
        <is>
          <t>JÄMTLANDS LÄN</t>
        </is>
      </c>
      <c r="E69" t="inlineStr">
        <is>
          <t>ÖSTERSUND</t>
        </is>
      </c>
      <c r="G69" t="n">
        <v>8.699999999999999</v>
      </c>
      <c r="H69" t="n">
        <v>5</v>
      </c>
      <c r="I69" t="n">
        <v>0</v>
      </c>
      <c r="J69" t="n">
        <v>4</v>
      </c>
      <c r="K69" t="n">
        <v>1</v>
      </c>
      <c r="L69" t="n">
        <v>0</v>
      </c>
      <c r="M69" t="n">
        <v>0</v>
      </c>
      <c r="N69" t="n">
        <v>0</v>
      </c>
      <c r="O69" t="n">
        <v>5</v>
      </c>
      <c r="P69" t="n">
        <v>1</v>
      </c>
      <c r="Q69" t="n">
        <v>6</v>
      </c>
      <c r="R69" s="2" t="inlineStr">
        <is>
          <t>Knärot
Garnlav
Mindre hackspett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27577-2022</t>
        </is>
      </c>
      <c r="B70" s="1" t="n">
        <v>44742</v>
      </c>
      <c r="C70" s="1" t="n">
        <v>46062</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46062</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46062</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54731-2024</t>
        </is>
      </c>
      <c r="B73" s="1" t="n">
        <v>45618.43853009259</v>
      </c>
      <c r="C73" s="1" t="n">
        <v>46062</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56934-2025</t>
        </is>
      </c>
      <c r="B74" s="1" t="n">
        <v>45978.61351851852</v>
      </c>
      <c r="C74" s="1" t="n">
        <v>46062</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58372-2025</t>
        </is>
      </c>
      <c r="B75" s="1" t="n">
        <v>45985.53155092592</v>
      </c>
      <c r="C75" s="1" t="n">
        <v>46062</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56499-2025</t>
        </is>
      </c>
      <c r="B76" s="1" t="n">
        <v>45975.43427083334</v>
      </c>
      <c r="C76" s="1" t="n">
        <v>46062</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7717-2024</t>
        </is>
      </c>
      <c r="B77" s="1" t="n">
        <v>45349</v>
      </c>
      <c r="C77" s="1" t="n">
        <v>46062</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62060-2025</t>
        </is>
      </c>
      <c r="B78" s="1" t="n">
        <v>46006.34435185185</v>
      </c>
      <c r="C78" s="1" t="n">
        <v>46062</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10747-2024</t>
        </is>
      </c>
      <c r="B79" s="1" t="n">
        <v>45369</v>
      </c>
      <c r="C79" s="1" t="n">
        <v>46062</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38334-2023</t>
        </is>
      </c>
      <c r="B80" s="1" t="n">
        <v>45161</v>
      </c>
      <c r="C80" s="1" t="n">
        <v>46062</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45979-2023</t>
        </is>
      </c>
      <c r="B81" s="1" t="n">
        <v>45189</v>
      </c>
      <c r="C81" s="1" t="n">
        <v>46062</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Dactylorhiza incarnata subsp. incarnata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39941-2024</t>
        </is>
      </c>
      <c r="B82" s="1" t="n">
        <v>45553</v>
      </c>
      <c r="C82" s="1" t="n">
        <v>46062</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55344-2023</t>
        </is>
      </c>
      <c r="B83" s="1" t="n">
        <v>45237</v>
      </c>
      <c r="C83" s="1" t="n">
        <v>46062</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25369-2024</t>
        </is>
      </c>
      <c r="B84" s="1" t="n">
        <v>45462.95982638889</v>
      </c>
      <c r="C84" s="1" t="n">
        <v>46062</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7698-2024</t>
        </is>
      </c>
      <c r="B85" s="1" t="n">
        <v>45349</v>
      </c>
      <c r="C85" s="1" t="n">
        <v>46062</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46062</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2962-2023</t>
        </is>
      </c>
      <c r="B87" s="1" t="n">
        <v>44945</v>
      </c>
      <c r="C87" s="1" t="n">
        <v>46062</v>
      </c>
      <c r="D87" t="inlineStr">
        <is>
          <t>JÄMTLANDS LÄN</t>
        </is>
      </c>
      <c r="E87" t="inlineStr">
        <is>
          <t>ÖSTERSUND</t>
        </is>
      </c>
      <c r="F87" t="inlineStr">
        <is>
          <t>Övriga Aktiebolag</t>
        </is>
      </c>
      <c r="G87" t="n">
        <v>14.4</v>
      </c>
      <c r="H87" t="n">
        <v>2</v>
      </c>
      <c r="I87" t="n">
        <v>0</v>
      </c>
      <c r="J87" t="n">
        <v>3</v>
      </c>
      <c r="K87" t="n">
        <v>0</v>
      </c>
      <c r="L87" t="n">
        <v>0</v>
      </c>
      <c r="M87" t="n">
        <v>0</v>
      </c>
      <c r="N87" t="n">
        <v>0</v>
      </c>
      <c r="O87" t="n">
        <v>3</v>
      </c>
      <c r="P87" t="n">
        <v>0</v>
      </c>
      <c r="Q87" t="n">
        <v>4</v>
      </c>
      <c r="R87" s="2" t="inlineStr">
        <is>
          <t>Garnlav
Lunglav
Tretåig hackspett
Revlummer</t>
        </is>
      </c>
      <c r="S87">
        <f>HYPERLINK("https://klasma.github.io/Logging_2380/artfynd/A 2962-2023 artfynd.xlsx", "A 2962-2023")</f>
        <v/>
      </c>
      <c r="T87">
        <f>HYPERLINK("https://klasma.github.io/Logging_2380/kartor/A 2962-2023 karta.png", "A 2962-2023")</f>
        <v/>
      </c>
      <c r="V87">
        <f>HYPERLINK("https://klasma.github.io/Logging_2380/klagomål/A 2962-2023 FSC-klagomål.docx", "A 2962-2023")</f>
        <v/>
      </c>
      <c r="W87">
        <f>HYPERLINK("https://klasma.github.io/Logging_2380/klagomålsmail/A 2962-2023 FSC-klagomål mail.docx", "A 2962-2023")</f>
        <v/>
      </c>
      <c r="X87">
        <f>HYPERLINK("https://klasma.github.io/Logging_2380/tillsyn/A 2962-2023 tillsynsbegäran.docx", "A 2962-2023")</f>
        <v/>
      </c>
      <c r="Y87">
        <f>HYPERLINK("https://klasma.github.io/Logging_2380/tillsynsmail/A 2962-2023 tillsynsbegäran mail.docx", "A 2962-2023")</f>
        <v/>
      </c>
      <c r="Z87">
        <f>HYPERLINK("https://klasma.github.io/Logging_2380/fåglar/A 2962-2023 prioriterade fågelarter.docx", "A 2962-2023")</f>
        <v/>
      </c>
    </row>
    <row r="88" ht="15" customHeight="1">
      <c r="A88" t="inlineStr">
        <is>
          <t>A 31127-2025</t>
        </is>
      </c>
      <c r="B88" s="1" t="n">
        <v>45831</v>
      </c>
      <c r="C88" s="1" t="n">
        <v>46062</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46062</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46062</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59291-2022</t>
        </is>
      </c>
      <c r="B91" s="1" t="n">
        <v>44904</v>
      </c>
      <c r="C91" s="1" t="n">
        <v>46062</v>
      </c>
      <c r="D91" t="inlineStr">
        <is>
          <t>JÄMTLANDS LÄN</t>
        </is>
      </c>
      <c r="E91" t="inlineStr">
        <is>
          <t>ÖSTERSUND</t>
        </is>
      </c>
      <c r="G91" t="n">
        <v>9.199999999999999</v>
      </c>
      <c r="H91" t="n">
        <v>1</v>
      </c>
      <c r="I91" t="n">
        <v>0</v>
      </c>
      <c r="J91" t="n">
        <v>3</v>
      </c>
      <c r="K91" t="n">
        <v>0</v>
      </c>
      <c r="L91" t="n">
        <v>0</v>
      </c>
      <c r="M91" t="n">
        <v>0</v>
      </c>
      <c r="N91" t="n">
        <v>0</v>
      </c>
      <c r="O91" t="n">
        <v>3</v>
      </c>
      <c r="P91" t="n">
        <v>0</v>
      </c>
      <c r="Q91" t="n">
        <v>4</v>
      </c>
      <c r="R91" s="2" t="inlineStr">
        <is>
          <t>Garnlav
Lunglav
Skrovellav
Revlummer</t>
        </is>
      </c>
      <c r="S91">
        <f>HYPERLINK("https://klasma.github.io/Logging_2380/artfynd/A 59291-2022 artfynd.xlsx", "A 59291-2022")</f>
        <v/>
      </c>
      <c r="T91">
        <f>HYPERLINK("https://klasma.github.io/Logging_2380/kartor/A 59291-2022 karta.png", "A 59291-2022")</f>
        <v/>
      </c>
      <c r="V91">
        <f>HYPERLINK("https://klasma.github.io/Logging_2380/klagomål/A 59291-2022 FSC-klagomål.docx", "A 59291-2022")</f>
        <v/>
      </c>
      <c r="W91">
        <f>HYPERLINK("https://klasma.github.io/Logging_2380/klagomålsmail/A 59291-2022 FSC-klagomål mail.docx", "A 59291-2022")</f>
        <v/>
      </c>
      <c r="X91">
        <f>HYPERLINK("https://klasma.github.io/Logging_2380/tillsyn/A 59291-2022 tillsynsbegäran.docx", "A 59291-2022")</f>
        <v/>
      </c>
      <c r="Y91">
        <f>HYPERLINK("https://klasma.github.io/Logging_2380/tillsynsmail/A 59291-2022 tillsynsbegäran mail.docx", "A 59291-2022")</f>
        <v/>
      </c>
    </row>
    <row r="92" ht="15" customHeight="1">
      <c r="A92" t="inlineStr">
        <is>
          <t>A 57711-2025</t>
        </is>
      </c>
      <c r="B92" s="1" t="n">
        <v>45981.47217592593</v>
      </c>
      <c r="C92" s="1" t="n">
        <v>46062</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60580-2024</t>
        </is>
      </c>
      <c r="B93" s="1" t="n">
        <v>45644</v>
      </c>
      <c r="C93" s="1" t="n">
        <v>46062</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46062</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5171-2026</t>
        </is>
      </c>
      <c r="B95" s="1" t="n">
        <v>46049.64416666667</v>
      </c>
      <c r="C95" s="1" t="n">
        <v>46062</v>
      </c>
      <c r="D95" t="inlineStr">
        <is>
          <t>JÄMTLANDS LÄN</t>
        </is>
      </c>
      <c r="E95" t="inlineStr">
        <is>
          <t>ÖSTERSUND</t>
        </is>
      </c>
      <c r="G95" t="n">
        <v>4.1</v>
      </c>
      <c r="H95" t="n">
        <v>1</v>
      </c>
      <c r="I95" t="n">
        <v>4</v>
      </c>
      <c r="J95" t="n">
        <v>0</v>
      </c>
      <c r="K95" t="n">
        <v>0</v>
      </c>
      <c r="L95" t="n">
        <v>0</v>
      </c>
      <c r="M95" t="n">
        <v>0</v>
      </c>
      <c r="N95" t="n">
        <v>0</v>
      </c>
      <c r="O95" t="n">
        <v>0</v>
      </c>
      <c r="P95" t="n">
        <v>0</v>
      </c>
      <c r="Q95" t="n">
        <v>4</v>
      </c>
      <c r="R95" s="2" t="inlineStr">
        <is>
          <t>Fjällig taggsvamp s.str.
Korallblylav
Korallrot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38335-2023</t>
        </is>
      </c>
      <c r="B96" s="1" t="n">
        <v>45161</v>
      </c>
      <c r="C96" s="1" t="n">
        <v>46062</v>
      </c>
      <c r="D96" t="inlineStr">
        <is>
          <t>JÄMTLANDS LÄN</t>
        </is>
      </c>
      <c r="E96" t="inlineStr">
        <is>
          <t>ÖSTERSUND</t>
        </is>
      </c>
      <c r="G96" t="n">
        <v>15.1</v>
      </c>
      <c r="H96" t="n">
        <v>3</v>
      </c>
      <c r="I96" t="n">
        <v>0</v>
      </c>
      <c r="J96" t="n">
        <v>2</v>
      </c>
      <c r="K96" t="n">
        <v>1</v>
      </c>
      <c r="L96" t="n">
        <v>0</v>
      </c>
      <c r="M96" t="n">
        <v>0</v>
      </c>
      <c r="N96" t="n">
        <v>0</v>
      </c>
      <c r="O96" t="n">
        <v>3</v>
      </c>
      <c r="P96" t="n">
        <v>1</v>
      </c>
      <c r="Q96" t="n">
        <v>4</v>
      </c>
      <c r="R96" s="2" t="inlineStr">
        <is>
          <t>Tallbit
Rosenticka
Tretåig hackspett
Lavskrika</t>
        </is>
      </c>
      <c r="S96">
        <f>HYPERLINK("https://klasma.github.io/Logging_2380/artfynd/A 38335-2023 artfynd.xlsx", "A 38335-2023")</f>
        <v/>
      </c>
      <c r="T96">
        <f>HYPERLINK("https://klasma.github.io/Logging_2380/kartor/A 38335-2023 karta.png", "A 38335-2023")</f>
        <v/>
      </c>
      <c r="V96">
        <f>HYPERLINK("https://klasma.github.io/Logging_2380/klagomål/A 38335-2023 FSC-klagomål.docx", "A 38335-2023")</f>
        <v/>
      </c>
      <c r="W96">
        <f>HYPERLINK("https://klasma.github.io/Logging_2380/klagomålsmail/A 38335-2023 FSC-klagomål mail.docx", "A 38335-2023")</f>
        <v/>
      </c>
      <c r="X96">
        <f>HYPERLINK("https://klasma.github.io/Logging_2380/tillsyn/A 38335-2023 tillsynsbegäran.docx", "A 38335-2023")</f>
        <v/>
      </c>
      <c r="Y96">
        <f>HYPERLINK("https://klasma.github.io/Logging_2380/tillsynsmail/A 38335-2023 tillsynsbegäran mail.docx", "A 38335-2023")</f>
        <v/>
      </c>
      <c r="Z96">
        <f>HYPERLINK("https://klasma.github.io/Logging_2380/fåglar/A 38335-2023 prioriterade fågelarter.docx", "A 38335-2023")</f>
        <v/>
      </c>
    </row>
    <row r="97" ht="15" customHeight="1">
      <c r="A97" t="inlineStr">
        <is>
          <t>A 54421-2021</t>
        </is>
      </c>
      <c r="B97" s="1" t="n">
        <v>44473.43114583333</v>
      </c>
      <c r="C97" s="1" t="n">
        <v>46062</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50895-2024</t>
        </is>
      </c>
      <c r="B98" s="1" t="n">
        <v>45602</v>
      </c>
      <c r="C98" s="1" t="n">
        <v>46062</v>
      </c>
      <c r="D98" t="inlineStr">
        <is>
          <t>JÄMTLANDS LÄN</t>
        </is>
      </c>
      <c r="E98" t="inlineStr">
        <is>
          <t>ÖSTERSUND</t>
        </is>
      </c>
      <c r="F98" t="inlineStr">
        <is>
          <t>Kommuner</t>
        </is>
      </c>
      <c r="G98" t="n">
        <v>6</v>
      </c>
      <c r="H98" t="n">
        <v>2</v>
      </c>
      <c r="I98" t="n">
        <v>0</v>
      </c>
      <c r="J98" t="n">
        <v>2</v>
      </c>
      <c r="K98" t="n">
        <v>1</v>
      </c>
      <c r="L98" t="n">
        <v>0</v>
      </c>
      <c r="M98" t="n">
        <v>0</v>
      </c>
      <c r="N98" t="n">
        <v>0</v>
      </c>
      <c r="O98" t="n">
        <v>3</v>
      </c>
      <c r="P98" t="n">
        <v>1</v>
      </c>
      <c r="Q98" t="n">
        <v>3</v>
      </c>
      <c r="R98" s="2" t="inlineStr">
        <is>
          <t>Knärot
Garnlav
Tretåig hackspett</t>
        </is>
      </c>
      <c r="S98">
        <f>HYPERLINK("https://klasma.github.io/Logging_2380/artfynd/A 50895-2024 artfynd.xlsx", "A 50895-2024")</f>
        <v/>
      </c>
      <c r="T98">
        <f>HYPERLINK("https://klasma.github.io/Logging_2380/kartor/A 50895-2024 karta.png", "A 50895-2024")</f>
        <v/>
      </c>
      <c r="U98">
        <f>HYPERLINK("https://klasma.github.io/Logging_2380/knärot/A 50895-2024 karta knärot.png", "A 50895-2024")</f>
        <v/>
      </c>
      <c r="V98">
        <f>HYPERLINK("https://klasma.github.io/Logging_2380/klagomål/A 50895-2024 FSC-klagomål.docx", "A 50895-2024")</f>
        <v/>
      </c>
      <c r="W98">
        <f>HYPERLINK("https://klasma.github.io/Logging_2380/klagomålsmail/A 50895-2024 FSC-klagomål mail.docx", "A 50895-2024")</f>
        <v/>
      </c>
      <c r="X98">
        <f>HYPERLINK("https://klasma.github.io/Logging_2380/tillsyn/A 50895-2024 tillsynsbegäran.docx", "A 50895-2024")</f>
        <v/>
      </c>
      <c r="Y98">
        <f>HYPERLINK("https://klasma.github.io/Logging_2380/tillsynsmail/A 50895-2024 tillsynsbegäran mail.docx", "A 50895-2024")</f>
        <v/>
      </c>
      <c r="Z98">
        <f>HYPERLINK("https://klasma.github.io/Logging_2380/fåglar/A 50895-2024 prioriterade fågelarter.docx", "A 50895-2024")</f>
        <v/>
      </c>
    </row>
    <row r="99" ht="15" customHeight="1">
      <c r="A99" t="inlineStr">
        <is>
          <t>A 43981-2023</t>
        </is>
      </c>
      <c r="B99" s="1" t="n">
        <v>45187</v>
      </c>
      <c r="C99" s="1" t="n">
        <v>46062</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36742-2024</t>
        </is>
      </c>
      <c r="B100" s="1" t="n">
        <v>45538.33584490741</v>
      </c>
      <c r="C100" s="1" t="n">
        <v>46062</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3846-2024</t>
        </is>
      </c>
      <c r="B101" s="1" t="n">
        <v>45321</v>
      </c>
      <c r="C101" s="1" t="n">
        <v>46062</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5100-2023</t>
        </is>
      </c>
      <c r="B102" s="1" t="n">
        <v>44956</v>
      </c>
      <c r="C102" s="1" t="n">
        <v>46062</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46062</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36806-2025</t>
        </is>
      </c>
      <c r="B104" s="1" t="n">
        <v>45873.69988425926</v>
      </c>
      <c r="C104" s="1" t="n">
        <v>46062</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46062</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46705-2023</t>
        </is>
      </c>
      <c r="B106" s="1" t="n">
        <v>45198</v>
      </c>
      <c r="C106" s="1" t="n">
        <v>46062</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60565-2022</t>
        </is>
      </c>
      <c r="B107" s="1" t="n">
        <v>44904</v>
      </c>
      <c r="C107" s="1" t="n">
        <v>46062</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56647-2025</t>
        </is>
      </c>
      <c r="B108" s="1" t="n">
        <v>45975.63585648148</v>
      </c>
      <c r="C108" s="1" t="n">
        <v>46062</v>
      </c>
      <c r="D108" t="inlineStr">
        <is>
          <t>JÄMTLANDS LÄN</t>
        </is>
      </c>
      <c r="E108" t="inlineStr">
        <is>
          <t>ÖSTERSUND</t>
        </is>
      </c>
      <c r="G108" t="n">
        <v>12.1</v>
      </c>
      <c r="H108" t="n">
        <v>1</v>
      </c>
      <c r="I108" t="n">
        <v>0</v>
      </c>
      <c r="J108" t="n">
        <v>2</v>
      </c>
      <c r="K108" t="n">
        <v>1</v>
      </c>
      <c r="L108" t="n">
        <v>0</v>
      </c>
      <c r="M108" t="n">
        <v>0</v>
      </c>
      <c r="N108" t="n">
        <v>0</v>
      </c>
      <c r="O108" t="n">
        <v>3</v>
      </c>
      <c r="P108" t="n">
        <v>1</v>
      </c>
      <c r="Q108" t="n">
        <v>3</v>
      </c>
      <c r="R108" s="2" t="inlineStr">
        <is>
          <t>Rynkskinn
Garnlav
Tretåig hackspett</t>
        </is>
      </c>
      <c r="S108">
        <f>HYPERLINK("https://klasma.github.io/Logging_2380/artfynd/A 56647-2025 artfynd.xlsx", "A 56647-2025")</f>
        <v/>
      </c>
      <c r="T108">
        <f>HYPERLINK("https://klasma.github.io/Logging_2380/kartor/A 56647-2025 karta.png", "A 56647-2025")</f>
        <v/>
      </c>
      <c r="V108">
        <f>HYPERLINK("https://klasma.github.io/Logging_2380/klagomål/A 56647-2025 FSC-klagomål.docx", "A 56647-2025")</f>
        <v/>
      </c>
      <c r="W108">
        <f>HYPERLINK("https://klasma.github.io/Logging_2380/klagomålsmail/A 56647-2025 FSC-klagomål mail.docx", "A 56647-2025")</f>
        <v/>
      </c>
      <c r="X108">
        <f>HYPERLINK("https://klasma.github.io/Logging_2380/tillsyn/A 56647-2025 tillsynsbegäran.docx", "A 56647-2025")</f>
        <v/>
      </c>
      <c r="Y108">
        <f>HYPERLINK("https://klasma.github.io/Logging_2380/tillsynsmail/A 56647-2025 tillsynsbegäran mail.docx", "A 56647-2025")</f>
        <v/>
      </c>
      <c r="Z108">
        <f>HYPERLINK("https://klasma.github.io/Logging_2380/fåglar/A 56647-2025 prioriterade fågelarter.docx", "A 56647-2025")</f>
        <v/>
      </c>
    </row>
    <row r="109" ht="15" customHeight="1">
      <c r="A109" t="inlineStr">
        <is>
          <t>A 40695-2024</t>
        </is>
      </c>
      <c r="B109" s="1" t="n">
        <v>45558</v>
      </c>
      <c r="C109" s="1" t="n">
        <v>46062</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46062</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7965-2025</t>
        </is>
      </c>
      <c r="B111" s="1" t="n">
        <v>45707.45219907408</v>
      </c>
      <c r="C111" s="1" t="n">
        <v>46062</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50125-2024</t>
        </is>
      </c>
      <c r="B112" s="1" t="n">
        <v>45600.42737268518</v>
      </c>
      <c r="C112" s="1" t="n">
        <v>46062</v>
      </c>
      <c r="D112" t="inlineStr">
        <is>
          <t>JÄMTLANDS LÄN</t>
        </is>
      </c>
      <c r="E112" t="inlineStr">
        <is>
          <t>ÖSTERSUND</t>
        </is>
      </c>
      <c r="F112" t="inlineStr">
        <is>
          <t>SCA</t>
        </is>
      </c>
      <c r="G112" t="n">
        <v>2.4</v>
      </c>
      <c r="H112" t="n">
        <v>0</v>
      </c>
      <c r="I112" t="n">
        <v>1</v>
      </c>
      <c r="J112" t="n">
        <v>1</v>
      </c>
      <c r="K112" t="n">
        <v>0</v>
      </c>
      <c r="L112" t="n">
        <v>0</v>
      </c>
      <c r="M112" t="n">
        <v>0</v>
      </c>
      <c r="N112" t="n">
        <v>0</v>
      </c>
      <c r="O112" t="n">
        <v>1</v>
      </c>
      <c r="P112" t="n">
        <v>0</v>
      </c>
      <c r="Q112" t="n">
        <v>2</v>
      </c>
      <c r="R112" s="2" t="inlineStr">
        <is>
          <t>Dvärgbägarlav
Skinnlav</t>
        </is>
      </c>
      <c r="S112">
        <f>HYPERLINK("https://klasma.github.io/Logging_2380/artfynd/A 50125-2024 artfynd.xlsx", "A 50125-2024")</f>
        <v/>
      </c>
      <c r="T112">
        <f>HYPERLINK("https://klasma.github.io/Logging_2380/kartor/A 50125-2024 karta.png", "A 50125-2024")</f>
        <v/>
      </c>
      <c r="V112">
        <f>HYPERLINK("https://klasma.github.io/Logging_2380/klagomål/A 50125-2024 FSC-klagomål.docx", "A 50125-2024")</f>
        <v/>
      </c>
      <c r="W112">
        <f>HYPERLINK("https://klasma.github.io/Logging_2380/klagomålsmail/A 50125-2024 FSC-klagomål mail.docx", "A 50125-2024")</f>
        <v/>
      </c>
      <c r="X112">
        <f>HYPERLINK("https://klasma.github.io/Logging_2380/tillsyn/A 50125-2024 tillsynsbegäran.docx", "A 50125-2024")</f>
        <v/>
      </c>
      <c r="Y112">
        <f>HYPERLINK("https://klasma.github.io/Logging_2380/tillsynsmail/A 50125-2024 tillsynsbegäran mail.docx", "A 50125-2024")</f>
        <v/>
      </c>
    </row>
    <row r="113" ht="15" customHeight="1">
      <c r="A113" t="inlineStr">
        <is>
          <t>A 60446-2024</t>
        </is>
      </c>
      <c r="B113" s="1" t="n">
        <v>45643.59420138889</v>
      </c>
      <c r="C113" s="1" t="n">
        <v>46062</v>
      </c>
      <c r="D113" t="inlineStr">
        <is>
          <t>JÄMTLANDS LÄN</t>
        </is>
      </c>
      <c r="E113" t="inlineStr">
        <is>
          <t>ÖSTERSUND</t>
        </is>
      </c>
      <c r="F113" t="inlineStr">
        <is>
          <t>SCA</t>
        </is>
      </c>
      <c r="G113" t="n">
        <v>3.6</v>
      </c>
      <c r="H113" t="n">
        <v>0</v>
      </c>
      <c r="I113" t="n">
        <v>1</v>
      </c>
      <c r="J113" t="n">
        <v>1</v>
      </c>
      <c r="K113" t="n">
        <v>0</v>
      </c>
      <c r="L113" t="n">
        <v>0</v>
      </c>
      <c r="M113" t="n">
        <v>0</v>
      </c>
      <c r="N113" t="n">
        <v>0</v>
      </c>
      <c r="O113" t="n">
        <v>1</v>
      </c>
      <c r="P113" t="n">
        <v>0</v>
      </c>
      <c r="Q113" t="n">
        <v>2</v>
      </c>
      <c r="R113" s="2" t="inlineStr">
        <is>
          <t>Ullticka
Vedticka</t>
        </is>
      </c>
      <c r="S113">
        <f>HYPERLINK("https://klasma.github.io/Logging_2380/artfynd/A 60446-2024 artfynd.xlsx", "A 60446-2024")</f>
        <v/>
      </c>
      <c r="T113">
        <f>HYPERLINK("https://klasma.github.io/Logging_2380/kartor/A 60446-2024 karta.png", "A 60446-2024")</f>
        <v/>
      </c>
      <c r="V113">
        <f>HYPERLINK("https://klasma.github.io/Logging_2380/klagomål/A 60446-2024 FSC-klagomål.docx", "A 60446-2024")</f>
        <v/>
      </c>
      <c r="W113">
        <f>HYPERLINK("https://klasma.github.io/Logging_2380/klagomålsmail/A 60446-2024 FSC-klagomål mail.docx", "A 60446-2024")</f>
        <v/>
      </c>
      <c r="X113">
        <f>HYPERLINK("https://klasma.github.io/Logging_2380/tillsyn/A 60446-2024 tillsynsbegäran.docx", "A 60446-2024")</f>
        <v/>
      </c>
      <c r="Y113">
        <f>HYPERLINK("https://klasma.github.io/Logging_2380/tillsynsmail/A 60446-2024 tillsynsbegäran mail.docx", "A 60446-2024")</f>
        <v/>
      </c>
    </row>
    <row r="114" ht="15" customHeight="1">
      <c r="A114" t="inlineStr">
        <is>
          <t>A 10529-2025</t>
        </is>
      </c>
      <c r="B114" s="1" t="n">
        <v>45721.44840277778</v>
      </c>
      <c r="C114" s="1" t="n">
        <v>46062</v>
      </c>
      <c r="D114" t="inlineStr">
        <is>
          <t>JÄMTLANDS LÄN</t>
        </is>
      </c>
      <c r="E114" t="inlineStr">
        <is>
          <t>ÖSTERSUND</t>
        </is>
      </c>
      <c r="F114" t="inlineStr">
        <is>
          <t>SCA</t>
        </is>
      </c>
      <c r="G114" t="n">
        <v>1.4</v>
      </c>
      <c r="H114" t="n">
        <v>0</v>
      </c>
      <c r="I114" t="n">
        <v>2</v>
      </c>
      <c r="J114" t="n">
        <v>0</v>
      </c>
      <c r="K114" t="n">
        <v>0</v>
      </c>
      <c r="L114" t="n">
        <v>0</v>
      </c>
      <c r="M114" t="n">
        <v>0</v>
      </c>
      <c r="N114" t="n">
        <v>0</v>
      </c>
      <c r="O114" t="n">
        <v>0</v>
      </c>
      <c r="P114" t="n">
        <v>0</v>
      </c>
      <c r="Q114" t="n">
        <v>2</v>
      </c>
      <c r="R114" s="2" t="inlineStr">
        <is>
          <t>Gräsull
Ögonpyrola</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15700-2025</t>
        </is>
      </c>
      <c r="B115" s="1" t="n">
        <v>45748.47314814815</v>
      </c>
      <c r="C115" s="1" t="n">
        <v>46062</v>
      </c>
      <c r="D115" t="inlineStr">
        <is>
          <t>JÄMTLANDS LÄN</t>
        </is>
      </c>
      <c r="E115" t="inlineStr">
        <is>
          <t>ÖSTERSUND</t>
        </is>
      </c>
      <c r="G115" t="n">
        <v>0.9</v>
      </c>
      <c r="H115" t="n">
        <v>0</v>
      </c>
      <c r="I115" t="n">
        <v>2</v>
      </c>
      <c r="J115" t="n">
        <v>0</v>
      </c>
      <c r="K115" t="n">
        <v>0</v>
      </c>
      <c r="L115" t="n">
        <v>0</v>
      </c>
      <c r="M115" t="n">
        <v>0</v>
      </c>
      <c r="N115" t="n">
        <v>0</v>
      </c>
      <c r="O115" t="n">
        <v>0</v>
      </c>
      <c r="P115" t="n">
        <v>0</v>
      </c>
      <c r="Q115" t="n">
        <v>2</v>
      </c>
      <c r="R115" s="2" t="inlineStr">
        <is>
          <t>Brun klibbskivling
Droppklibbskivling</t>
        </is>
      </c>
      <c r="S115">
        <f>HYPERLINK("https://klasma.github.io/Logging_2380/artfynd/A 15700-2025 artfynd.xlsx", "A 15700-2025")</f>
        <v/>
      </c>
      <c r="T115">
        <f>HYPERLINK("https://klasma.github.io/Logging_2380/kartor/A 15700-2025 karta.png", "A 15700-2025")</f>
        <v/>
      </c>
      <c r="V115">
        <f>HYPERLINK("https://klasma.github.io/Logging_2380/klagomål/A 15700-2025 FSC-klagomål.docx", "A 15700-2025")</f>
        <v/>
      </c>
      <c r="W115">
        <f>HYPERLINK("https://klasma.github.io/Logging_2380/klagomålsmail/A 15700-2025 FSC-klagomål mail.docx", "A 15700-2025")</f>
        <v/>
      </c>
      <c r="X115">
        <f>HYPERLINK("https://klasma.github.io/Logging_2380/tillsyn/A 15700-2025 tillsynsbegäran.docx", "A 15700-2025")</f>
        <v/>
      </c>
      <c r="Y115">
        <f>HYPERLINK("https://klasma.github.io/Logging_2380/tillsynsmail/A 15700-2025 tillsynsbegäran mail.docx", "A 15700-2025")</f>
        <v/>
      </c>
    </row>
    <row r="116" ht="15" customHeight="1">
      <c r="A116" t="inlineStr">
        <is>
          <t>A 26612-2025</t>
        </is>
      </c>
      <c r="B116" s="1" t="n">
        <v>45810</v>
      </c>
      <c r="C116" s="1" t="n">
        <v>46062</v>
      </c>
      <c r="D116" t="inlineStr">
        <is>
          <t>JÄMTLANDS LÄN</t>
        </is>
      </c>
      <c r="E116" t="inlineStr">
        <is>
          <t>ÖSTERSUND</t>
        </is>
      </c>
      <c r="G116" t="n">
        <v>20.6</v>
      </c>
      <c r="H116" t="n">
        <v>1</v>
      </c>
      <c r="I116" t="n">
        <v>0</v>
      </c>
      <c r="J116" t="n">
        <v>0</v>
      </c>
      <c r="K116" t="n">
        <v>1</v>
      </c>
      <c r="L116" t="n">
        <v>1</v>
      </c>
      <c r="M116" t="n">
        <v>0</v>
      </c>
      <c r="N116" t="n">
        <v>0</v>
      </c>
      <c r="O116" t="n">
        <v>2</v>
      </c>
      <c r="P116" t="n">
        <v>2</v>
      </c>
      <c r="Q116" t="n">
        <v>2</v>
      </c>
      <c r="R116" s="2" t="inlineStr">
        <is>
          <t>Violett guldvinge
Turkos blåvinge</t>
        </is>
      </c>
      <c r="S116">
        <f>HYPERLINK("https://klasma.github.io/Logging_2380/artfynd/A 26612-2025 artfynd.xlsx", "A 26612-2025")</f>
        <v/>
      </c>
      <c r="T116">
        <f>HYPERLINK("https://klasma.github.io/Logging_2380/kartor/A 26612-2025 karta.png", "A 26612-2025")</f>
        <v/>
      </c>
      <c r="V116">
        <f>HYPERLINK("https://klasma.github.io/Logging_2380/klagomål/A 26612-2025 FSC-klagomål.docx", "A 26612-2025")</f>
        <v/>
      </c>
      <c r="W116">
        <f>HYPERLINK("https://klasma.github.io/Logging_2380/klagomålsmail/A 26612-2025 FSC-klagomål mail.docx", "A 26612-2025")</f>
        <v/>
      </c>
      <c r="X116">
        <f>HYPERLINK("https://klasma.github.io/Logging_2380/tillsyn/A 26612-2025 tillsynsbegäran.docx", "A 26612-2025")</f>
        <v/>
      </c>
      <c r="Y116">
        <f>HYPERLINK("https://klasma.github.io/Logging_2380/tillsynsmail/A 26612-2025 tillsynsbegäran mail.docx", "A 26612-2025")</f>
        <v/>
      </c>
    </row>
    <row r="117" ht="15" customHeight="1">
      <c r="A117" t="inlineStr">
        <is>
          <t>A 40207-2025</t>
        </is>
      </c>
      <c r="B117" s="1" t="n">
        <v>45894.67988425926</v>
      </c>
      <c r="C117" s="1" t="n">
        <v>46062</v>
      </c>
      <c r="D117" t="inlineStr">
        <is>
          <t>JÄMTLANDS LÄN</t>
        </is>
      </c>
      <c r="E117" t="inlineStr">
        <is>
          <t>ÖSTERSUND</t>
        </is>
      </c>
      <c r="G117" t="n">
        <v>5.4</v>
      </c>
      <c r="H117" t="n">
        <v>0</v>
      </c>
      <c r="I117" t="n">
        <v>1</v>
      </c>
      <c r="J117" t="n">
        <v>0</v>
      </c>
      <c r="K117" t="n">
        <v>0</v>
      </c>
      <c r="L117" t="n">
        <v>1</v>
      </c>
      <c r="M117" t="n">
        <v>0</v>
      </c>
      <c r="N117" t="n">
        <v>0</v>
      </c>
      <c r="O117" t="n">
        <v>1</v>
      </c>
      <c r="P117" t="n">
        <v>1</v>
      </c>
      <c r="Q117" t="n">
        <v>2</v>
      </c>
      <c r="R117" s="2" t="inlineStr">
        <is>
          <t>Trolldruvemätare
Tibast</t>
        </is>
      </c>
      <c r="S117">
        <f>HYPERLINK("https://klasma.github.io/Logging_2380/artfynd/A 40207-2025 artfynd.xlsx", "A 40207-2025")</f>
        <v/>
      </c>
      <c r="T117">
        <f>HYPERLINK("https://klasma.github.io/Logging_2380/kartor/A 40207-2025 karta.png", "A 40207-2025")</f>
        <v/>
      </c>
      <c r="V117">
        <f>HYPERLINK("https://klasma.github.io/Logging_2380/klagomål/A 40207-2025 FSC-klagomål.docx", "A 40207-2025")</f>
        <v/>
      </c>
      <c r="W117">
        <f>HYPERLINK("https://klasma.github.io/Logging_2380/klagomålsmail/A 40207-2025 FSC-klagomål mail.docx", "A 40207-2025")</f>
        <v/>
      </c>
      <c r="X117">
        <f>HYPERLINK("https://klasma.github.io/Logging_2380/tillsyn/A 40207-2025 tillsynsbegäran.docx", "A 40207-2025")</f>
        <v/>
      </c>
      <c r="Y117">
        <f>HYPERLINK("https://klasma.github.io/Logging_2380/tillsynsmail/A 40207-2025 tillsynsbegäran mail.docx", "A 40207-2025")</f>
        <v/>
      </c>
    </row>
    <row r="118" ht="15" customHeight="1">
      <c r="A118" t="inlineStr">
        <is>
          <t>A 45237-2025</t>
        </is>
      </c>
      <c r="B118" s="1" t="n">
        <v>45919.59467592592</v>
      </c>
      <c r="C118" s="1" t="n">
        <v>46062</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35977-2024</t>
        </is>
      </c>
      <c r="B119" s="1" t="n">
        <v>45533.49601851852</v>
      </c>
      <c r="C119" s="1" t="n">
        <v>46062</v>
      </c>
      <c r="D119" t="inlineStr">
        <is>
          <t>JÄMTLANDS LÄN</t>
        </is>
      </c>
      <c r="E119" t="inlineStr">
        <is>
          <t>ÖSTERSUND</t>
        </is>
      </c>
      <c r="G119" t="n">
        <v>0.7</v>
      </c>
      <c r="H119" t="n">
        <v>0</v>
      </c>
      <c r="I119" t="n">
        <v>2</v>
      </c>
      <c r="J119" t="n">
        <v>0</v>
      </c>
      <c r="K119" t="n">
        <v>0</v>
      </c>
      <c r="L119" t="n">
        <v>0</v>
      </c>
      <c r="M119" t="n">
        <v>0</v>
      </c>
      <c r="N119" t="n">
        <v>0</v>
      </c>
      <c r="O119" t="n">
        <v>0</v>
      </c>
      <c r="P119" t="n">
        <v>0</v>
      </c>
      <c r="Q119" t="n">
        <v>2</v>
      </c>
      <c r="R119" s="2" t="inlineStr">
        <is>
          <t>Tibast
Trådticka</t>
        </is>
      </c>
      <c r="S119">
        <f>HYPERLINK("https://klasma.github.io/Logging_2380/artfynd/A 35977-2024 artfynd.xlsx", "A 35977-2024")</f>
        <v/>
      </c>
      <c r="T119">
        <f>HYPERLINK("https://klasma.github.io/Logging_2380/kartor/A 35977-2024 karta.png", "A 35977-2024")</f>
        <v/>
      </c>
      <c r="V119">
        <f>HYPERLINK("https://klasma.github.io/Logging_2380/klagomål/A 35977-2024 FSC-klagomål.docx", "A 35977-2024")</f>
        <v/>
      </c>
      <c r="W119">
        <f>HYPERLINK("https://klasma.github.io/Logging_2380/klagomålsmail/A 35977-2024 FSC-klagomål mail.docx", "A 35977-2024")</f>
        <v/>
      </c>
      <c r="X119">
        <f>HYPERLINK("https://klasma.github.io/Logging_2380/tillsyn/A 35977-2024 tillsynsbegäran.docx", "A 35977-2024")</f>
        <v/>
      </c>
      <c r="Y119">
        <f>HYPERLINK("https://klasma.github.io/Logging_2380/tillsynsmail/A 35977-2024 tillsynsbegäran mail.docx", "A 35977-2024")</f>
        <v/>
      </c>
    </row>
    <row r="120" ht="15" customHeight="1">
      <c r="A120" t="inlineStr">
        <is>
          <t>A 54872-2025</t>
        </is>
      </c>
      <c r="B120" s="1" t="n">
        <v>45966.94104166667</v>
      </c>
      <c r="C120" s="1" t="n">
        <v>46062</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46062</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58931-2025</t>
        </is>
      </c>
      <c r="B122" s="1" t="n">
        <v>45987.55831018519</v>
      </c>
      <c r="C122" s="1" t="n">
        <v>46062</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46062</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46062</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46062</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46062</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46062</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52129-2023</t>
        </is>
      </c>
      <c r="B128" s="1" t="n">
        <v>45223</v>
      </c>
      <c r="C128" s="1" t="n">
        <v>46062</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4916-2023</t>
        </is>
      </c>
      <c r="B129" s="1" t="n">
        <v>44956</v>
      </c>
      <c r="C129" s="1" t="n">
        <v>46062</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21615-2024</t>
        </is>
      </c>
      <c r="B130" s="1" t="n">
        <v>45441.95357638889</v>
      </c>
      <c r="C130" s="1" t="n">
        <v>46062</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39968-2024</t>
        </is>
      </c>
      <c r="B131" s="1" t="n">
        <v>45553.59296296296</v>
      </c>
      <c r="C131" s="1" t="n">
        <v>46062</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56006-2023</t>
        </is>
      </c>
      <c r="B132" s="1" t="n">
        <v>45233</v>
      </c>
      <c r="C132" s="1" t="n">
        <v>46062</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13795-2025</t>
        </is>
      </c>
      <c r="B133" s="1" t="n">
        <v>45737</v>
      </c>
      <c r="C133" s="1" t="n">
        <v>46062</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60534-2022</t>
        </is>
      </c>
      <c r="B134" s="1" t="n">
        <v>44904</v>
      </c>
      <c r="C134" s="1" t="n">
        <v>46062</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33137-2021</t>
        </is>
      </c>
      <c r="B135" s="1" t="n">
        <v>44376</v>
      </c>
      <c r="C135" s="1" t="n">
        <v>46062</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46062</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46062</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46163-2021</t>
        </is>
      </c>
      <c r="B138" s="1" t="n">
        <v>44441</v>
      </c>
      <c r="C138" s="1" t="n">
        <v>46062</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46062</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59108-2024</t>
        </is>
      </c>
      <c r="B140" s="1" t="n">
        <v>45637.34469907408</v>
      </c>
      <c r="C140" s="1" t="n">
        <v>46062</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64380-2023</t>
        </is>
      </c>
      <c r="B141" s="1" t="n">
        <v>45280.56451388889</v>
      </c>
      <c r="C141" s="1" t="n">
        <v>46062</v>
      </c>
      <c r="D141" t="inlineStr">
        <is>
          <t>JÄMTLANDS LÄN</t>
        </is>
      </c>
      <c r="E141" t="inlineStr">
        <is>
          <t>ÖSTERSUND</t>
        </is>
      </c>
      <c r="G141" t="n">
        <v>12.4</v>
      </c>
      <c r="H141" t="n">
        <v>0</v>
      </c>
      <c r="I141" t="n">
        <v>0</v>
      </c>
      <c r="J141" t="n">
        <v>1</v>
      </c>
      <c r="K141" t="n">
        <v>0</v>
      </c>
      <c r="L141" t="n">
        <v>0</v>
      </c>
      <c r="M141" t="n">
        <v>0</v>
      </c>
      <c r="N141" t="n">
        <v>0</v>
      </c>
      <c r="O141" t="n">
        <v>1</v>
      </c>
      <c r="P141" t="n">
        <v>0</v>
      </c>
      <c r="Q141" t="n">
        <v>1</v>
      </c>
      <c r="R141" s="2" t="inlineStr">
        <is>
          <t>Luddfingersvamp</t>
        </is>
      </c>
      <c r="S141">
        <f>HYPERLINK("https://klasma.github.io/Logging_2380/artfynd/A 64380-2023 artfynd.xlsx", "A 64380-2023")</f>
        <v/>
      </c>
      <c r="T141">
        <f>HYPERLINK("https://klasma.github.io/Logging_2380/kartor/A 64380-2023 karta.png", "A 64380-2023")</f>
        <v/>
      </c>
      <c r="V141">
        <f>HYPERLINK("https://klasma.github.io/Logging_2380/klagomål/A 64380-2023 FSC-klagomål.docx", "A 64380-2023")</f>
        <v/>
      </c>
      <c r="W141">
        <f>HYPERLINK("https://klasma.github.io/Logging_2380/klagomålsmail/A 64380-2023 FSC-klagomål mail.docx", "A 64380-2023")</f>
        <v/>
      </c>
      <c r="X141">
        <f>HYPERLINK("https://klasma.github.io/Logging_2380/tillsyn/A 64380-2023 tillsynsbegäran.docx", "A 64380-2023")</f>
        <v/>
      </c>
      <c r="Y141">
        <f>HYPERLINK("https://klasma.github.io/Logging_2380/tillsynsmail/A 64380-2023 tillsynsbegäran mail.docx", "A 64380-2023")</f>
        <v/>
      </c>
    </row>
    <row r="142" ht="15" customHeight="1">
      <c r="A142" t="inlineStr">
        <is>
          <t>A 55821-2021</t>
        </is>
      </c>
      <c r="B142" s="1" t="n">
        <v>44476</v>
      </c>
      <c r="C142" s="1" t="n">
        <v>46062</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46062</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46062</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43188-2025</t>
        </is>
      </c>
      <c r="B145" s="1" t="n">
        <v>45910.41201388889</v>
      </c>
      <c r="C145" s="1" t="n">
        <v>46062</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31883-2024</t>
        </is>
      </c>
      <c r="B146" s="1" t="n">
        <v>45509.9572800926</v>
      </c>
      <c r="C146" s="1" t="n">
        <v>46062</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46062</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46062</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33550-2025</t>
        </is>
      </c>
      <c r="B149" s="1" t="n">
        <v>45841.57331018519</v>
      </c>
      <c r="C149" s="1" t="n">
        <v>46062</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28980-2023</t>
        </is>
      </c>
      <c r="B150" s="1" t="n">
        <v>45096</v>
      </c>
      <c r="C150" s="1" t="n">
        <v>46062</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44049-2024</t>
        </is>
      </c>
      <c r="B151" s="1" t="n">
        <v>45572.59462962963</v>
      </c>
      <c r="C151" s="1" t="n">
        <v>46062</v>
      </c>
      <c r="D151" t="inlineStr">
        <is>
          <t>JÄMTLANDS LÄN</t>
        </is>
      </c>
      <c r="E151" t="inlineStr">
        <is>
          <t>ÖSTERSUND</t>
        </is>
      </c>
      <c r="F151" t="inlineStr">
        <is>
          <t>SCA</t>
        </is>
      </c>
      <c r="G151" t="n">
        <v>4.5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44049-2024 artfynd.xlsx", "A 44049-2024")</f>
        <v/>
      </c>
      <c r="T151">
        <f>HYPERLINK("https://klasma.github.io/Logging_2380/kartor/A 44049-2024 karta.png", "A 44049-2024")</f>
        <v/>
      </c>
      <c r="V151">
        <f>HYPERLINK("https://klasma.github.io/Logging_2380/klagomål/A 44049-2024 FSC-klagomål.docx", "A 44049-2024")</f>
        <v/>
      </c>
      <c r="W151">
        <f>HYPERLINK("https://klasma.github.io/Logging_2380/klagomålsmail/A 44049-2024 FSC-klagomål mail.docx", "A 44049-2024")</f>
        <v/>
      </c>
      <c r="X151">
        <f>HYPERLINK("https://klasma.github.io/Logging_2380/tillsyn/A 44049-2024 tillsynsbegäran.docx", "A 44049-2024")</f>
        <v/>
      </c>
      <c r="Y151">
        <f>HYPERLINK("https://klasma.github.io/Logging_2380/tillsynsmail/A 44049-2024 tillsynsbegäran mail.docx", "A 44049-2024")</f>
        <v/>
      </c>
    </row>
    <row r="152" ht="15" customHeight="1">
      <c r="A152" t="inlineStr">
        <is>
          <t>A 36225-2025</t>
        </is>
      </c>
      <c r="B152" s="1" t="n">
        <v>45867.51128472222</v>
      </c>
      <c r="C152" s="1" t="n">
        <v>46062</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54354-2024</t>
        </is>
      </c>
      <c r="B153" s="1" t="n">
        <v>45617.40244212963</v>
      </c>
      <c r="C153" s="1" t="n">
        <v>46062</v>
      </c>
      <c r="D153" t="inlineStr">
        <is>
          <t>JÄMTLANDS LÄN</t>
        </is>
      </c>
      <c r="E153" t="inlineStr">
        <is>
          <t>ÖSTERSUND</t>
        </is>
      </c>
      <c r="G153" t="n">
        <v>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54354-2024 artfynd.xlsx", "A 54354-2024")</f>
        <v/>
      </c>
      <c r="T153">
        <f>HYPERLINK("https://klasma.github.io/Logging_2380/kartor/A 54354-2024 karta.png", "A 54354-2024")</f>
        <v/>
      </c>
      <c r="V153">
        <f>HYPERLINK("https://klasma.github.io/Logging_2380/klagomål/A 54354-2024 FSC-klagomål.docx", "A 54354-2024")</f>
        <v/>
      </c>
      <c r="W153">
        <f>HYPERLINK("https://klasma.github.io/Logging_2380/klagomålsmail/A 54354-2024 FSC-klagomål mail.docx", "A 54354-2024")</f>
        <v/>
      </c>
      <c r="X153">
        <f>HYPERLINK("https://klasma.github.io/Logging_2380/tillsyn/A 54354-2024 tillsynsbegäran.docx", "A 54354-2024")</f>
        <v/>
      </c>
      <c r="Y153">
        <f>HYPERLINK("https://klasma.github.io/Logging_2380/tillsynsmail/A 54354-2024 tillsynsbegäran mail.docx", "A 54354-2024")</f>
        <v/>
      </c>
      <c r="Z153">
        <f>HYPERLINK("https://klasma.github.io/Logging_2380/fåglar/A 54354-2024 prioriterade fågelarter.docx", "A 54354-2024")</f>
        <v/>
      </c>
    </row>
    <row r="154" ht="15" customHeight="1">
      <c r="A154" t="inlineStr">
        <is>
          <t>A 53300-2025</t>
        </is>
      </c>
      <c r="B154" s="1" t="n">
        <v>45959.32394675926</v>
      </c>
      <c r="C154" s="1" t="n">
        <v>46062</v>
      </c>
      <c r="D154" t="inlineStr">
        <is>
          <t>JÄMTLANDS LÄN</t>
        </is>
      </c>
      <c r="E154" t="inlineStr">
        <is>
          <t>ÖSTERSUND</t>
        </is>
      </c>
      <c r="F154" t="inlineStr">
        <is>
          <t>Sveaskog</t>
        </is>
      </c>
      <c r="G154" t="n">
        <v>12.2</v>
      </c>
      <c r="H154" t="n">
        <v>0</v>
      </c>
      <c r="I154" t="n">
        <v>1</v>
      </c>
      <c r="J154" t="n">
        <v>0</v>
      </c>
      <c r="K154" t="n">
        <v>0</v>
      </c>
      <c r="L154" t="n">
        <v>0</v>
      </c>
      <c r="M154" t="n">
        <v>0</v>
      </c>
      <c r="N154" t="n">
        <v>0</v>
      </c>
      <c r="O154" t="n">
        <v>0</v>
      </c>
      <c r="P154" t="n">
        <v>0</v>
      </c>
      <c r="Q154" t="n">
        <v>1</v>
      </c>
      <c r="R154" s="2" t="inlineStr">
        <is>
          <t>Rödgul trumpetsvamp</t>
        </is>
      </c>
      <c r="S154">
        <f>HYPERLINK("https://klasma.github.io/Logging_2380/artfynd/A 53300-2025 artfynd.xlsx", "A 53300-2025")</f>
        <v/>
      </c>
      <c r="T154">
        <f>HYPERLINK("https://klasma.github.io/Logging_2380/kartor/A 53300-2025 karta.png", "A 53300-2025")</f>
        <v/>
      </c>
      <c r="V154">
        <f>HYPERLINK("https://klasma.github.io/Logging_2380/klagomål/A 53300-2025 FSC-klagomål.docx", "A 53300-2025")</f>
        <v/>
      </c>
      <c r="W154">
        <f>HYPERLINK("https://klasma.github.io/Logging_2380/klagomålsmail/A 53300-2025 FSC-klagomål mail.docx", "A 53300-2025")</f>
        <v/>
      </c>
      <c r="X154">
        <f>HYPERLINK("https://klasma.github.io/Logging_2380/tillsyn/A 53300-2025 tillsynsbegäran.docx", "A 53300-2025")</f>
        <v/>
      </c>
      <c r="Y154">
        <f>HYPERLINK("https://klasma.github.io/Logging_2380/tillsynsmail/A 53300-2025 tillsynsbegäran mail.docx", "A 53300-2025")</f>
        <v/>
      </c>
    </row>
    <row r="155" ht="15" customHeight="1">
      <c r="A155" t="inlineStr">
        <is>
          <t>A 24368-2025</t>
        </is>
      </c>
      <c r="B155" s="1" t="n">
        <v>45797.60623842593</v>
      </c>
      <c r="C155" s="1" t="n">
        <v>46062</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58181-2022</t>
        </is>
      </c>
      <c r="B156" s="1" t="n">
        <v>44900</v>
      </c>
      <c r="C156" s="1" t="n">
        <v>46062</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58274-2025</t>
        </is>
      </c>
      <c r="B157" s="1" t="n">
        <v>45985.43086805556</v>
      </c>
      <c r="C157" s="1" t="n">
        <v>46062</v>
      </c>
      <c r="D157" t="inlineStr">
        <is>
          <t>JÄMTLANDS LÄN</t>
        </is>
      </c>
      <c r="E157" t="inlineStr">
        <is>
          <t>ÖSTERSUND</t>
        </is>
      </c>
      <c r="F157" t="inlineStr">
        <is>
          <t>Övriga Aktiebolag</t>
        </is>
      </c>
      <c r="G157" t="n">
        <v>18.7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58274-2025 artfynd.xlsx", "A 58274-2025")</f>
        <v/>
      </c>
      <c r="T157">
        <f>HYPERLINK("https://klasma.github.io/Logging_2380/kartor/A 58274-2025 karta.png", "A 58274-2025")</f>
        <v/>
      </c>
      <c r="V157">
        <f>HYPERLINK("https://klasma.github.io/Logging_2380/klagomål/A 58274-2025 FSC-klagomål.docx", "A 58274-2025")</f>
        <v/>
      </c>
      <c r="W157">
        <f>HYPERLINK("https://klasma.github.io/Logging_2380/klagomålsmail/A 58274-2025 FSC-klagomål mail.docx", "A 58274-2025")</f>
        <v/>
      </c>
      <c r="X157">
        <f>HYPERLINK("https://klasma.github.io/Logging_2380/tillsyn/A 58274-2025 tillsynsbegäran.docx", "A 58274-2025")</f>
        <v/>
      </c>
      <c r="Y157">
        <f>HYPERLINK("https://klasma.github.io/Logging_2380/tillsynsmail/A 58274-2025 tillsynsbegäran mail.docx", "A 58274-2025")</f>
        <v/>
      </c>
      <c r="Z157">
        <f>HYPERLINK("https://klasma.github.io/Logging_2380/fåglar/A 58274-2025 prioriterade fågelarter.docx", "A 58274-2025")</f>
        <v/>
      </c>
    </row>
    <row r="158" ht="15" customHeight="1">
      <c r="A158" t="inlineStr">
        <is>
          <t>A 41312-2024</t>
        </is>
      </c>
      <c r="B158" s="1" t="n">
        <v>45559.63584490741</v>
      </c>
      <c r="C158" s="1" t="n">
        <v>46062</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33267-2022</t>
        </is>
      </c>
      <c r="B159" s="1" t="n">
        <v>44785</v>
      </c>
      <c r="C159" s="1" t="n">
        <v>46062</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57065-2024</t>
        </is>
      </c>
      <c r="B160" s="1" t="n">
        <v>45629.35344907407</v>
      </c>
      <c r="C160" s="1" t="n">
        <v>46062</v>
      </c>
      <c r="D160" t="inlineStr">
        <is>
          <t>JÄMTLANDS LÄN</t>
        </is>
      </c>
      <c r="E160" t="inlineStr">
        <is>
          <t>ÖSTERSUND</t>
        </is>
      </c>
      <c r="F160" t="inlineStr">
        <is>
          <t>SCA</t>
        </is>
      </c>
      <c r="G160" t="n">
        <v>6.3</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57065-2024 artfynd.xlsx", "A 57065-2024")</f>
        <v/>
      </c>
      <c r="T160">
        <f>HYPERLINK("https://klasma.github.io/Logging_2380/kartor/A 57065-2024 karta.png", "A 57065-2024")</f>
        <v/>
      </c>
      <c r="V160">
        <f>HYPERLINK("https://klasma.github.io/Logging_2380/klagomål/A 57065-2024 FSC-klagomål.docx", "A 57065-2024")</f>
        <v/>
      </c>
      <c r="W160">
        <f>HYPERLINK("https://klasma.github.io/Logging_2380/klagomålsmail/A 57065-2024 FSC-klagomål mail.docx", "A 57065-2024")</f>
        <v/>
      </c>
      <c r="X160">
        <f>HYPERLINK("https://klasma.github.io/Logging_2380/tillsyn/A 57065-2024 tillsynsbegäran.docx", "A 57065-2024")</f>
        <v/>
      </c>
      <c r="Y160">
        <f>HYPERLINK("https://klasma.github.io/Logging_2380/tillsynsmail/A 57065-2024 tillsynsbegäran mail.docx", "A 57065-2024")</f>
        <v/>
      </c>
      <c r="Z160">
        <f>HYPERLINK("https://klasma.github.io/Logging_2380/fåglar/A 57065-2024 prioriterade fågelarter.docx", "A 57065-2024")</f>
        <v/>
      </c>
    </row>
    <row r="161" ht="15" customHeight="1">
      <c r="A161" t="inlineStr">
        <is>
          <t>A 60966-2025</t>
        </is>
      </c>
      <c r="B161" s="1" t="n">
        <v>45999.67758101852</v>
      </c>
      <c r="C161" s="1" t="n">
        <v>46062</v>
      </c>
      <c r="D161" t="inlineStr">
        <is>
          <t>JÄMTLANDS LÄN</t>
        </is>
      </c>
      <c r="E161" t="inlineStr">
        <is>
          <t>ÖSTERSUND</t>
        </is>
      </c>
      <c r="F161" t="inlineStr">
        <is>
          <t>SCA</t>
        </is>
      </c>
      <c r="G161" t="n">
        <v>1.9</v>
      </c>
      <c r="H161" t="n">
        <v>1</v>
      </c>
      <c r="I161" t="n">
        <v>1</v>
      </c>
      <c r="J161" t="n">
        <v>0</v>
      </c>
      <c r="K161" t="n">
        <v>0</v>
      </c>
      <c r="L161" t="n">
        <v>0</v>
      </c>
      <c r="M161" t="n">
        <v>0</v>
      </c>
      <c r="N161" t="n">
        <v>0</v>
      </c>
      <c r="O161" t="n">
        <v>0</v>
      </c>
      <c r="P161" t="n">
        <v>0</v>
      </c>
      <c r="Q161" t="n">
        <v>1</v>
      </c>
      <c r="R161" s="2" t="inlineStr">
        <is>
          <t>Tvåblad</t>
        </is>
      </c>
      <c r="S161">
        <f>HYPERLINK("https://klasma.github.io/Logging_2380/artfynd/A 60966-2025 artfynd.xlsx", "A 60966-2025")</f>
        <v/>
      </c>
      <c r="T161">
        <f>HYPERLINK("https://klasma.github.io/Logging_2380/kartor/A 60966-2025 karta.png", "A 60966-2025")</f>
        <v/>
      </c>
      <c r="V161">
        <f>HYPERLINK("https://klasma.github.io/Logging_2380/klagomål/A 60966-2025 FSC-klagomål.docx", "A 60966-2025")</f>
        <v/>
      </c>
      <c r="W161">
        <f>HYPERLINK("https://klasma.github.io/Logging_2380/klagomålsmail/A 60966-2025 FSC-klagomål mail.docx", "A 60966-2025")</f>
        <v/>
      </c>
      <c r="X161">
        <f>HYPERLINK("https://klasma.github.io/Logging_2380/tillsyn/A 60966-2025 tillsynsbegäran.docx", "A 60966-2025")</f>
        <v/>
      </c>
      <c r="Y161">
        <f>HYPERLINK("https://klasma.github.io/Logging_2380/tillsynsmail/A 60966-2025 tillsynsbegäran mail.docx", "A 60966-2025")</f>
        <v/>
      </c>
    </row>
    <row r="162" ht="15" customHeight="1">
      <c r="A162" t="inlineStr">
        <is>
          <t>A 3894-2026</t>
        </is>
      </c>
      <c r="B162" s="1" t="n">
        <v>46043.67922453704</v>
      </c>
      <c r="C162" s="1" t="n">
        <v>46062</v>
      </c>
      <c r="D162" t="inlineStr">
        <is>
          <t>JÄMTLANDS LÄN</t>
        </is>
      </c>
      <c r="E162" t="inlineStr">
        <is>
          <t>ÖSTERSUND</t>
        </is>
      </c>
      <c r="G162" t="n">
        <v>3.5</v>
      </c>
      <c r="H162" t="n">
        <v>0</v>
      </c>
      <c r="I162" t="n">
        <v>0</v>
      </c>
      <c r="J162" t="n">
        <v>0</v>
      </c>
      <c r="K162" t="n">
        <v>1</v>
      </c>
      <c r="L162" t="n">
        <v>0</v>
      </c>
      <c r="M162" t="n">
        <v>0</v>
      </c>
      <c r="N162" t="n">
        <v>0</v>
      </c>
      <c r="O162" t="n">
        <v>1</v>
      </c>
      <c r="P162" t="n">
        <v>1</v>
      </c>
      <c r="Q162" t="n">
        <v>1</v>
      </c>
      <c r="R162" s="2" t="inlineStr">
        <is>
          <t>Rynkskinn</t>
        </is>
      </c>
      <c r="S162">
        <f>HYPERLINK("https://klasma.github.io/Logging_2380/artfynd/A 3894-2026 artfynd.xlsx", "A 3894-2026")</f>
        <v/>
      </c>
      <c r="T162">
        <f>HYPERLINK("https://klasma.github.io/Logging_2380/kartor/A 3894-2026 karta.png", "A 3894-2026")</f>
        <v/>
      </c>
      <c r="V162">
        <f>HYPERLINK("https://klasma.github.io/Logging_2380/klagomål/A 3894-2026 FSC-klagomål.docx", "A 3894-2026")</f>
        <v/>
      </c>
      <c r="W162">
        <f>HYPERLINK("https://klasma.github.io/Logging_2380/klagomålsmail/A 3894-2026 FSC-klagomål mail.docx", "A 3894-2026")</f>
        <v/>
      </c>
      <c r="X162">
        <f>HYPERLINK("https://klasma.github.io/Logging_2380/tillsyn/A 3894-2026 tillsynsbegäran.docx", "A 3894-2026")</f>
        <v/>
      </c>
      <c r="Y162">
        <f>HYPERLINK("https://klasma.github.io/Logging_2380/tillsynsmail/A 3894-2026 tillsynsbegäran mail.docx", "A 3894-2026")</f>
        <v/>
      </c>
    </row>
    <row r="163" ht="15" customHeight="1">
      <c r="A163" t="inlineStr">
        <is>
          <t>A 3512-2026</t>
        </is>
      </c>
      <c r="B163" s="1" t="n">
        <v>46042.58655092592</v>
      </c>
      <c r="C163" s="1" t="n">
        <v>46062</v>
      </c>
      <c r="D163" t="inlineStr">
        <is>
          <t>JÄMTLANDS LÄN</t>
        </is>
      </c>
      <c r="E163" t="inlineStr">
        <is>
          <t>ÖSTERSUND</t>
        </is>
      </c>
      <c r="G163" t="n">
        <v>5.7</v>
      </c>
      <c r="H163" t="n">
        <v>0</v>
      </c>
      <c r="I163" t="n">
        <v>0</v>
      </c>
      <c r="J163" t="n">
        <v>1</v>
      </c>
      <c r="K163" t="n">
        <v>0</v>
      </c>
      <c r="L163" t="n">
        <v>0</v>
      </c>
      <c r="M163" t="n">
        <v>0</v>
      </c>
      <c r="N163" t="n">
        <v>0</v>
      </c>
      <c r="O163" t="n">
        <v>1</v>
      </c>
      <c r="P163" t="n">
        <v>0</v>
      </c>
      <c r="Q163" t="n">
        <v>1</v>
      </c>
      <c r="R163" s="2" t="inlineStr">
        <is>
          <t>Slåtterfibbla</t>
        </is>
      </c>
      <c r="S163">
        <f>HYPERLINK("https://klasma.github.io/Logging_2380/artfynd/A 3512-2026 artfynd.xlsx", "A 3512-2026")</f>
        <v/>
      </c>
      <c r="T163">
        <f>HYPERLINK("https://klasma.github.io/Logging_2380/kartor/A 3512-2026 karta.png", "A 3512-2026")</f>
        <v/>
      </c>
      <c r="V163">
        <f>HYPERLINK("https://klasma.github.io/Logging_2380/klagomål/A 3512-2026 FSC-klagomål.docx", "A 3512-2026")</f>
        <v/>
      </c>
      <c r="W163">
        <f>HYPERLINK("https://klasma.github.io/Logging_2380/klagomålsmail/A 3512-2026 FSC-klagomål mail.docx", "A 3512-2026")</f>
        <v/>
      </c>
      <c r="X163">
        <f>HYPERLINK("https://klasma.github.io/Logging_2380/tillsyn/A 3512-2026 tillsynsbegäran.docx", "A 3512-2026")</f>
        <v/>
      </c>
      <c r="Y163">
        <f>HYPERLINK("https://klasma.github.io/Logging_2380/tillsynsmail/A 3512-2026 tillsynsbegäran mail.docx", "A 3512-2026")</f>
        <v/>
      </c>
    </row>
    <row r="164" ht="15" customHeight="1">
      <c r="A164" t="inlineStr">
        <is>
          <t>A 40781-2025</t>
        </is>
      </c>
      <c r="B164" s="1" t="n">
        <v>45897</v>
      </c>
      <c r="C164" s="1" t="n">
        <v>46062</v>
      </c>
      <c r="D164" t="inlineStr">
        <is>
          <t>JÄMTLANDS LÄN</t>
        </is>
      </c>
      <c r="E164" t="inlineStr">
        <is>
          <t>ÖSTERSUND</t>
        </is>
      </c>
      <c r="F164" t="inlineStr">
        <is>
          <t>Övriga Aktiebolag</t>
        </is>
      </c>
      <c r="G164" t="n">
        <v>2.2</v>
      </c>
      <c r="H164" t="n">
        <v>1</v>
      </c>
      <c r="I164" t="n">
        <v>0</v>
      </c>
      <c r="J164" t="n">
        <v>0</v>
      </c>
      <c r="K164" t="n">
        <v>0</v>
      </c>
      <c r="L164" t="n">
        <v>0</v>
      </c>
      <c r="M164" t="n">
        <v>0</v>
      </c>
      <c r="N164" t="n">
        <v>0</v>
      </c>
      <c r="O164" t="n">
        <v>0</v>
      </c>
      <c r="P164" t="n">
        <v>0</v>
      </c>
      <c r="Q164" t="n">
        <v>1</v>
      </c>
      <c r="R164" s="2" t="inlineStr">
        <is>
          <t>Blåsippa</t>
        </is>
      </c>
      <c r="S164">
        <f>HYPERLINK("https://klasma.github.io/Logging_2380/artfynd/A 40781-2025 artfynd.xlsx", "A 40781-2025")</f>
        <v/>
      </c>
      <c r="T164">
        <f>HYPERLINK("https://klasma.github.io/Logging_2380/kartor/A 40781-2025 karta.png", "A 40781-2025")</f>
        <v/>
      </c>
      <c r="V164">
        <f>HYPERLINK("https://klasma.github.io/Logging_2380/klagomål/A 40781-2025 FSC-klagomål.docx", "A 40781-2025")</f>
        <v/>
      </c>
      <c r="W164">
        <f>HYPERLINK("https://klasma.github.io/Logging_2380/klagomålsmail/A 40781-2025 FSC-klagomål mail.docx", "A 40781-2025")</f>
        <v/>
      </c>
      <c r="X164">
        <f>HYPERLINK("https://klasma.github.io/Logging_2380/tillsyn/A 40781-2025 tillsynsbegäran.docx", "A 40781-2025")</f>
        <v/>
      </c>
      <c r="Y164">
        <f>HYPERLINK("https://klasma.github.io/Logging_2380/tillsynsmail/A 40781-2025 tillsynsbegäran mail.docx", "A 40781-2025")</f>
        <v/>
      </c>
    </row>
    <row r="165" ht="15" customHeight="1">
      <c r="A165" t="inlineStr">
        <is>
          <t>A 56201-2024</t>
        </is>
      </c>
      <c r="B165" s="1" t="n">
        <v>45624.59462962963</v>
      </c>
      <c r="C165" s="1" t="n">
        <v>46062</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46062</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4223-2026</t>
        </is>
      </c>
      <c r="B167" s="1" t="n">
        <v>46044.84650462963</v>
      </c>
      <c r="C167" s="1" t="n">
        <v>46062</v>
      </c>
      <c r="D167" t="inlineStr">
        <is>
          <t>JÄMTLANDS LÄN</t>
        </is>
      </c>
      <c r="E167" t="inlineStr">
        <is>
          <t>ÖSTERSUND</t>
        </is>
      </c>
      <c r="G167" t="n">
        <v>3.5</v>
      </c>
      <c r="H167" t="n">
        <v>0</v>
      </c>
      <c r="I167" t="n">
        <v>0</v>
      </c>
      <c r="J167" t="n">
        <v>0</v>
      </c>
      <c r="K167" t="n">
        <v>1</v>
      </c>
      <c r="L167" t="n">
        <v>0</v>
      </c>
      <c r="M167" t="n">
        <v>0</v>
      </c>
      <c r="N167" t="n">
        <v>0</v>
      </c>
      <c r="O167" t="n">
        <v>1</v>
      </c>
      <c r="P167" t="n">
        <v>1</v>
      </c>
      <c r="Q167" t="n">
        <v>1</v>
      </c>
      <c r="R167" s="2" t="inlineStr">
        <is>
          <t>Taggfingersvamp</t>
        </is>
      </c>
      <c r="S167">
        <f>HYPERLINK("https://klasma.github.io/Logging_2380/artfynd/A 4223-2026 artfynd.xlsx", "A 4223-2026")</f>
        <v/>
      </c>
      <c r="T167">
        <f>HYPERLINK("https://klasma.github.io/Logging_2380/kartor/A 4223-2026 karta.png", "A 4223-2026")</f>
        <v/>
      </c>
      <c r="V167">
        <f>HYPERLINK("https://klasma.github.io/Logging_2380/klagomål/A 4223-2026 FSC-klagomål.docx", "A 4223-2026")</f>
        <v/>
      </c>
      <c r="W167">
        <f>HYPERLINK("https://klasma.github.io/Logging_2380/klagomålsmail/A 4223-2026 FSC-klagomål mail.docx", "A 4223-2026")</f>
        <v/>
      </c>
      <c r="X167">
        <f>HYPERLINK("https://klasma.github.io/Logging_2380/tillsyn/A 4223-2026 tillsynsbegäran.docx", "A 4223-2026")</f>
        <v/>
      </c>
      <c r="Y167">
        <f>HYPERLINK("https://klasma.github.io/Logging_2380/tillsynsmail/A 4223-2026 tillsynsbegäran mail.docx", "A 4223-2026")</f>
        <v/>
      </c>
    </row>
    <row r="168" ht="15" customHeight="1">
      <c r="A168" t="inlineStr">
        <is>
          <t>A 41279-2024</t>
        </is>
      </c>
      <c r="B168" s="1" t="n">
        <v>45559</v>
      </c>
      <c r="C168" s="1" t="n">
        <v>46062</v>
      </c>
      <c r="D168" t="inlineStr">
        <is>
          <t>JÄMTLANDS LÄN</t>
        </is>
      </c>
      <c r="E168" t="inlineStr">
        <is>
          <t>ÖSTERSUND</t>
        </is>
      </c>
      <c r="F168" t="inlineStr">
        <is>
          <t>SCA</t>
        </is>
      </c>
      <c r="G168" t="n">
        <v>1.6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41279-2024 artfynd.xlsx", "A 41279-2024")</f>
        <v/>
      </c>
      <c r="T168">
        <f>HYPERLINK("https://klasma.github.io/Logging_2380/kartor/A 41279-2024 karta.png", "A 41279-2024")</f>
        <v/>
      </c>
      <c r="V168">
        <f>HYPERLINK("https://klasma.github.io/Logging_2380/klagomål/A 41279-2024 FSC-klagomål.docx", "A 41279-2024")</f>
        <v/>
      </c>
      <c r="W168">
        <f>HYPERLINK("https://klasma.github.io/Logging_2380/klagomålsmail/A 41279-2024 FSC-klagomål mail.docx", "A 41279-2024")</f>
        <v/>
      </c>
      <c r="X168">
        <f>HYPERLINK("https://klasma.github.io/Logging_2380/tillsyn/A 41279-2024 tillsynsbegäran.docx", "A 41279-2024")</f>
        <v/>
      </c>
      <c r="Y168">
        <f>HYPERLINK("https://klasma.github.io/Logging_2380/tillsynsmail/A 41279-2024 tillsynsbegäran mail.docx", "A 41279-2024")</f>
        <v/>
      </c>
    </row>
    <row r="169" ht="15" customHeight="1">
      <c r="A169" t="inlineStr">
        <is>
          <t>A 40692-2024</t>
        </is>
      </c>
      <c r="B169" s="1" t="n">
        <v>45558</v>
      </c>
      <c r="C169" s="1" t="n">
        <v>46062</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4787-2026</t>
        </is>
      </c>
      <c r="B170" s="1" t="n">
        <v>46045</v>
      </c>
      <c r="C170" s="1" t="n">
        <v>46062</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62835-2025</t>
        </is>
      </c>
      <c r="B171" s="1" t="n">
        <v>46008.67969907408</v>
      </c>
      <c r="C171" s="1" t="n">
        <v>46062</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46062</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41770-2024</t>
        </is>
      </c>
      <c r="B173" s="1" t="n">
        <v>45561.34641203703</v>
      </c>
      <c r="C173" s="1" t="n">
        <v>46062</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59433-2021</t>
        </is>
      </c>
      <c r="B174" s="1" t="n">
        <v>44491</v>
      </c>
      <c r="C174" s="1" t="n">
        <v>46062</v>
      </c>
      <c r="D174" t="inlineStr">
        <is>
          <t>JÄMTLANDS LÄN</t>
        </is>
      </c>
      <c r="E174" t="inlineStr">
        <is>
          <t>ÖSTERSUND</t>
        </is>
      </c>
      <c r="F174" t="inlineStr">
        <is>
          <t>Övriga statliga verk och myndigheter</t>
        </is>
      </c>
      <c r="G174" t="n">
        <v>1.6</v>
      </c>
      <c r="H174" t="n">
        <v>0</v>
      </c>
      <c r="I174" t="n">
        <v>0</v>
      </c>
      <c r="J174" t="n">
        <v>1</v>
      </c>
      <c r="K174" t="n">
        <v>0</v>
      </c>
      <c r="L174" t="n">
        <v>0</v>
      </c>
      <c r="M174" t="n">
        <v>0</v>
      </c>
      <c r="N174" t="n">
        <v>0</v>
      </c>
      <c r="O174" t="n">
        <v>1</v>
      </c>
      <c r="P174" t="n">
        <v>0</v>
      </c>
      <c r="Q174" t="n">
        <v>1</v>
      </c>
      <c r="R174" s="2" t="inlineStr">
        <is>
          <t>Brunpudrad nållav</t>
        </is>
      </c>
      <c r="S174">
        <f>HYPERLINK("https://klasma.github.io/Logging_2380/artfynd/A 59433-2021 artfynd.xlsx", "A 59433-2021")</f>
        <v/>
      </c>
      <c r="T174">
        <f>HYPERLINK("https://klasma.github.io/Logging_2380/kartor/A 59433-2021 karta.png", "A 59433-2021")</f>
        <v/>
      </c>
      <c r="V174">
        <f>HYPERLINK("https://klasma.github.io/Logging_2380/klagomål/A 59433-2021 FSC-klagomål.docx", "A 59433-2021")</f>
        <v/>
      </c>
      <c r="W174">
        <f>HYPERLINK("https://klasma.github.io/Logging_2380/klagomålsmail/A 59433-2021 FSC-klagomål mail.docx", "A 59433-2021")</f>
        <v/>
      </c>
      <c r="X174">
        <f>HYPERLINK("https://klasma.github.io/Logging_2380/tillsyn/A 59433-2021 tillsynsbegäran.docx", "A 59433-2021")</f>
        <v/>
      </c>
      <c r="Y174">
        <f>HYPERLINK("https://klasma.github.io/Logging_2380/tillsynsmail/A 59433-2021 tillsynsbegäran mail.docx", "A 59433-2021")</f>
        <v/>
      </c>
    </row>
    <row r="175" ht="15" customHeight="1">
      <c r="A175" t="inlineStr">
        <is>
          <t>A 55-2023</t>
        </is>
      </c>
      <c r="B175" s="1" t="n">
        <v>44928</v>
      </c>
      <c r="C175" s="1" t="n">
        <v>46062</v>
      </c>
      <c r="D175" t="inlineStr">
        <is>
          <t>JÄMTLANDS LÄN</t>
        </is>
      </c>
      <c r="E175" t="inlineStr">
        <is>
          <t>ÖSTERSUND</t>
        </is>
      </c>
      <c r="G175" t="n">
        <v>4</v>
      </c>
      <c r="H175" t="n">
        <v>1</v>
      </c>
      <c r="I175" t="n">
        <v>0</v>
      </c>
      <c r="J175" t="n">
        <v>0</v>
      </c>
      <c r="K175" t="n">
        <v>1</v>
      </c>
      <c r="L175" t="n">
        <v>0</v>
      </c>
      <c r="M175" t="n">
        <v>0</v>
      </c>
      <c r="N175" t="n">
        <v>0</v>
      </c>
      <c r="O175" t="n">
        <v>1</v>
      </c>
      <c r="P175" t="n">
        <v>1</v>
      </c>
      <c r="Q175" t="n">
        <v>1</v>
      </c>
      <c r="R175" s="2" t="inlineStr">
        <is>
          <t>Knärot</t>
        </is>
      </c>
      <c r="S175">
        <f>HYPERLINK("https://klasma.github.io/Logging_2380/artfynd/A 55-2023 artfynd.xlsx", "A 55-2023")</f>
        <v/>
      </c>
      <c r="T175">
        <f>HYPERLINK("https://klasma.github.io/Logging_2380/kartor/A 55-2023 karta.png", "A 55-2023")</f>
        <v/>
      </c>
      <c r="U175">
        <f>HYPERLINK("https://klasma.github.io/Logging_2380/knärot/A 55-2023 karta knärot.png", "A 55-2023")</f>
        <v/>
      </c>
      <c r="V175">
        <f>HYPERLINK("https://klasma.github.io/Logging_2380/klagomål/A 55-2023 FSC-klagomål.docx", "A 55-2023")</f>
        <v/>
      </c>
      <c r="W175">
        <f>HYPERLINK("https://klasma.github.io/Logging_2380/klagomålsmail/A 55-2023 FSC-klagomål mail.docx", "A 55-2023")</f>
        <v/>
      </c>
      <c r="X175">
        <f>HYPERLINK("https://klasma.github.io/Logging_2380/tillsyn/A 55-2023 tillsynsbegäran.docx", "A 55-2023")</f>
        <v/>
      </c>
      <c r="Y175">
        <f>HYPERLINK("https://klasma.github.io/Logging_2380/tillsynsmail/A 55-2023 tillsynsbegäran mail.docx", "A 55-2023")</f>
        <v/>
      </c>
    </row>
    <row r="176" ht="15" customHeight="1">
      <c r="A176" t="inlineStr">
        <is>
          <t>A 40696-2024</t>
        </is>
      </c>
      <c r="B176" s="1" t="n">
        <v>45558</v>
      </c>
      <c r="C176" s="1" t="n">
        <v>46062</v>
      </c>
      <c r="D176" t="inlineStr">
        <is>
          <t>JÄMTLANDS LÄN</t>
        </is>
      </c>
      <c r="E176" t="inlineStr">
        <is>
          <t>ÖSTERSUND</t>
        </is>
      </c>
      <c r="F176" t="inlineStr">
        <is>
          <t>SCA</t>
        </is>
      </c>
      <c r="G176" t="n">
        <v>2.7</v>
      </c>
      <c r="H176" t="n">
        <v>0</v>
      </c>
      <c r="I176" t="n">
        <v>0</v>
      </c>
      <c r="J176" t="n">
        <v>1</v>
      </c>
      <c r="K176" t="n">
        <v>0</v>
      </c>
      <c r="L176" t="n">
        <v>0</v>
      </c>
      <c r="M176" t="n">
        <v>0</v>
      </c>
      <c r="N176" t="n">
        <v>0</v>
      </c>
      <c r="O176" t="n">
        <v>1</v>
      </c>
      <c r="P176" t="n">
        <v>0</v>
      </c>
      <c r="Q176" t="n">
        <v>1</v>
      </c>
      <c r="R176" s="2" t="inlineStr">
        <is>
          <t>Lunglav</t>
        </is>
      </c>
      <c r="S176">
        <f>HYPERLINK("https://klasma.github.io/Logging_2380/artfynd/A 40696-2024 artfynd.xlsx", "A 40696-2024")</f>
        <v/>
      </c>
      <c r="T176">
        <f>HYPERLINK("https://klasma.github.io/Logging_2380/kartor/A 40696-2024 karta.png", "A 40696-2024")</f>
        <v/>
      </c>
      <c r="V176">
        <f>HYPERLINK("https://klasma.github.io/Logging_2380/klagomål/A 40696-2024 FSC-klagomål.docx", "A 40696-2024")</f>
        <v/>
      </c>
      <c r="W176">
        <f>HYPERLINK("https://klasma.github.io/Logging_2380/klagomålsmail/A 40696-2024 FSC-klagomål mail.docx", "A 40696-2024")</f>
        <v/>
      </c>
      <c r="X176">
        <f>HYPERLINK("https://klasma.github.io/Logging_2380/tillsyn/A 40696-2024 tillsynsbegäran.docx", "A 40696-2024")</f>
        <v/>
      </c>
      <c r="Y176">
        <f>HYPERLINK("https://klasma.github.io/Logging_2380/tillsynsmail/A 40696-2024 tillsynsbegäran mail.docx", "A 40696-2024")</f>
        <v/>
      </c>
    </row>
    <row r="177" ht="15" customHeight="1">
      <c r="A177" t="inlineStr">
        <is>
          <t>A 43883-2024</t>
        </is>
      </c>
      <c r="B177" s="1" t="n">
        <v>45570</v>
      </c>
      <c r="C177" s="1" t="n">
        <v>46062</v>
      </c>
      <c r="D177" t="inlineStr">
        <is>
          <t>JÄMTLANDS LÄN</t>
        </is>
      </c>
      <c r="E177" t="inlineStr">
        <is>
          <t>ÖSTERSUND</t>
        </is>
      </c>
      <c r="G177" t="n">
        <v>3.8</v>
      </c>
      <c r="H177" t="n">
        <v>0</v>
      </c>
      <c r="I177" t="n">
        <v>0</v>
      </c>
      <c r="J177" t="n">
        <v>0</v>
      </c>
      <c r="K177" t="n">
        <v>1</v>
      </c>
      <c r="L177" t="n">
        <v>0</v>
      </c>
      <c r="M177" t="n">
        <v>0</v>
      </c>
      <c r="N177" t="n">
        <v>0</v>
      </c>
      <c r="O177" t="n">
        <v>1</v>
      </c>
      <c r="P177" t="n">
        <v>1</v>
      </c>
      <c r="Q177" t="n">
        <v>1</v>
      </c>
      <c r="R177" s="2" t="inlineStr">
        <is>
          <t>Frösöstarr</t>
        </is>
      </c>
      <c r="S177">
        <f>HYPERLINK("https://klasma.github.io/Logging_2380/artfynd/A 43883-2024 artfynd.xlsx", "A 43883-2024")</f>
        <v/>
      </c>
      <c r="T177">
        <f>HYPERLINK("https://klasma.github.io/Logging_2380/kartor/A 43883-2024 karta.png", "A 43883-2024")</f>
        <v/>
      </c>
      <c r="V177">
        <f>HYPERLINK("https://klasma.github.io/Logging_2380/klagomål/A 43883-2024 FSC-klagomål.docx", "A 43883-2024")</f>
        <v/>
      </c>
      <c r="W177">
        <f>HYPERLINK("https://klasma.github.io/Logging_2380/klagomålsmail/A 43883-2024 FSC-klagomål mail.docx", "A 43883-2024")</f>
        <v/>
      </c>
      <c r="X177">
        <f>HYPERLINK("https://klasma.github.io/Logging_2380/tillsyn/A 43883-2024 tillsynsbegäran.docx", "A 43883-2024")</f>
        <v/>
      </c>
      <c r="Y177">
        <f>HYPERLINK("https://klasma.github.io/Logging_2380/tillsynsmail/A 43883-2024 tillsynsbegäran mail.docx", "A 43883-2024")</f>
        <v/>
      </c>
    </row>
    <row r="178" ht="15" customHeight="1">
      <c r="A178" t="inlineStr">
        <is>
          <t>A 40694-2024</t>
        </is>
      </c>
      <c r="B178" s="1" t="n">
        <v>45558</v>
      </c>
      <c r="C178" s="1" t="n">
        <v>46062</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20620-2021</t>
        </is>
      </c>
      <c r="B179" s="1" t="n">
        <v>44316</v>
      </c>
      <c r="C179" s="1" t="n">
        <v>46062</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46062</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46062</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46062</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46062</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46062</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46062</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46062</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46062</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46062</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46062</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46062</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46062</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46062</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46062</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46062</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46062</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46062</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46062</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46062</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46062</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26254-2021</t>
        </is>
      </c>
      <c r="B200" s="1" t="n">
        <v>44347</v>
      </c>
      <c r="C200" s="1" t="n">
        <v>46062</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46062</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46062</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46062</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46062</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46062</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695-2022</t>
        </is>
      </c>
      <c r="B206" s="1" t="n">
        <v>44566</v>
      </c>
      <c r="C206" s="1" t="n">
        <v>46062</v>
      </c>
      <c r="D206" t="inlineStr">
        <is>
          <t>JÄMTLANDS LÄN</t>
        </is>
      </c>
      <c r="E206" t="inlineStr">
        <is>
          <t>ÖSTERSUND</t>
        </is>
      </c>
      <c r="G206" t="n">
        <v>14.9</v>
      </c>
      <c r="H206" t="n">
        <v>0</v>
      </c>
      <c r="I206" t="n">
        <v>0</v>
      </c>
      <c r="J206" t="n">
        <v>0</v>
      </c>
      <c r="K206" t="n">
        <v>0</v>
      </c>
      <c r="L206" t="n">
        <v>0</v>
      </c>
      <c r="M206" t="n">
        <v>0</v>
      </c>
      <c r="N206" t="n">
        <v>0</v>
      </c>
      <c r="O206" t="n">
        <v>0</v>
      </c>
      <c r="P206" t="n">
        <v>0</v>
      </c>
      <c r="Q206" t="n">
        <v>0</v>
      </c>
      <c r="R206" s="2" t="inlineStr"/>
    </row>
    <row r="207" ht="15" customHeight="1">
      <c r="A207" t="inlineStr">
        <is>
          <t>A 17362-2021</t>
        </is>
      </c>
      <c r="B207" s="1" t="n">
        <v>44298</v>
      </c>
      <c r="C207" s="1" t="n">
        <v>46062</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46062</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46062</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46062</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46062</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46062</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46062</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46062</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46062</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46062</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46062</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46062</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46062</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46062</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46062</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46062</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46062</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46062</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46062</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46062</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46062</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46062</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46062</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46062</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46062</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46062</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46062</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46062</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46062</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46062</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46062</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21849-2021</t>
        </is>
      </c>
      <c r="B238" s="1" t="n">
        <v>44322</v>
      </c>
      <c r="C238" s="1" t="n">
        <v>46062</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46062</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46062</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46062</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46062</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63099-2023</t>
        </is>
      </c>
      <c r="B243" s="1" t="n">
        <v>45273</v>
      </c>
      <c r="C243" s="1" t="n">
        <v>46062</v>
      </c>
      <c r="D243" t="inlineStr">
        <is>
          <t>JÄMTLANDS LÄN</t>
        </is>
      </c>
      <c r="E243" t="inlineStr">
        <is>
          <t>ÖSTERSUND</t>
        </is>
      </c>
      <c r="G243" t="n">
        <v>1.5</v>
      </c>
      <c r="H243" t="n">
        <v>0</v>
      </c>
      <c r="I243" t="n">
        <v>0</v>
      </c>
      <c r="J243" t="n">
        <v>0</v>
      </c>
      <c r="K243" t="n">
        <v>0</v>
      </c>
      <c r="L243" t="n">
        <v>0</v>
      </c>
      <c r="M243" t="n">
        <v>0</v>
      </c>
      <c r="N243" t="n">
        <v>0</v>
      </c>
      <c r="O243" t="n">
        <v>0</v>
      </c>
      <c r="P243" t="n">
        <v>0</v>
      </c>
      <c r="Q243" t="n">
        <v>0</v>
      </c>
      <c r="R243" s="2" t="inlineStr"/>
    </row>
    <row r="244" ht="15" customHeight="1">
      <c r="A244" t="inlineStr">
        <is>
          <t>A 49592-2024</t>
        </is>
      </c>
      <c r="B244" s="1" t="n">
        <v>45596.55266203704</v>
      </c>
      <c r="C244" s="1" t="n">
        <v>46062</v>
      </c>
      <c r="D244" t="inlineStr">
        <is>
          <t>JÄMTLANDS LÄN</t>
        </is>
      </c>
      <c r="E244" t="inlineStr">
        <is>
          <t>ÖSTERSUND</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58407-2024</t>
        </is>
      </c>
      <c r="B245" s="1" t="n">
        <v>45634.72633101852</v>
      </c>
      <c r="C245" s="1" t="n">
        <v>46062</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35556-2022</t>
        </is>
      </c>
      <c r="B246" s="1" t="n">
        <v>44799</v>
      </c>
      <c r="C246" s="1" t="n">
        <v>46062</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46062</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12946-2022</t>
        </is>
      </c>
      <c r="B248" s="1" t="n">
        <v>44642.93471064815</v>
      </c>
      <c r="C248" s="1" t="n">
        <v>46062</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53802-2022</t>
        </is>
      </c>
      <c r="B249" s="1" t="n">
        <v>44875</v>
      </c>
      <c r="C249" s="1" t="n">
        <v>46062</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45980-2023</t>
        </is>
      </c>
      <c r="B250" s="1" t="n">
        <v>45189</v>
      </c>
      <c r="C250" s="1" t="n">
        <v>46062</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46062</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46062</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6578-2021</t>
        </is>
      </c>
      <c r="B253" s="1" t="n">
        <v>44236</v>
      </c>
      <c r="C253" s="1" t="n">
        <v>46062</v>
      </c>
      <c r="D253" t="inlineStr">
        <is>
          <t>JÄMTLANDS LÄN</t>
        </is>
      </c>
      <c r="E253" t="inlineStr">
        <is>
          <t>ÖSTERSUND</t>
        </is>
      </c>
      <c r="G253" t="n">
        <v>1.4</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46062</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46062</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46062</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46062</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46062</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48106-2024</t>
        </is>
      </c>
      <c r="B259" s="1" t="n">
        <v>45589.62625</v>
      </c>
      <c r="C259" s="1" t="n">
        <v>46062</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4521-2025</t>
        </is>
      </c>
      <c r="B260" s="1" t="n">
        <v>45686</v>
      </c>
      <c r="C260" s="1" t="n">
        <v>46062</v>
      </c>
      <c r="D260" t="inlineStr">
        <is>
          <t>JÄMTLANDS LÄN</t>
        </is>
      </c>
      <c r="E260" t="inlineStr">
        <is>
          <t>ÖSTERSUND</t>
        </is>
      </c>
      <c r="G260" t="n">
        <v>28.4</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46062</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46062</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46062</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46062</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55666-2023</t>
        </is>
      </c>
      <c r="B265" s="1" t="n">
        <v>45238.96770833333</v>
      </c>
      <c r="C265" s="1" t="n">
        <v>46062</v>
      </c>
      <c r="D265" t="inlineStr">
        <is>
          <t>JÄMTLANDS LÄN</t>
        </is>
      </c>
      <c r="E265" t="inlineStr">
        <is>
          <t>ÖSTERSUND</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9109-2024</t>
        </is>
      </c>
      <c r="B266" s="1" t="n">
        <v>45357.96106481482</v>
      </c>
      <c r="C266" s="1" t="n">
        <v>46062</v>
      </c>
      <c r="D266" t="inlineStr">
        <is>
          <t>JÄMTLANDS LÄN</t>
        </is>
      </c>
      <c r="E266" t="inlineStr">
        <is>
          <t>ÖSTERSUND</t>
        </is>
      </c>
      <c r="G266" t="n">
        <v>17.1</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44634.52982638889</v>
      </c>
      <c r="C267" s="1" t="n">
        <v>46062</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19664-2025</t>
        </is>
      </c>
      <c r="B268" s="1" t="n">
        <v>45770.6925462963</v>
      </c>
      <c r="C268" s="1" t="n">
        <v>46062</v>
      </c>
      <c r="D268" t="inlineStr">
        <is>
          <t>JÄMTLANDS LÄN</t>
        </is>
      </c>
      <c r="E268" t="inlineStr">
        <is>
          <t>ÖSTERSUND</t>
        </is>
      </c>
      <c r="G268" t="n">
        <v>8.6</v>
      </c>
      <c r="H268" t="n">
        <v>0</v>
      </c>
      <c r="I268" t="n">
        <v>0</v>
      </c>
      <c r="J268" t="n">
        <v>0</v>
      </c>
      <c r="K268" t="n">
        <v>0</v>
      </c>
      <c r="L268" t="n">
        <v>0</v>
      </c>
      <c r="M268" t="n">
        <v>0</v>
      </c>
      <c r="N268" t="n">
        <v>0</v>
      </c>
      <c r="O268" t="n">
        <v>0</v>
      </c>
      <c r="P268" t="n">
        <v>0</v>
      </c>
      <c r="Q268" t="n">
        <v>0</v>
      </c>
      <c r="R268" s="2" t="inlineStr"/>
    </row>
    <row r="269" ht="15" customHeight="1">
      <c r="A269" t="inlineStr">
        <is>
          <t>A 50088-2024</t>
        </is>
      </c>
      <c r="B269" s="1" t="n">
        <v>45600.38585648148</v>
      </c>
      <c r="C269" s="1" t="n">
        <v>46062</v>
      </c>
      <c r="D269" t="inlineStr">
        <is>
          <t>JÄMTLANDS LÄN</t>
        </is>
      </c>
      <c r="E269" t="inlineStr">
        <is>
          <t>ÖSTERSUND</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2984-2024</t>
        </is>
      </c>
      <c r="B270" s="1" t="n">
        <v>45315</v>
      </c>
      <c r="C270" s="1" t="n">
        <v>46062</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55002-2024</t>
        </is>
      </c>
      <c r="B271" s="1" t="n">
        <v>45621</v>
      </c>
      <c r="C271" s="1" t="n">
        <v>46062</v>
      </c>
      <c r="D271" t="inlineStr">
        <is>
          <t>JÄMTLANDS LÄN</t>
        </is>
      </c>
      <c r="E271" t="inlineStr">
        <is>
          <t>ÖSTERSUND</t>
        </is>
      </c>
      <c r="F271" t="inlineStr">
        <is>
          <t>Övriga Aktiebolag</t>
        </is>
      </c>
      <c r="G271" t="n">
        <v>0.3</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46062</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46062</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43511-2022</t>
        </is>
      </c>
      <c r="B274" s="1" t="n">
        <v>44837.36724537037</v>
      </c>
      <c r="C274" s="1" t="n">
        <v>46062</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60174-2022</t>
        </is>
      </c>
      <c r="B275" s="1" t="n">
        <v>44909.9640162037</v>
      </c>
      <c r="C275" s="1" t="n">
        <v>46062</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5553-2025</t>
        </is>
      </c>
      <c r="B276" s="1" t="n">
        <v>45693</v>
      </c>
      <c r="C276" s="1" t="n">
        <v>46062</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51481-2023</t>
        </is>
      </c>
      <c r="B277" s="1" t="n">
        <v>45221.92440972223</v>
      </c>
      <c r="C277" s="1" t="n">
        <v>46062</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44911.54984953703</v>
      </c>
      <c r="C278" s="1" t="n">
        <v>46062</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43016-2024</t>
        </is>
      </c>
      <c r="B279" s="1" t="n">
        <v>45567.39192129629</v>
      </c>
      <c r="C279" s="1" t="n">
        <v>46062</v>
      </c>
      <c r="D279" t="inlineStr">
        <is>
          <t>JÄMTLANDS LÄN</t>
        </is>
      </c>
      <c r="E279" t="inlineStr">
        <is>
          <t>ÖSTERSUND</t>
        </is>
      </c>
      <c r="G279" t="n">
        <v>5.3</v>
      </c>
      <c r="H279" t="n">
        <v>0</v>
      </c>
      <c r="I279" t="n">
        <v>0</v>
      </c>
      <c r="J279" t="n">
        <v>0</v>
      </c>
      <c r="K279" t="n">
        <v>0</v>
      </c>
      <c r="L279" t="n">
        <v>0</v>
      </c>
      <c r="M279" t="n">
        <v>0</v>
      </c>
      <c r="N279" t="n">
        <v>0</v>
      </c>
      <c r="O279" t="n">
        <v>0</v>
      </c>
      <c r="P279" t="n">
        <v>0</v>
      </c>
      <c r="Q279" t="n">
        <v>0</v>
      </c>
      <c r="R279" s="2" t="inlineStr"/>
    </row>
    <row r="280" ht="15" customHeight="1">
      <c r="A280" t="inlineStr">
        <is>
          <t>A 6048-2024</t>
        </is>
      </c>
      <c r="B280" s="1" t="n">
        <v>45336</v>
      </c>
      <c r="C280" s="1" t="n">
        <v>46062</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2747-2025</t>
        </is>
      </c>
      <c r="B281" s="1" t="n">
        <v>45677.4649537037</v>
      </c>
      <c r="C281" s="1" t="n">
        <v>46062</v>
      </c>
      <c r="D281" t="inlineStr">
        <is>
          <t>JÄMTLANDS LÄN</t>
        </is>
      </c>
      <c r="E281" t="inlineStr">
        <is>
          <t>ÖSTERSUND</t>
        </is>
      </c>
      <c r="F281" t="inlineStr">
        <is>
          <t>Sveaskog</t>
        </is>
      </c>
      <c r="G281" t="n">
        <v>6.4</v>
      </c>
      <c r="H281" t="n">
        <v>0</v>
      </c>
      <c r="I281" t="n">
        <v>0</v>
      </c>
      <c r="J281" t="n">
        <v>0</v>
      </c>
      <c r="K281" t="n">
        <v>0</v>
      </c>
      <c r="L281" t="n">
        <v>0</v>
      </c>
      <c r="M281" t="n">
        <v>0</v>
      </c>
      <c r="N281" t="n">
        <v>0</v>
      </c>
      <c r="O281" t="n">
        <v>0</v>
      </c>
      <c r="P281" t="n">
        <v>0</v>
      </c>
      <c r="Q281" t="n">
        <v>0</v>
      </c>
      <c r="R281" s="2" t="inlineStr"/>
    </row>
    <row r="282" ht="15" customHeight="1">
      <c r="A282" t="inlineStr">
        <is>
          <t>A 8675-2023</t>
        </is>
      </c>
      <c r="B282" s="1" t="n">
        <v>44977.98629629629</v>
      </c>
      <c r="C282" s="1" t="n">
        <v>46062</v>
      </c>
      <c r="D282" t="inlineStr">
        <is>
          <t>JÄMTLANDS LÄN</t>
        </is>
      </c>
      <c r="E282" t="inlineStr">
        <is>
          <t>ÖSTERSUND</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24568-2025</t>
        </is>
      </c>
      <c r="B283" s="1" t="n">
        <v>45798.46913194445</v>
      </c>
      <c r="C283" s="1" t="n">
        <v>46062</v>
      </c>
      <c r="D283" t="inlineStr">
        <is>
          <t>JÄMTLANDS LÄN</t>
        </is>
      </c>
      <c r="E283" t="inlineStr">
        <is>
          <t>ÖSTERSUND</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24523-2025</t>
        </is>
      </c>
      <c r="B284" s="1" t="n">
        <v>45798.42108796296</v>
      </c>
      <c r="C284" s="1" t="n">
        <v>46062</v>
      </c>
      <c r="D284" t="inlineStr">
        <is>
          <t>JÄMTLANDS LÄN</t>
        </is>
      </c>
      <c r="E284" t="inlineStr">
        <is>
          <t>ÖSTERSUND</t>
        </is>
      </c>
      <c r="G284" t="n">
        <v>13.7</v>
      </c>
      <c r="H284" t="n">
        <v>0</v>
      </c>
      <c r="I284" t="n">
        <v>0</v>
      </c>
      <c r="J284" t="n">
        <v>0</v>
      </c>
      <c r="K284" t="n">
        <v>0</v>
      </c>
      <c r="L284" t="n">
        <v>0</v>
      </c>
      <c r="M284" t="n">
        <v>0</v>
      </c>
      <c r="N284" t="n">
        <v>0</v>
      </c>
      <c r="O284" t="n">
        <v>0</v>
      </c>
      <c r="P284" t="n">
        <v>0</v>
      </c>
      <c r="Q284" t="n">
        <v>0</v>
      </c>
      <c r="R284" s="2" t="inlineStr"/>
    </row>
    <row r="285" ht="15" customHeight="1">
      <c r="A285" t="inlineStr">
        <is>
          <t>A 25058-2025</t>
        </is>
      </c>
      <c r="B285" s="1" t="n">
        <v>45799.68418981481</v>
      </c>
      <c r="C285" s="1" t="n">
        <v>46062</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53176-2024</t>
        </is>
      </c>
      <c r="B286" s="1" t="n">
        <v>45611.66655092593</v>
      </c>
      <c r="C286" s="1" t="n">
        <v>46062</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46062</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38142-2021</t>
        </is>
      </c>
      <c r="B288" s="1" t="n">
        <v>44405</v>
      </c>
      <c r="C288" s="1" t="n">
        <v>46062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25069-2025</t>
        </is>
      </c>
      <c r="B289" s="1" t="n">
        <v>45799.7372337963</v>
      </c>
      <c r="C289" s="1" t="n">
        <v>46062</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24946-2025</t>
        </is>
      </c>
      <c r="B290" s="1" t="n">
        <v>45799.56515046296</v>
      </c>
      <c r="C290" s="1" t="n">
        <v>46062</v>
      </c>
      <c r="D290" t="inlineStr">
        <is>
          <t>JÄMTLANDS LÄN</t>
        </is>
      </c>
      <c r="E290" t="inlineStr">
        <is>
          <t>ÖSTERSUND</t>
        </is>
      </c>
      <c r="G290" t="n">
        <v>4.8</v>
      </c>
      <c r="H290" t="n">
        <v>0</v>
      </c>
      <c r="I290" t="n">
        <v>0</v>
      </c>
      <c r="J290" t="n">
        <v>0</v>
      </c>
      <c r="K290" t="n">
        <v>0</v>
      </c>
      <c r="L290" t="n">
        <v>0</v>
      </c>
      <c r="M290" t="n">
        <v>0</v>
      </c>
      <c r="N290" t="n">
        <v>0</v>
      </c>
      <c r="O290" t="n">
        <v>0</v>
      </c>
      <c r="P290" t="n">
        <v>0</v>
      </c>
      <c r="Q290" t="n">
        <v>0</v>
      </c>
      <c r="R290" s="2" t="inlineStr"/>
    </row>
    <row r="291" ht="15" customHeight="1">
      <c r="A291" t="inlineStr">
        <is>
          <t>A 25059-2025</t>
        </is>
      </c>
      <c r="B291" s="1" t="n">
        <v>45799.69116898148</v>
      </c>
      <c r="C291" s="1" t="n">
        <v>46062</v>
      </c>
      <c r="D291" t="inlineStr">
        <is>
          <t>JÄMTLANDS LÄN</t>
        </is>
      </c>
      <c r="E291" t="inlineStr">
        <is>
          <t>ÖSTERSUND</t>
        </is>
      </c>
      <c r="G291" t="n">
        <v>2.7</v>
      </c>
      <c r="H291" t="n">
        <v>0</v>
      </c>
      <c r="I291" t="n">
        <v>0</v>
      </c>
      <c r="J291" t="n">
        <v>0</v>
      </c>
      <c r="K291" t="n">
        <v>0</v>
      </c>
      <c r="L291" t="n">
        <v>0</v>
      </c>
      <c r="M291" t="n">
        <v>0</v>
      </c>
      <c r="N291" t="n">
        <v>0</v>
      </c>
      <c r="O291" t="n">
        <v>0</v>
      </c>
      <c r="P291" t="n">
        <v>0</v>
      </c>
      <c r="Q291" t="n">
        <v>0</v>
      </c>
      <c r="R291" s="2" t="inlineStr"/>
    </row>
    <row r="292" ht="15" customHeight="1">
      <c r="A292" t="inlineStr">
        <is>
          <t>A 61256-2022</t>
        </is>
      </c>
      <c r="B292" s="1" t="n">
        <v>44909</v>
      </c>
      <c r="C292" s="1" t="n">
        <v>46062</v>
      </c>
      <c r="D292" t="inlineStr">
        <is>
          <t>JÄMTLANDS LÄN</t>
        </is>
      </c>
      <c r="E292" t="inlineStr">
        <is>
          <t>ÖSTERSUND</t>
        </is>
      </c>
      <c r="G292" t="n">
        <v>3.9</v>
      </c>
      <c r="H292" t="n">
        <v>0</v>
      </c>
      <c r="I292" t="n">
        <v>0</v>
      </c>
      <c r="J292" t="n">
        <v>0</v>
      </c>
      <c r="K292" t="n">
        <v>0</v>
      </c>
      <c r="L292" t="n">
        <v>0</v>
      </c>
      <c r="M292" t="n">
        <v>0</v>
      </c>
      <c r="N292" t="n">
        <v>0</v>
      </c>
      <c r="O292" t="n">
        <v>0</v>
      </c>
      <c r="P292" t="n">
        <v>0</v>
      </c>
      <c r="Q292" t="n">
        <v>0</v>
      </c>
      <c r="R292" s="2" t="inlineStr"/>
    </row>
    <row r="293" ht="15" customHeight="1">
      <c r="A293" t="inlineStr">
        <is>
          <t>A 25572-2025</t>
        </is>
      </c>
      <c r="B293" s="1" t="n">
        <v>45803</v>
      </c>
      <c r="C293" s="1" t="n">
        <v>46062</v>
      </c>
      <c r="D293" t="inlineStr">
        <is>
          <t>JÄMTLANDS LÄN</t>
        </is>
      </c>
      <c r="E293" t="inlineStr">
        <is>
          <t>ÖSTERSUND</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38871-2025</t>
        </is>
      </c>
      <c r="B294" s="1" t="n">
        <v>45887.57407407407</v>
      </c>
      <c r="C294" s="1" t="n">
        <v>46062</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55302-2021</t>
        </is>
      </c>
      <c r="B295" s="1" t="n">
        <v>44475</v>
      </c>
      <c r="C295" s="1" t="n">
        <v>46062</v>
      </c>
      <c r="D295" t="inlineStr">
        <is>
          <t>JÄMTLANDS LÄN</t>
        </is>
      </c>
      <c r="E295" t="inlineStr">
        <is>
          <t>ÖSTERSUND</t>
        </is>
      </c>
      <c r="G295" t="n">
        <v>0.3</v>
      </c>
      <c r="H295" t="n">
        <v>0</v>
      </c>
      <c r="I295" t="n">
        <v>0</v>
      </c>
      <c r="J295" t="n">
        <v>0</v>
      </c>
      <c r="K295" t="n">
        <v>0</v>
      </c>
      <c r="L295" t="n">
        <v>0</v>
      </c>
      <c r="M295" t="n">
        <v>0</v>
      </c>
      <c r="N295" t="n">
        <v>0</v>
      </c>
      <c r="O295" t="n">
        <v>0</v>
      </c>
      <c r="P295" t="n">
        <v>0</v>
      </c>
      <c r="Q295" t="n">
        <v>0</v>
      </c>
      <c r="R295" s="2" t="inlineStr"/>
    </row>
    <row r="296" ht="15" customHeight="1">
      <c r="A296" t="inlineStr">
        <is>
          <t>A 61376-2024</t>
        </is>
      </c>
      <c r="B296" s="1" t="n">
        <v>45646.39434027778</v>
      </c>
      <c r="C296" s="1" t="n">
        <v>46062</v>
      </c>
      <c r="D296" t="inlineStr">
        <is>
          <t>JÄMTLANDS LÄN</t>
        </is>
      </c>
      <c r="E296" t="inlineStr">
        <is>
          <t>ÖSTERSUND</t>
        </is>
      </c>
      <c r="G296" t="n">
        <v>4.6</v>
      </c>
      <c r="H296" t="n">
        <v>0</v>
      </c>
      <c r="I296" t="n">
        <v>0</v>
      </c>
      <c r="J296" t="n">
        <v>0</v>
      </c>
      <c r="K296" t="n">
        <v>0</v>
      </c>
      <c r="L296" t="n">
        <v>0</v>
      </c>
      <c r="M296" t="n">
        <v>0</v>
      </c>
      <c r="N296" t="n">
        <v>0</v>
      </c>
      <c r="O296" t="n">
        <v>0</v>
      </c>
      <c r="P296" t="n">
        <v>0</v>
      </c>
      <c r="Q296" t="n">
        <v>0</v>
      </c>
      <c r="R296" s="2" t="inlineStr"/>
    </row>
    <row r="297" ht="15" customHeight="1">
      <c r="A297" t="inlineStr">
        <is>
          <t>A 25252-2025</t>
        </is>
      </c>
      <c r="B297" s="1" t="n">
        <v>45800.50355324074</v>
      </c>
      <c r="C297" s="1" t="n">
        <v>46062</v>
      </c>
      <c r="D297" t="inlineStr">
        <is>
          <t>JÄMTLANDS LÄN</t>
        </is>
      </c>
      <c r="E297" t="inlineStr">
        <is>
          <t>ÖSTERSUND</t>
        </is>
      </c>
      <c r="G297" t="n">
        <v>2.7</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46062</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38853-2025</t>
        </is>
      </c>
      <c r="B299" s="1" t="n">
        <v>45887.55666666666</v>
      </c>
      <c r="C299" s="1" t="n">
        <v>46062</v>
      </c>
      <c r="D299" t="inlineStr">
        <is>
          <t>JÄMTLANDS LÄN</t>
        </is>
      </c>
      <c r="E299" t="inlineStr">
        <is>
          <t>ÖSTERSUND</t>
        </is>
      </c>
      <c r="G299" t="n">
        <v>2.5</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46062</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46062</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11182-2025</t>
        </is>
      </c>
      <c r="B302" s="1" t="n">
        <v>45725.44297453704</v>
      </c>
      <c r="C302" s="1" t="n">
        <v>46062</v>
      </c>
      <c r="D302" t="inlineStr">
        <is>
          <t>JÄMTLANDS LÄN</t>
        </is>
      </c>
      <c r="E302" t="inlineStr">
        <is>
          <t>ÖSTERSUND</t>
        </is>
      </c>
      <c r="G302" t="n">
        <v>3.3</v>
      </c>
      <c r="H302" t="n">
        <v>0</v>
      </c>
      <c r="I302" t="n">
        <v>0</v>
      </c>
      <c r="J302" t="n">
        <v>0</v>
      </c>
      <c r="K302" t="n">
        <v>0</v>
      </c>
      <c r="L302" t="n">
        <v>0</v>
      </c>
      <c r="M302" t="n">
        <v>0</v>
      </c>
      <c r="N302" t="n">
        <v>0</v>
      </c>
      <c r="O302" t="n">
        <v>0</v>
      </c>
      <c r="P302" t="n">
        <v>0</v>
      </c>
      <c r="Q302" t="n">
        <v>0</v>
      </c>
      <c r="R302" s="2" t="inlineStr"/>
    </row>
    <row r="303" ht="15" customHeight="1">
      <c r="A303" t="inlineStr">
        <is>
          <t>A 26144-2025</t>
        </is>
      </c>
      <c r="B303" s="1" t="n">
        <v>45805.42827546296</v>
      </c>
      <c r="C303" s="1" t="n">
        <v>46062</v>
      </c>
      <c r="D303" t="inlineStr">
        <is>
          <t>JÄMTLANDS LÄN</t>
        </is>
      </c>
      <c r="E303" t="inlineStr">
        <is>
          <t>ÖSTERSUND</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53378-2023</t>
        </is>
      </c>
      <c r="B304" s="1" t="n">
        <v>45223</v>
      </c>
      <c r="C304" s="1" t="n">
        <v>46062</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47357-2024</t>
        </is>
      </c>
      <c r="B305" s="1" t="n">
        <v>45587.42835648148</v>
      </c>
      <c r="C305" s="1" t="n">
        <v>46062</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26492-2025</t>
        </is>
      </c>
      <c r="B306" s="1" t="n">
        <v>45807</v>
      </c>
      <c r="C306" s="1" t="n">
        <v>46062</v>
      </c>
      <c r="D306" t="inlineStr">
        <is>
          <t>JÄMTLANDS LÄN</t>
        </is>
      </c>
      <c r="E306" t="inlineStr">
        <is>
          <t>ÖSTERSUND</t>
        </is>
      </c>
      <c r="G306" t="n">
        <v>7</v>
      </c>
      <c r="H306" t="n">
        <v>0</v>
      </c>
      <c r="I306" t="n">
        <v>0</v>
      </c>
      <c r="J306" t="n">
        <v>0</v>
      </c>
      <c r="K306" t="n">
        <v>0</v>
      </c>
      <c r="L306" t="n">
        <v>0</v>
      </c>
      <c r="M306" t="n">
        <v>0</v>
      </c>
      <c r="N306" t="n">
        <v>0</v>
      </c>
      <c r="O306" t="n">
        <v>0</v>
      </c>
      <c r="P306" t="n">
        <v>0</v>
      </c>
      <c r="Q306" t="n">
        <v>0</v>
      </c>
      <c r="R306" s="2" t="inlineStr"/>
    </row>
    <row r="307" ht="15" customHeight="1">
      <c r="A307" t="inlineStr">
        <is>
          <t>A 26500-2025</t>
        </is>
      </c>
      <c r="B307" s="1" t="n">
        <v>45807</v>
      </c>
      <c r="C307" s="1" t="n">
        <v>46062</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5135-2025</t>
        </is>
      </c>
      <c r="B308" s="1" t="n">
        <v>45691</v>
      </c>
      <c r="C308" s="1" t="n">
        <v>46062</v>
      </c>
      <c r="D308" t="inlineStr">
        <is>
          <t>JÄMTLANDS LÄN</t>
        </is>
      </c>
      <c r="E308" t="inlineStr">
        <is>
          <t>ÖSTERSUND</t>
        </is>
      </c>
      <c r="F308" t="inlineStr">
        <is>
          <t>Övriga Aktiebolag</t>
        </is>
      </c>
      <c r="G308" t="n">
        <v>126.9</v>
      </c>
      <c r="H308" t="n">
        <v>0</v>
      </c>
      <c r="I308" t="n">
        <v>0</v>
      </c>
      <c r="J308" t="n">
        <v>0</v>
      </c>
      <c r="K308" t="n">
        <v>0</v>
      </c>
      <c r="L308" t="n">
        <v>0</v>
      </c>
      <c r="M308" t="n">
        <v>0</v>
      </c>
      <c r="N308" t="n">
        <v>0</v>
      </c>
      <c r="O308" t="n">
        <v>0</v>
      </c>
      <c r="P308" t="n">
        <v>0</v>
      </c>
      <c r="Q308" t="n">
        <v>0</v>
      </c>
      <c r="R308" s="2" t="inlineStr"/>
    </row>
    <row r="309" ht="15" customHeight="1">
      <c r="A309" t="inlineStr">
        <is>
          <t>A 3610-2024</t>
        </is>
      </c>
      <c r="B309" s="1" t="n">
        <v>45320.92060185185</v>
      </c>
      <c r="C309" s="1" t="n">
        <v>46062</v>
      </c>
      <c r="D309" t="inlineStr">
        <is>
          <t>JÄMTLANDS LÄN</t>
        </is>
      </c>
      <c r="E309" t="inlineStr">
        <is>
          <t>ÖSTERSUND</t>
        </is>
      </c>
      <c r="G309" t="n">
        <v>6.2</v>
      </c>
      <c r="H309" t="n">
        <v>0</v>
      </c>
      <c r="I309" t="n">
        <v>0</v>
      </c>
      <c r="J309" t="n">
        <v>0</v>
      </c>
      <c r="K309" t="n">
        <v>0</v>
      </c>
      <c r="L309" t="n">
        <v>0</v>
      </c>
      <c r="M309" t="n">
        <v>0</v>
      </c>
      <c r="N309" t="n">
        <v>0</v>
      </c>
      <c r="O309" t="n">
        <v>0</v>
      </c>
      <c r="P309" t="n">
        <v>0</v>
      </c>
      <c r="Q309" t="n">
        <v>0</v>
      </c>
      <c r="R309" s="2" t="inlineStr"/>
    </row>
    <row r="310" ht="15" customHeight="1">
      <c r="A310" t="inlineStr">
        <is>
          <t>A 27034-2025</t>
        </is>
      </c>
      <c r="B310" s="1" t="n">
        <v>45811.59258101852</v>
      </c>
      <c r="C310" s="1" t="n">
        <v>46062</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56646-2024</t>
        </is>
      </c>
      <c r="B311" s="1" t="n">
        <v>45625</v>
      </c>
      <c r="C311" s="1" t="n">
        <v>46062</v>
      </c>
      <c r="D311" t="inlineStr">
        <is>
          <t>JÄMTLANDS LÄN</t>
        </is>
      </c>
      <c r="E311" t="inlineStr">
        <is>
          <t>ÖSTERSUND</t>
        </is>
      </c>
      <c r="G311" t="n">
        <v>18.9</v>
      </c>
      <c r="H311" t="n">
        <v>0</v>
      </c>
      <c r="I311" t="n">
        <v>0</v>
      </c>
      <c r="J311" t="n">
        <v>0</v>
      </c>
      <c r="K311" t="n">
        <v>0</v>
      </c>
      <c r="L311" t="n">
        <v>0</v>
      </c>
      <c r="M311" t="n">
        <v>0</v>
      </c>
      <c r="N311" t="n">
        <v>0</v>
      </c>
      <c r="O311" t="n">
        <v>0</v>
      </c>
      <c r="P311" t="n">
        <v>0</v>
      </c>
      <c r="Q311" t="n">
        <v>0</v>
      </c>
      <c r="R311" s="2" t="inlineStr"/>
    </row>
    <row r="312" ht="15" customHeight="1">
      <c r="A312" t="inlineStr">
        <is>
          <t>A 26587-2025</t>
        </is>
      </c>
      <c r="B312" s="1" t="n">
        <v>45807.75076388889</v>
      </c>
      <c r="C312" s="1" t="n">
        <v>46062</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39030-2025</t>
        </is>
      </c>
      <c r="B313" s="1" t="n">
        <v>45888.40700231482</v>
      </c>
      <c r="C313" s="1" t="n">
        <v>46062</v>
      </c>
      <c r="D313" t="inlineStr">
        <is>
          <t>JÄMTLANDS LÄN</t>
        </is>
      </c>
      <c r="E313" t="inlineStr">
        <is>
          <t>ÖSTERSUND</t>
        </is>
      </c>
      <c r="G313" t="n">
        <v>1.8</v>
      </c>
      <c r="H313" t="n">
        <v>0</v>
      </c>
      <c r="I313" t="n">
        <v>0</v>
      </c>
      <c r="J313" t="n">
        <v>0</v>
      </c>
      <c r="K313" t="n">
        <v>0</v>
      </c>
      <c r="L313" t="n">
        <v>0</v>
      </c>
      <c r="M313" t="n">
        <v>0</v>
      </c>
      <c r="N313" t="n">
        <v>0</v>
      </c>
      <c r="O313" t="n">
        <v>0</v>
      </c>
      <c r="P313" t="n">
        <v>0</v>
      </c>
      <c r="Q313" t="n">
        <v>0</v>
      </c>
      <c r="R313" s="2" t="inlineStr"/>
    </row>
    <row r="314" ht="15" customHeight="1">
      <c r="A314" t="inlineStr">
        <is>
          <t>A 16335-2025</t>
        </is>
      </c>
      <c r="B314" s="1" t="n">
        <v>45751.36518518518</v>
      </c>
      <c r="C314" s="1" t="n">
        <v>46062</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10064-2024</t>
        </is>
      </c>
      <c r="B315" s="1" t="n">
        <v>45364.3874074074</v>
      </c>
      <c r="C315" s="1" t="n">
        <v>46062</v>
      </c>
      <c r="D315" t="inlineStr">
        <is>
          <t>JÄMTLANDS LÄN</t>
        </is>
      </c>
      <c r="E315" t="inlineStr">
        <is>
          <t>ÖSTERSUND</t>
        </is>
      </c>
      <c r="G315" t="n">
        <v>13.9</v>
      </c>
      <c r="H315" t="n">
        <v>0</v>
      </c>
      <c r="I315" t="n">
        <v>0</v>
      </c>
      <c r="J315" t="n">
        <v>0</v>
      </c>
      <c r="K315" t="n">
        <v>0</v>
      </c>
      <c r="L315" t="n">
        <v>0</v>
      </c>
      <c r="M315" t="n">
        <v>0</v>
      </c>
      <c r="N315" t="n">
        <v>0</v>
      </c>
      <c r="O315" t="n">
        <v>0</v>
      </c>
      <c r="P315" t="n">
        <v>0</v>
      </c>
      <c r="Q315" t="n">
        <v>0</v>
      </c>
      <c r="R315" s="2" t="inlineStr"/>
    </row>
    <row r="316" ht="15" customHeight="1">
      <c r="A316" t="inlineStr">
        <is>
          <t>A 15686-2025</t>
        </is>
      </c>
      <c r="B316" s="1" t="n">
        <v>45748.46021990741</v>
      </c>
      <c r="C316" s="1" t="n">
        <v>46062</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39103-2025</t>
        </is>
      </c>
      <c r="B317" s="1" t="n">
        <v>45888.52440972222</v>
      </c>
      <c r="C317" s="1" t="n">
        <v>46062</v>
      </c>
      <c r="D317" t="inlineStr">
        <is>
          <t>JÄMTLANDS LÄN</t>
        </is>
      </c>
      <c r="E317" t="inlineStr">
        <is>
          <t>ÖSTERSUND</t>
        </is>
      </c>
      <c r="G317" t="n">
        <v>23.9</v>
      </c>
      <c r="H317" t="n">
        <v>0</v>
      </c>
      <c r="I317" t="n">
        <v>0</v>
      </c>
      <c r="J317" t="n">
        <v>0</v>
      </c>
      <c r="K317" t="n">
        <v>0</v>
      </c>
      <c r="L317" t="n">
        <v>0</v>
      </c>
      <c r="M317" t="n">
        <v>0</v>
      </c>
      <c r="N317" t="n">
        <v>0</v>
      </c>
      <c r="O317" t="n">
        <v>0</v>
      </c>
      <c r="P317" t="n">
        <v>0</v>
      </c>
      <c r="Q317" t="n">
        <v>0</v>
      </c>
      <c r="R317" s="2" t="inlineStr"/>
    </row>
    <row r="318" ht="15" customHeight="1">
      <c r="A318" t="inlineStr">
        <is>
          <t>A 13651-2025</t>
        </is>
      </c>
      <c r="B318" s="1" t="n">
        <v>45736.71818287037</v>
      </c>
      <c r="C318" s="1" t="n">
        <v>46062</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39510-2024</t>
        </is>
      </c>
      <c r="B319" s="1" t="n">
        <v>45551.67761574074</v>
      </c>
      <c r="C319" s="1" t="n">
        <v>46062</v>
      </c>
      <c r="D319" t="inlineStr">
        <is>
          <t>JÄMTLANDS LÄN</t>
        </is>
      </c>
      <c r="E319" t="inlineStr">
        <is>
          <t>ÖSTERSUND</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46062</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10266-2025</t>
        </is>
      </c>
      <c r="B321" s="1" t="n">
        <v>45720.38576388889</v>
      </c>
      <c r="C321" s="1" t="n">
        <v>46062</v>
      </c>
      <c r="D321" t="inlineStr">
        <is>
          <t>JÄMTLANDS LÄN</t>
        </is>
      </c>
      <c r="E321" t="inlineStr">
        <is>
          <t>ÖSTERSUND</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27343-2022</t>
        </is>
      </c>
      <c r="B322" s="1" t="n">
        <v>44742</v>
      </c>
      <c r="C322" s="1" t="n">
        <v>46062</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27517-2025</t>
        </is>
      </c>
      <c r="B323" s="1" t="n">
        <v>45813.43966435185</v>
      </c>
      <c r="C323" s="1" t="n">
        <v>46062</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11181-2025</t>
        </is>
      </c>
      <c r="B324" s="1" t="n">
        <v>45725.44039351852</v>
      </c>
      <c r="C324" s="1" t="n">
        <v>46062</v>
      </c>
      <c r="D324" t="inlineStr">
        <is>
          <t>JÄMTLANDS LÄN</t>
        </is>
      </c>
      <c r="E324" t="inlineStr">
        <is>
          <t>ÖSTERSUND</t>
        </is>
      </c>
      <c r="G324" t="n">
        <v>15.4</v>
      </c>
      <c r="H324" t="n">
        <v>0</v>
      </c>
      <c r="I324" t="n">
        <v>0</v>
      </c>
      <c r="J324" t="n">
        <v>0</v>
      </c>
      <c r="K324" t="n">
        <v>0</v>
      </c>
      <c r="L324" t="n">
        <v>0</v>
      </c>
      <c r="M324" t="n">
        <v>0</v>
      </c>
      <c r="N324" t="n">
        <v>0</v>
      </c>
      <c r="O324" t="n">
        <v>0</v>
      </c>
      <c r="P324" t="n">
        <v>0</v>
      </c>
      <c r="Q324" t="n">
        <v>0</v>
      </c>
      <c r="R324" s="2" t="inlineStr"/>
    </row>
    <row r="325" ht="15" customHeight="1">
      <c r="A325" t="inlineStr">
        <is>
          <t>A 25221-2025</t>
        </is>
      </c>
      <c r="B325" s="1" t="n">
        <v>45800.47802083333</v>
      </c>
      <c r="C325" s="1" t="n">
        <v>46062</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40325-2025</t>
        </is>
      </c>
      <c r="B326" s="1" t="n">
        <v>45895.4484837963</v>
      </c>
      <c r="C326" s="1" t="n">
        <v>46062</v>
      </c>
      <c r="D326" t="inlineStr">
        <is>
          <t>JÄMTLANDS LÄN</t>
        </is>
      </c>
      <c r="E326" t="inlineStr">
        <is>
          <t>ÖSTERSUND</t>
        </is>
      </c>
      <c r="G326" t="n">
        <v>1</v>
      </c>
      <c r="H326" t="n">
        <v>0</v>
      </c>
      <c r="I326" t="n">
        <v>0</v>
      </c>
      <c r="J326" t="n">
        <v>0</v>
      </c>
      <c r="K326" t="n">
        <v>0</v>
      </c>
      <c r="L326" t="n">
        <v>0</v>
      </c>
      <c r="M326" t="n">
        <v>0</v>
      </c>
      <c r="N326" t="n">
        <v>0</v>
      </c>
      <c r="O326" t="n">
        <v>0</v>
      </c>
      <c r="P326" t="n">
        <v>0</v>
      </c>
      <c r="Q326" t="n">
        <v>0</v>
      </c>
      <c r="R326" s="2" t="inlineStr"/>
    </row>
    <row r="327" ht="15" customHeight="1">
      <c r="A327" t="inlineStr">
        <is>
          <t>A 40361-2025</t>
        </is>
      </c>
      <c r="B327" s="1" t="n">
        <v>45895.49026620371</v>
      </c>
      <c r="C327" s="1" t="n">
        <v>46062</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40360-2025</t>
        </is>
      </c>
      <c r="B328" s="1" t="n">
        <v>45895.49024305555</v>
      </c>
      <c r="C328" s="1" t="n">
        <v>46062</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7022-2025</t>
        </is>
      </c>
      <c r="B329" s="1" t="n">
        <v>45701.61899305556</v>
      </c>
      <c r="C329" s="1" t="n">
        <v>46062</v>
      </c>
      <c r="D329" t="inlineStr">
        <is>
          <t>JÄMTLANDS LÄN</t>
        </is>
      </c>
      <c r="E329" t="inlineStr">
        <is>
          <t>ÖSTERSUND</t>
        </is>
      </c>
      <c r="G329" t="n">
        <v>4.8</v>
      </c>
      <c r="H329" t="n">
        <v>0</v>
      </c>
      <c r="I329" t="n">
        <v>0</v>
      </c>
      <c r="J329" t="n">
        <v>0</v>
      </c>
      <c r="K329" t="n">
        <v>0</v>
      </c>
      <c r="L329" t="n">
        <v>0</v>
      </c>
      <c r="M329" t="n">
        <v>0</v>
      </c>
      <c r="N329" t="n">
        <v>0</v>
      </c>
      <c r="O329" t="n">
        <v>0</v>
      </c>
      <c r="P329" t="n">
        <v>0</v>
      </c>
      <c r="Q329" t="n">
        <v>0</v>
      </c>
      <c r="R329" s="2" t="inlineStr"/>
    </row>
    <row r="330" ht="15" customHeight="1">
      <c r="A330" t="inlineStr">
        <is>
          <t>A 7956-2025</t>
        </is>
      </c>
      <c r="B330" s="1" t="n">
        <v>45707.42825231481</v>
      </c>
      <c r="C330" s="1" t="n">
        <v>46062</v>
      </c>
      <c r="D330" t="inlineStr">
        <is>
          <t>JÄMTLANDS LÄN</t>
        </is>
      </c>
      <c r="E330" t="inlineStr">
        <is>
          <t>ÖSTERSUND</t>
        </is>
      </c>
      <c r="F330" t="inlineStr">
        <is>
          <t>Övriga Aktiebolag</t>
        </is>
      </c>
      <c r="G330" t="n">
        <v>111.2</v>
      </c>
      <c r="H330" t="n">
        <v>0</v>
      </c>
      <c r="I330" t="n">
        <v>0</v>
      </c>
      <c r="J330" t="n">
        <v>0</v>
      </c>
      <c r="K330" t="n">
        <v>0</v>
      </c>
      <c r="L330" t="n">
        <v>0</v>
      </c>
      <c r="M330" t="n">
        <v>0</v>
      </c>
      <c r="N330" t="n">
        <v>0</v>
      </c>
      <c r="O330" t="n">
        <v>0</v>
      </c>
      <c r="P330" t="n">
        <v>0</v>
      </c>
      <c r="Q330" t="n">
        <v>0</v>
      </c>
      <c r="R330" s="2" t="inlineStr"/>
    </row>
    <row r="331" ht="15" customHeight="1">
      <c r="A331" t="inlineStr">
        <is>
          <t>A 40326-2025</t>
        </is>
      </c>
      <c r="B331" s="1" t="n">
        <v>45895.44856481482</v>
      </c>
      <c r="C331" s="1" t="n">
        <v>46062</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62111-2024</t>
        </is>
      </c>
      <c r="B332" s="1" t="n">
        <v>45656.53215277778</v>
      </c>
      <c r="C332" s="1" t="n">
        <v>46062</v>
      </c>
      <c r="D332" t="inlineStr">
        <is>
          <t>JÄMTLANDS LÄN</t>
        </is>
      </c>
      <c r="E332" t="inlineStr">
        <is>
          <t>ÖSTERSUND</t>
        </is>
      </c>
      <c r="G332" t="n">
        <v>3.4</v>
      </c>
      <c r="H332" t="n">
        <v>0</v>
      </c>
      <c r="I332" t="n">
        <v>0</v>
      </c>
      <c r="J332" t="n">
        <v>0</v>
      </c>
      <c r="K332" t="n">
        <v>0</v>
      </c>
      <c r="L332" t="n">
        <v>0</v>
      </c>
      <c r="M332" t="n">
        <v>0</v>
      </c>
      <c r="N332" t="n">
        <v>0</v>
      </c>
      <c r="O332" t="n">
        <v>0</v>
      </c>
      <c r="P332" t="n">
        <v>0</v>
      </c>
      <c r="Q332" t="n">
        <v>0</v>
      </c>
      <c r="R332" s="2" t="inlineStr"/>
    </row>
    <row r="333" ht="15" customHeight="1">
      <c r="A333" t="inlineStr">
        <is>
          <t>A 28025-2025</t>
        </is>
      </c>
      <c r="B333" s="1" t="n">
        <v>45817</v>
      </c>
      <c r="C333" s="1" t="n">
        <v>46062</v>
      </c>
      <c r="D333" t="inlineStr">
        <is>
          <t>JÄMTLANDS LÄN</t>
        </is>
      </c>
      <c r="E333" t="inlineStr">
        <is>
          <t>ÖSTERSUND</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14653-2022</t>
        </is>
      </c>
      <c r="B334" s="1" t="n">
        <v>44655.69303240741</v>
      </c>
      <c r="C334" s="1" t="n">
        <v>46062</v>
      </c>
      <c r="D334" t="inlineStr">
        <is>
          <t>JÄMTLANDS LÄN</t>
        </is>
      </c>
      <c r="E334" t="inlineStr">
        <is>
          <t>ÖSTERSUND</t>
        </is>
      </c>
      <c r="G334" t="n">
        <v>1.6</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46062</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28595-2025</t>
        </is>
      </c>
      <c r="B336" s="1" t="n">
        <v>45819.59429398148</v>
      </c>
      <c r="C336" s="1" t="n">
        <v>46062</v>
      </c>
      <c r="D336" t="inlineStr">
        <is>
          <t>JÄMTLANDS LÄN</t>
        </is>
      </c>
      <c r="E336" t="inlineStr">
        <is>
          <t>ÖSTERSUND</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3844-2024</t>
        </is>
      </c>
      <c r="B337" s="1" t="n">
        <v>45321</v>
      </c>
      <c r="C337" s="1" t="n">
        <v>46062</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28185-2025</t>
        </is>
      </c>
      <c r="B338" s="1" t="n">
        <v>45818.40337962963</v>
      </c>
      <c r="C338" s="1" t="n">
        <v>46062</v>
      </c>
      <c r="D338" t="inlineStr">
        <is>
          <t>JÄMTLANDS LÄN</t>
        </is>
      </c>
      <c r="E338" t="inlineStr">
        <is>
          <t>ÖSTERSUND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7327-2023</t>
        </is>
      </c>
      <c r="B339" s="1" t="n">
        <v>44970.97871527778</v>
      </c>
      <c r="C339" s="1" t="n">
        <v>46062</v>
      </c>
      <c r="D339" t="inlineStr">
        <is>
          <t>JÄMTLANDS LÄN</t>
        </is>
      </c>
      <c r="E339" t="inlineStr">
        <is>
          <t>ÖSTERSUND</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41582-2025</t>
        </is>
      </c>
      <c r="B340" s="1" t="n">
        <v>45901</v>
      </c>
      <c r="C340" s="1" t="n">
        <v>46062</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49192-2024</t>
        </is>
      </c>
      <c r="B341" s="1" t="n">
        <v>45595.34762731481</v>
      </c>
      <c r="C341" s="1" t="n">
        <v>46062</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24781-2024</t>
        </is>
      </c>
      <c r="B342" s="1" t="n">
        <v>45460.7772800926</v>
      </c>
      <c r="C342" s="1" t="n">
        <v>46062</v>
      </c>
      <c r="D342" t="inlineStr">
        <is>
          <t>JÄMTLANDS LÄN</t>
        </is>
      </c>
      <c r="E342" t="inlineStr">
        <is>
          <t>ÖSTERSUND</t>
        </is>
      </c>
      <c r="G342" t="n">
        <v>2.2</v>
      </c>
      <c r="H342" t="n">
        <v>0</v>
      </c>
      <c r="I342" t="n">
        <v>0</v>
      </c>
      <c r="J342" t="n">
        <v>0</v>
      </c>
      <c r="K342" t="n">
        <v>0</v>
      </c>
      <c r="L342" t="n">
        <v>0</v>
      </c>
      <c r="M342" t="n">
        <v>0</v>
      </c>
      <c r="N342" t="n">
        <v>0</v>
      </c>
      <c r="O342" t="n">
        <v>0</v>
      </c>
      <c r="P342" t="n">
        <v>0</v>
      </c>
      <c r="Q342" t="n">
        <v>0</v>
      </c>
      <c r="R342" s="2" t="inlineStr"/>
    </row>
    <row r="343" ht="15" customHeight="1">
      <c r="A343" t="inlineStr">
        <is>
          <t>A 41675-2025</t>
        </is>
      </c>
      <c r="B343" s="1" t="n">
        <v>45902.36641203704</v>
      </c>
      <c r="C343" s="1" t="n">
        <v>46062</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41708-2025</t>
        </is>
      </c>
      <c r="B344" s="1" t="n">
        <v>45902.42280092592</v>
      </c>
      <c r="C344" s="1" t="n">
        <v>46062</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79-2025</t>
        </is>
      </c>
      <c r="B345" s="1" t="n">
        <v>45659.44413194444</v>
      </c>
      <c r="C345" s="1" t="n">
        <v>46062</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44327-2023</t>
        </is>
      </c>
      <c r="B346" s="1" t="n">
        <v>45188</v>
      </c>
      <c r="C346" s="1" t="n">
        <v>46062</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46062</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21667-2024</t>
        </is>
      </c>
      <c r="B348" s="1" t="n">
        <v>45442.38511574074</v>
      </c>
      <c r="C348" s="1" t="n">
        <v>46062</v>
      </c>
      <c r="D348" t="inlineStr">
        <is>
          <t>JÄMTLANDS LÄN</t>
        </is>
      </c>
      <c r="E348" t="inlineStr">
        <is>
          <t>ÖSTERSUND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36099-2025</t>
        </is>
      </c>
      <c r="B349" s="1" t="n">
        <v>45866.51630787037</v>
      </c>
      <c r="C349" s="1" t="n">
        <v>46062</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25995-2025</t>
        </is>
      </c>
      <c r="B350" s="1" t="n">
        <v>45804.656875</v>
      </c>
      <c r="C350" s="1" t="n">
        <v>46062</v>
      </c>
      <c r="D350" t="inlineStr">
        <is>
          <t>JÄMTLANDS LÄN</t>
        </is>
      </c>
      <c r="E350" t="inlineStr">
        <is>
          <t>ÖSTERSUND</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46062</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46062</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43225-2025</t>
        </is>
      </c>
      <c r="B353" s="1" t="n">
        <v>45910.4900462963</v>
      </c>
      <c r="C353" s="1" t="n">
        <v>46062</v>
      </c>
      <c r="D353" t="inlineStr">
        <is>
          <t>JÄMTLANDS LÄN</t>
        </is>
      </c>
      <c r="E353" t="inlineStr">
        <is>
          <t>ÖSTERSUND</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46062</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30320-2025</t>
        </is>
      </c>
      <c r="B355" s="1" t="n">
        <v>45827.49415509259</v>
      </c>
      <c r="C355" s="1" t="n">
        <v>46062</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43411-2025</t>
        </is>
      </c>
      <c r="B356" s="1" t="n">
        <v>45911.40074074074</v>
      </c>
      <c r="C356" s="1" t="n">
        <v>46062</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43519-2025</t>
        </is>
      </c>
      <c r="B357" s="1" t="n">
        <v>45911.57349537037</v>
      </c>
      <c r="C357" s="1" t="n">
        <v>46062</v>
      </c>
      <c r="D357" t="inlineStr">
        <is>
          <t>JÄMTLANDS LÄN</t>
        </is>
      </c>
      <c r="E357" t="inlineStr">
        <is>
          <t>ÖSTERSUND</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25187-2024</t>
        </is>
      </c>
      <c r="B358" s="1" t="n">
        <v>45462.56172453704</v>
      </c>
      <c r="C358" s="1" t="n">
        <v>46062</v>
      </c>
      <c r="D358" t="inlineStr">
        <is>
          <t>JÄMTLANDS LÄN</t>
        </is>
      </c>
      <c r="E358" t="inlineStr">
        <is>
          <t>ÖSTERSUND</t>
        </is>
      </c>
      <c r="G358" t="n">
        <v>2.4</v>
      </c>
      <c r="H358" t="n">
        <v>0</v>
      </c>
      <c r="I358" t="n">
        <v>0</v>
      </c>
      <c r="J358" t="n">
        <v>0</v>
      </c>
      <c r="K358" t="n">
        <v>0</v>
      </c>
      <c r="L358" t="n">
        <v>0</v>
      </c>
      <c r="M358" t="n">
        <v>0</v>
      </c>
      <c r="N358" t="n">
        <v>0</v>
      </c>
      <c r="O358" t="n">
        <v>0</v>
      </c>
      <c r="P358" t="n">
        <v>0</v>
      </c>
      <c r="Q358" t="n">
        <v>0</v>
      </c>
      <c r="R358" s="2" t="inlineStr"/>
    </row>
    <row r="359" ht="15" customHeight="1">
      <c r="A359" t="inlineStr">
        <is>
          <t>A 30210-2025</t>
        </is>
      </c>
      <c r="B359" s="1" t="n">
        <v>45827.36590277778</v>
      </c>
      <c r="C359" s="1" t="n">
        <v>46062</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13282-2023</t>
        </is>
      </c>
      <c r="B360" s="1" t="n">
        <v>45004</v>
      </c>
      <c r="C360" s="1" t="n">
        <v>46062</v>
      </c>
      <c r="D360" t="inlineStr">
        <is>
          <t>JÄMTLANDS LÄN</t>
        </is>
      </c>
      <c r="E360" t="inlineStr">
        <is>
          <t>ÖSTERSUND</t>
        </is>
      </c>
      <c r="G360" t="n">
        <v>28.5</v>
      </c>
      <c r="H360" t="n">
        <v>0</v>
      </c>
      <c r="I360" t="n">
        <v>0</v>
      </c>
      <c r="J360" t="n">
        <v>0</v>
      </c>
      <c r="K360" t="n">
        <v>0</v>
      </c>
      <c r="L360" t="n">
        <v>0</v>
      </c>
      <c r="M360" t="n">
        <v>0</v>
      </c>
      <c r="N360" t="n">
        <v>0</v>
      </c>
      <c r="O360" t="n">
        <v>0</v>
      </c>
      <c r="P360" t="n">
        <v>0</v>
      </c>
      <c r="Q360" t="n">
        <v>0</v>
      </c>
      <c r="R360" s="2" t="inlineStr"/>
    </row>
    <row r="361" ht="15" customHeight="1">
      <c r="A361" t="inlineStr">
        <is>
          <t>A 44446-2025</t>
        </is>
      </c>
      <c r="B361" s="1" t="n">
        <v>45916.59773148148</v>
      </c>
      <c r="C361" s="1" t="n">
        <v>46062</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10267-2025</t>
        </is>
      </c>
      <c r="B362" s="1" t="n">
        <v>45720.3859375</v>
      </c>
      <c r="C362" s="1" t="n">
        <v>46062</v>
      </c>
      <c r="D362" t="inlineStr">
        <is>
          <t>JÄMTLANDS LÄN</t>
        </is>
      </c>
      <c r="E362" t="inlineStr">
        <is>
          <t>ÖSTERSUND</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27780-2022</t>
        </is>
      </c>
      <c r="B363" s="1" t="n">
        <v>44743</v>
      </c>
      <c r="C363" s="1" t="n">
        <v>46062</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44429-2025</t>
        </is>
      </c>
      <c r="B364" s="1" t="n">
        <v>45916.57010416667</v>
      </c>
      <c r="C364" s="1" t="n">
        <v>46062</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43082-2024</t>
        </is>
      </c>
      <c r="B365" s="1" t="n">
        <v>45567.51068287037</v>
      </c>
      <c r="C365" s="1" t="n">
        <v>46062</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61653-2022</t>
        </is>
      </c>
      <c r="B366" s="1" t="n">
        <v>44916</v>
      </c>
      <c r="C366" s="1" t="n">
        <v>46062</v>
      </c>
      <c r="D366" t="inlineStr">
        <is>
          <t>JÄMTLANDS LÄN</t>
        </is>
      </c>
      <c r="E366" t="inlineStr">
        <is>
          <t>ÖSTERSUND</t>
        </is>
      </c>
      <c r="G366" t="n">
        <v>7.6</v>
      </c>
      <c r="H366" t="n">
        <v>0</v>
      </c>
      <c r="I366" t="n">
        <v>0</v>
      </c>
      <c r="J366" t="n">
        <v>0</v>
      </c>
      <c r="K366" t="n">
        <v>0</v>
      </c>
      <c r="L366" t="n">
        <v>0</v>
      </c>
      <c r="M366" t="n">
        <v>0</v>
      </c>
      <c r="N366" t="n">
        <v>0</v>
      </c>
      <c r="O366" t="n">
        <v>0</v>
      </c>
      <c r="P366" t="n">
        <v>0</v>
      </c>
      <c r="Q366" t="n">
        <v>0</v>
      </c>
      <c r="R366" s="2" t="inlineStr"/>
    </row>
    <row r="367" ht="15" customHeight="1">
      <c r="A367" t="inlineStr">
        <is>
          <t>A 52854-2024</t>
        </is>
      </c>
      <c r="B367" s="1" t="n">
        <v>45610.61030092592</v>
      </c>
      <c r="C367" s="1" t="n">
        <v>46062</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2228-2024</t>
        </is>
      </c>
      <c r="B368" s="1" t="n">
        <v>45309</v>
      </c>
      <c r="C368" s="1" t="n">
        <v>46062</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45389-2025</t>
        </is>
      </c>
      <c r="B369" s="1" t="n">
        <v>45922.4075</v>
      </c>
      <c r="C369" s="1" t="n">
        <v>46062</v>
      </c>
      <c r="D369" t="inlineStr">
        <is>
          <t>JÄMTLANDS LÄN</t>
        </is>
      </c>
      <c r="E369" t="inlineStr">
        <is>
          <t>ÖSTERSUND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45922.4077662037</v>
      </c>
      <c r="C370" s="1" t="n">
        <v>46062</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45297-2025</t>
        </is>
      </c>
      <c r="B371" s="1" t="n">
        <v>45920.8446412037</v>
      </c>
      <c r="C371" s="1" t="n">
        <v>46062</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45385-2025</t>
        </is>
      </c>
      <c r="B372" s="1" t="n">
        <v>45922.40680555555</v>
      </c>
      <c r="C372" s="1" t="n">
        <v>46062</v>
      </c>
      <c r="D372" t="inlineStr">
        <is>
          <t>JÄMTLANDS LÄN</t>
        </is>
      </c>
      <c r="E372" t="inlineStr">
        <is>
          <t>ÖSTERSUND</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29703-2023</t>
        </is>
      </c>
      <c r="B373" s="1" t="n">
        <v>45107</v>
      </c>
      <c r="C373" s="1" t="n">
        <v>46062</v>
      </c>
      <c r="D373" t="inlineStr">
        <is>
          <t>JÄMTLANDS LÄN</t>
        </is>
      </c>
      <c r="E373" t="inlineStr">
        <is>
          <t>ÖSTERSUND</t>
        </is>
      </c>
      <c r="G373" t="n">
        <v>0.3</v>
      </c>
      <c r="H373" t="n">
        <v>0</v>
      </c>
      <c r="I373" t="n">
        <v>0</v>
      </c>
      <c r="J373" t="n">
        <v>0</v>
      </c>
      <c r="K373" t="n">
        <v>0</v>
      </c>
      <c r="L373" t="n">
        <v>0</v>
      </c>
      <c r="M373" t="n">
        <v>0</v>
      </c>
      <c r="N373" t="n">
        <v>0</v>
      </c>
      <c r="O373" t="n">
        <v>0</v>
      </c>
      <c r="P373" t="n">
        <v>0</v>
      </c>
      <c r="Q373" t="n">
        <v>0</v>
      </c>
      <c r="R373" s="2" t="inlineStr"/>
    </row>
    <row r="374" ht="15" customHeight="1">
      <c r="A374" t="inlineStr">
        <is>
          <t>A 45386-2025</t>
        </is>
      </c>
      <c r="B374" s="1" t="n">
        <v>45922.40697916667</v>
      </c>
      <c r="C374" s="1" t="n">
        <v>46062</v>
      </c>
      <c r="D374" t="inlineStr">
        <is>
          <t>JÄMTLANDS LÄN</t>
        </is>
      </c>
      <c r="E374" t="inlineStr">
        <is>
          <t>ÖSTERSUND</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45388-2025</t>
        </is>
      </c>
      <c r="B375" s="1" t="n">
        <v>45922.4074537037</v>
      </c>
      <c r="C375" s="1" t="n">
        <v>46062</v>
      </c>
      <c r="D375" t="inlineStr">
        <is>
          <t>JÄMTLANDS LÄN</t>
        </is>
      </c>
      <c r="E375" t="inlineStr">
        <is>
          <t>ÖSTERSUND</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45558-2025</t>
        </is>
      </c>
      <c r="B376" s="1" t="n">
        <v>45922</v>
      </c>
      <c r="C376" s="1" t="n">
        <v>46062</v>
      </c>
      <c r="D376" t="inlineStr">
        <is>
          <t>JÄMTLANDS LÄN</t>
        </is>
      </c>
      <c r="E376" t="inlineStr">
        <is>
          <t>ÖSTERSUND</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45481-2025</t>
        </is>
      </c>
      <c r="B377" s="1" t="n">
        <v>45922.53217592592</v>
      </c>
      <c r="C377" s="1" t="n">
        <v>46062</v>
      </c>
      <c r="D377" t="inlineStr">
        <is>
          <t>JÄMTLANDS LÄN</t>
        </is>
      </c>
      <c r="E377" t="inlineStr">
        <is>
          <t>ÖSTERSUND</t>
        </is>
      </c>
      <c r="G377" t="n">
        <v>3</v>
      </c>
      <c r="H377" t="n">
        <v>0</v>
      </c>
      <c r="I377" t="n">
        <v>0</v>
      </c>
      <c r="J377" t="n">
        <v>0</v>
      </c>
      <c r="K377" t="n">
        <v>0</v>
      </c>
      <c r="L377" t="n">
        <v>0</v>
      </c>
      <c r="M377" t="n">
        <v>0</v>
      </c>
      <c r="N377" t="n">
        <v>0</v>
      </c>
      <c r="O377" t="n">
        <v>0</v>
      </c>
      <c r="P377" t="n">
        <v>0</v>
      </c>
      <c r="Q377" t="n">
        <v>0</v>
      </c>
      <c r="R377" s="2" t="inlineStr"/>
    </row>
    <row r="378" ht="15" customHeight="1">
      <c r="A378" t="inlineStr">
        <is>
          <t>A 46132-2025</t>
        </is>
      </c>
      <c r="B378" s="1" t="n">
        <v>45924.59484953704</v>
      </c>
      <c r="C378" s="1" t="n">
        <v>46062</v>
      </c>
      <c r="D378" t="inlineStr">
        <is>
          <t>JÄMTLANDS LÄN</t>
        </is>
      </c>
      <c r="E378" t="inlineStr">
        <is>
          <t>ÖSTERSUND</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46152-2025</t>
        </is>
      </c>
      <c r="B379" s="1" t="n">
        <v>45924.61512731481</v>
      </c>
      <c r="C379" s="1" t="n">
        <v>46062</v>
      </c>
      <c r="D379" t="inlineStr">
        <is>
          <t>JÄMTLANDS LÄN</t>
        </is>
      </c>
      <c r="E379" t="inlineStr">
        <is>
          <t>ÖSTERSUND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61530-2023</t>
        </is>
      </c>
      <c r="B380" s="1" t="n">
        <v>45261</v>
      </c>
      <c r="C380" s="1" t="n">
        <v>46062</v>
      </c>
      <c r="D380" t="inlineStr">
        <is>
          <t>JÄMTLANDS LÄN</t>
        </is>
      </c>
      <c r="E380" t="inlineStr">
        <is>
          <t>ÖSTERSUND</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46202-2025</t>
        </is>
      </c>
      <c r="B381" s="1" t="n">
        <v>45924.70346064815</v>
      </c>
      <c r="C381" s="1" t="n">
        <v>46062</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32071-2025</t>
        </is>
      </c>
      <c r="B382" s="1" t="n">
        <v>45835.4491087963</v>
      </c>
      <c r="C382" s="1" t="n">
        <v>46062</v>
      </c>
      <c r="D382" t="inlineStr">
        <is>
          <t>JÄMTLANDS LÄN</t>
        </is>
      </c>
      <c r="E382" t="inlineStr">
        <is>
          <t>ÖSTERSUND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25535-2023</t>
        </is>
      </c>
      <c r="B383" s="1" t="n">
        <v>45089.54944444444</v>
      </c>
      <c r="C383" s="1" t="n">
        <v>46062</v>
      </c>
      <c r="D383" t="inlineStr">
        <is>
          <t>JÄMTLANDS LÄN</t>
        </is>
      </c>
      <c r="E383" t="inlineStr">
        <is>
          <t>ÖSTERSUND</t>
        </is>
      </c>
      <c r="G383" t="n">
        <v>1</v>
      </c>
      <c r="H383" t="n">
        <v>0</v>
      </c>
      <c r="I383" t="n">
        <v>0</v>
      </c>
      <c r="J383" t="n">
        <v>0</v>
      </c>
      <c r="K383" t="n">
        <v>0</v>
      </c>
      <c r="L383" t="n">
        <v>0</v>
      </c>
      <c r="M383" t="n">
        <v>0</v>
      </c>
      <c r="N383" t="n">
        <v>0</v>
      </c>
      <c r="O383" t="n">
        <v>0</v>
      </c>
      <c r="P383" t="n">
        <v>0</v>
      </c>
      <c r="Q383" t="n">
        <v>0</v>
      </c>
      <c r="R383" s="2" t="inlineStr"/>
    </row>
    <row r="384" ht="15" customHeight="1">
      <c r="A384" t="inlineStr">
        <is>
          <t>A 32225-2024</t>
        </is>
      </c>
      <c r="B384" s="1" t="n">
        <v>45511.92825231481</v>
      </c>
      <c r="C384" s="1" t="n">
        <v>46062</v>
      </c>
      <c r="D384" t="inlineStr">
        <is>
          <t>JÄMTLANDS LÄN</t>
        </is>
      </c>
      <c r="E384" t="inlineStr">
        <is>
          <t>ÖSTERSUND</t>
        </is>
      </c>
      <c r="G384" t="n">
        <v>2</v>
      </c>
      <c r="H384" t="n">
        <v>0</v>
      </c>
      <c r="I384" t="n">
        <v>0</v>
      </c>
      <c r="J384" t="n">
        <v>0</v>
      </c>
      <c r="K384" t="n">
        <v>0</v>
      </c>
      <c r="L384" t="n">
        <v>0</v>
      </c>
      <c r="M384" t="n">
        <v>0</v>
      </c>
      <c r="N384" t="n">
        <v>0</v>
      </c>
      <c r="O384" t="n">
        <v>0</v>
      </c>
      <c r="P384" t="n">
        <v>0</v>
      </c>
      <c r="Q384" t="n">
        <v>0</v>
      </c>
      <c r="R384" s="2" t="inlineStr"/>
    </row>
    <row r="385" ht="15" customHeight="1">
      <c r="A385" t="inlineStr">
        <is>
          <t>A 4311-2025</t>
        </is>
      </c>
      <c r="B385" s="1" t="n">
        <v>45685.69267361111</v>
      </c>
      <c r="C385" s="1" t="n">
        <v>46062</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32279-2025</t>
        </is>
      </c>
      <c r="B386" s="1" t="n">
        <v>45835.67109953704</v>
      </c>
      <c r="C386" s="1" t="n">
        <v>46062</v>
      </c>
      <c r="D386" t="inlineStr">
        <is>
          <t>JÄMTLANDS LÄN</t>
        </is>
      </c>
      <c r="E386" t="inlineStr">
        <is>
          <t>ÖSTERSUND</t>
        </is>
      </c>
      <c r="G386" t="n">
        <v>3.5</v>
      </c>
      <c r="H386" t="n">
        <v>0</v>
      </c>
      <c r="I386" t="n">
        <v>0</v>
      </c>
      <c r="J386" t="n">
        <v>0</v>
      </c>
      <c r="K386" t="n">
        <v>0</v>
      </c>
      <c r="L386" t="n">
        <v>0</v>
      </c>
      <c r="M386" t="n">
        <v>0</v>
      </c>
      <c r="N386" t="n">
        <v>0</v>
      </c>
      <c r="O386" t="n">
        <v>0</v>
      </c>
      <c r="P386" t="n">
        <v>0</v>
      </c>
      <c r="Q386" t="n">
        <v>0</v>
      </c>
      <c r="R386" s="2" t="inlineStr"/>
    </row>
    <row r="387" ht="15" customHeight="1">
      <c r="A387" t="inlineStr">
        <is>
          <t>A 12998-2025</t>
        </is>
      </c>
      <c r="B387" s="1" t="n">
        <v>45734.48991898148</v>
      </c>
      <c r="C387" s="1" t="n">
        <v>46062</v>
      </c>
      <c r="D387" t="inlineStr">
        <is>
          <t>JÄMTLANDS LÄN</t>
        </is>
      </c>
      <c r="E387" t="inlineStr">
        <is>
          <t>ÖSTERSUND</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47563-2025</t>
        </is>
      </c>
      <c r="B388" s="1" t="n">
        <v>45931.38956018518</v>
      </c>
      <c r="C388" s="1" t="n">
        <v>46062</v>
      </c>
      <c r="D388" t="inlineStr">
        <is>
          <t>JÄMTLANDS LÄN</t>
        </is>
      </c>
      <c r="E388" t="inlineStr">
        <is>
          <t>ÖSTERSUND</t>
        </is>
      </c>
      <c r="G388" t="n">
        <v>2.3</v>
      </c>
      <c r="H388" t="n">
        <v>0</v>
      </c>
      <c r="I388" t="n">
        <v>0</v>
      </c>
      <c r="J388" t="n">
        <v>0</v>
      </c>
      <c r="K388" t="n">
        <v>0</v>
      </c>
      <c r="L388" t="n">
        <v>0</v>
      </c>
      <c r="M388" t="n">
        <v>0</v>
      </c>
      <c r="N388" t="n">
        <v>0</v>
      </c>
      <c r="O388" t="n">
        <v>0</v>
      </c>
      <c r="P388" t="n">
        <v>0</v>
      </c>
      <c r="Q388" t="n">
        <v>0</v>
      </c>
      <c r="R388" s="2" t="inlineStr"/>
    </row>
    <row r="389" ht="15" customHeight="1">
      <c r="A389" t="inlineStr">
        <is>
          <t>A 47805-2024</t>
        </is>
      </c>
      <c r="B389" s="1" t="n">
        <v>45588.61512731481</v>
      </c>
      <c r="C389" s="1" t="n">
        <v>46062</v>
      </c>
      <c r="D389" t="inlineStr">
        <is>
          <t>JÄMTLANDS LÄN</t>
        </is>
      </c>
      <c r="E389" t="inlineStr">
        <is>
          <t>ÖSTERSUND</t>
        </is>
      </c>
      <c r="G389" t="n">
        <v>7.4</v>
      </c>
      <c r="H389" t="n">
        <v>0</v>
      </c>
      <c r="I389" t="n">
        <v>0</v>
      </c>
      <c r="J389" t="n">
        <v>0</v>
      </c>
      <c r="K389" t="n">
        <v>0</v>
      </c>
      <c r="L389" t="n">
        <v>0</v>
      </c>
      <c r="M389" t="n">
        <v>0</v>
      </c>
      <c r="N389" t="n">
        <v>0</v>
      </c>
      <c r="O389" t="n">
        <v>0</v>
      </c>
      <c r="P389" t="n">
        <v>0</v>
      </c>
      <c r="Q389" t="n">
        <v>0</v>
      </c>
      <c r="R389" s="2" t="inlineStr"/>
    </row>
    <row r="390" ht="15" customHeight="1">
      <c r="A390" t="inlineStr">
        <is>
          <t>A 45338-2024</t>
        </is>
      </c>
      <c r="B390" s="1" t="n">
        <v>45576.46905092592</v>
      </c>
      <c r="C390" s="1" t="n">
        <v>46062</v>
      </c>
      <c r="D390" t="inlineStr">
        <is>
          <t>JÄMTLANDS LÄN</t>
        </is>
      </c>
      <c r="E390" t="inlineStr">
        <is>
          <t>ÖSTERSUND</t>
        </is>
      </c>
      <c r="G390" t="n">
        <v>1.4</v>
      </c>
      <c r="H390" t="n">
        <v>0</v>
      </c>
      <c r="I390" t="n">
        <v>0</v>
      </c>
      <c r="J390" t="n">
        <v>0</v>
      </c>
      <c r="K390" t="n">
        <v>0</v>
      </c>
      <c r="L390" t="n">
        <v>0</v>
      </c>
      <c r="M390" t="n">
        <v>0</v>
      </c>
      <c r="N390" t="n">
        <v>0</v>
      </c>
      <c r="O390" t="n">
        <v>0</v>
      </c>
      <c r="P390" t="n">
        <v>0</v>
      </c>
      <c r="Q390" t="n">
        <v>0</v>
      </c>
      <c r="R390" s="2" t="inlineStr"/>
    </row>
    <row r="391" ht="15" customHeight="1">
      <c r="A391" t="inlineStr">
        <is>
          <t>A 54913-2024</t>
        </is>
      </c>
      <c r="B391" s="1" t="n">
        <v>45618.6917824074</v>
      </c>
      <c r="C391" s="1" t="n">
        <v>46062</v>
      </c>
      <c r="D391" t="inlineStr">
        <is>
          <t>JÄMTLANDS LÄN</t>
        </is>
      </c>
      <c r="E391" t="inlineStr">
        <is>
          <t>ÖSTERSUND</t>
        </is>
      </c>
      <c r="G391" t="n">
        <v>4.7</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46062</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47575-2025</t>
        </is>
      </c>
      <c r="B393" s="1" t="n">
        <v>45931.40100694444</v>
      </c>
      <c r="C393" s="1" t="n">
        <v>46062</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47579-2025</t>
        </is>
      </c>
      <c r="B394" s="1" t="n">
        <v>45931.40671296296</v>
      </c>
      <c r="C394" s="1" t="n">
        <v>46062</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57398-2023</t>
        </is>
      </c>
      <c r="B395" s="1" t="n">
        <v>45245</v>
      </c>
      <c r="C395" s="1" t="n">
        <v>46062</v>
      </c>
      <c r="D395" t="inlineStr">
        <is>
          <t>JÄMTLANDS LÄN</t>
        </is>
      </c>
      <c r="E395" t="inlineStr">
        <is>
          <t>ÖSTERSUND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46062</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46062</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46062</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26373-2025</t>
        </is>
      </c>
      <c r="B399" s="1" t="n">
        <v>45806.40677083333</v>
      </c>
      <c r="C399" s="1" t="n">
        <v>46062</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47759-2025</t>
        </is>
      </c>
      <c r="B400" s="1" t="n">
        <v>45931.67381944445</v>
      </c>
      <c r="C400" s="1" t="n">
        <v>46062</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46062</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54587-2024</t>
        </is>
      </c>
      <c r="B402" s="1" t="n">
        <v>45617.65800925926</v>
      </c>
      <c r="C402" s="1" t="n">
        <v>46062</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44410.35376157407</v>
      </c>
      <c r="C403" s="1" t="n">
        <v>46062</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46062</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32353-2025</t>
        </is>
      </c>
      <c r="B405" s="1" t="n">
        <v>45837.51741898148</v>
      </c>
      <c r="C405" s="1" t="n">
        <v>46062</v>
      </c>
      <c r="D405" t="inlineStr">
        <is>
          <t>JÄMTLANDS LÄN</t>
        </is>
      </c>
      <c r="E405" t="inlineStr">
        <is>
          <t>ÖSTERSUND</t>
        </is>
      </c>
      <c r="F405" t="inlineStr">
        <is>
          <t>Övriga Aktiebolag</t>
        </is>
      </c>
      <c r="G405" t="n">
        <v>4.8</v>
      </c>
      <c r="H405" t="n">
        <v>0</v>
      </c>
      <c r="I405" t="n">
        <v>0</v>
      </c>
      <c r="J405" t="n">
        <v>0</v>
      </c>
      <c r="K405" t="n">
        <v>0</v>
      </c>
      <c r="L405" t="n">
        <v>0</v>
      </c>
      <c r="M405" t="n">
        <v>0</v>
      </c>
      <c r="N405" t="n">
        <v>0</v>
      </c>
      <c r="O405" t="n">
        <v>0</v>
      </c>
      <c r="P405" t="n">
        <v>0</v>
      </c>
      <c r="Q405" t="n">
        <v>0</v>
      </c>
      <c r="R405" s="2" t="inlineStr"/>
    </row>
    <row r="406" ht="15" customHeight="1">
      <c r="A406" t="inlineStr">
        <is>
          <t>A 32369-2025</t>
        </is>
      </c>
      <c r="B406" s="1" t="n">
        <v>45837.67381944445</v>
      </c>
      <c r="C406" s="1" t="n">
        <v>46062</v>
      </c>
      <c r="D406" t="inlineStr">
        <is>
          <t>JÄMTLANDS LÄN</t>
        </is>
      </c>
      <c r="E406" t="inlineStr">
        <is>
          <t>ÖSTERSUND</t>
        </is>
      </c>
      <c r="F406" t="inlineStr">
        <is>
          <t>Övriga Aktiebolag</t>
        </is>
      </c>
      <c r="G406" t="n">
        <v>5.7</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46062</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20960-2022</t>
        </is>
      </c>
      <c r="B408" s="1" t="n">
        <v>44701.94034722223</v>
      </c>
      <c r="C408" s="1" t="n">
        <v>46062</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32368-2025</t>
        </is>
      </c>
      <c r="B409" s="1" t="n">
        <v>45837.66230324074</v>
      </c>
      <c r="C409" s="1" t="n">
        <v>46062</v>
      </c>
      <c r="D409" t="inlineStr">
        <is>
          <t>JÄMTLANDS LÄN</t>
        </is>
      </c>
      <c r="E409" t="inlineStr">
        <is>
          <t>ÖSTERSUND</t>
        </is>
      </c>
      <c r="F409" t="inlineStr">
        <is>
          <t>Övriga Aktiebolag</t>
        </is>
      </c>
      <c r="G409" t="n">
        <v>19.5</v>
      </c>
      <c r="H409" t="n">
        <v>0</v>
      </c>
      <c r="I409" t="n">
        <v>0</v>
      </c>
      <c r="J409" t="n">
        <v>0</v>
      </c>
      <c r="K409" t="n">
        <v>0</v>
      </c>
      <c r="L409" t="n">
        <v>0</v>
      </c>
      <c r="M409" t="n">
        <v>0</v>
      </c>
      <c r="N409" t="n">
        <v>0</v>
      </c>
      <c r="O409" t="n">
        <v>0</v>
      </c>
      <c r="P409" t="n">
        <v>0</v>
      </c>
      <c r="Q409" t="n">
        <v>0</v>
      </c>
      <c r="R409" s="2" t="inlineStr"/>
    </row>
    <row r="410" ht="15" customHeight="1">
      <c r="A410" t="inlineStr">
        <is>
          <t>A 10756-2025</t>
        </is>
      </c>
      <c r="B410" s="1" t="n">
        <v>45722.44892361111</v>
      </c>
      <c r="C410" s="1" t="n">
        <v>46062</v>
      </c>
      <c r="D410" t="inlineStr">
        <is>
          <t>JÄMTLANDS LÄN</t>
        </is>
      </c>
      <c r="E410" t="inlineStr">
        <is>
          <t>ÖSTERSUND</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7936-2025</t>
        </is>
      </c>
      <c r="B411" s="1" t="n">
        <v>45707</v>
      </c>
      <c r="C411" s="1" t="n">
        <v>46062</v>
      </c>
      <c r="D411" t="inlineStr">
        <is>
          <t>JÄMTLANDS LÄN</t>
        </is>
      </c>
      <c r="E411" t="inlineStr">
        <is>
          <t>ÖSTERSUND</t>
        </is>
      </c>
      <c r="G411" t="n">
        <v>0.2</v>
      </c>
      <c r="H411" t="n">
        <v>0</v>
      </c>
      <c r="I411" t="n">
        <v>0</v>
      </c>
      <c r="J411" t="n">
        <v>0</v>
      </c>
      <c r="K411" t="n">
        <v>0</v>
      </c>
      <c r="L411" t="n">
        <v>0</v>
      </c>
      <c r="M411" t="n">
        <v>0</v>
      </c>
      <c r="N411" t="n">
        <v>0</v>
      </c>
      <c r="O411" t="n">
        <v>0</v>
      </c>
      <c r="P411" t="n">
        <v>0</v>
      </c>
      <c r="Q411" t="n">
        <v>0</v>
      </c>
      <c r="R411" s="2" t="inlineStr"/>
    </row>
    <row r="412" ht="15" customHeight="1">
      <c r="A412" t="inlineStr">
        <is>
          <t>A 7940-2025</t>
        </is>
      </c>
      <c r="B412" s="1" t="n">
        <v>45707.40493055555</v>
      </c>
      <c r="C412" s="1" t="n">
        <v>46062</v>
      </c>
      <c r="D412" t="inlineStr">
        <is>
          <t>JÄMTLANDS LÄN</t>
        </is>
      </c>
      <c r="E412" t="inlineStr">
        <is>
          <t>ÖSTERSUND</t>
        </is>
      </c>
      <c r="F412" t="inlineStr">
        <is>
          <t>Övriga Aktiebolag</t>
        </is>
      </c>
      <c r="G412" t="n">
        <v>48.1</v>
      </c>
      <c r="H412" t="n">
        <v>0</v>
      </c>
      <c r="I412" t="n">
        <v>0</v>
      </c>
      <c r="J412" t="n">
        <v>0</v>
      </c>
      <c r="K412" t="n">
        <v>0</v>
      </c>
      <c r="L412" t="n">
        <v>0</v>
      </c>
      <c r="M412" t="n">
        <v>0</v>
      </c>
      <c r="N412" t="n">
        <v>0</v>
      </c>
      <c r="O412" t="n">
        <v>0</v>
      </c>
      <c r="P412" t="n">
        <v>0</v>
      </c>
      <c r="Q412" t="n">
        <v>0</v>
      </c>
      <c r="R412" s="2" t="inlineStr"/>
    </row>
    <row r="413" ht="15" customHeight="1">
      <c r="A413" t="inlineStr">
        <is>
          <t>A 5024-2025</t>
        </is>
      </c>
      <c r="B413" s="1" t="n">
        <v>45691.40832175926</v>
      </c>
      <c r="C413" s="1" t="n">
        <v>46062</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5025-2025</t>
        </is>
      </c>
      <c r="B414" s="1" t="n">
        <v>45691.40836805556</v>
      </c>
      <c r="C414" s="1" t="n">
        <v>46062</v>
      </c>
      <c r="D414" t="inlineStr">
        <is>
          <t>JÄMTLANDS LÄN</t>
        </is>
      </c>
      <c r="E414" t="inlineStr">
        <is>
          <t>ÖSTERSUND</t>
        </is>
      </c>
      <c r="G414" t="n">
        <v>0.1</v>
      </c>
      <c r="H414" t="n">
        <v>0</v>
      </c>
      <c r="I414" t="n">
        <v>0</v>
      </c>
      <c r="J414" t="n">
        <v>0</v>
      </c>
      <c r="K414" t="n">
        <v>0</v>
      </c>
      <c r="L414" t="n">
        <v>0</v>
      </c>
      <c r="M414" t="n">
        <v>0</v>
      </c>
      <c r="N414" t="n">
        <v>0</v>
      </c>
      <c r="O414" t="n">
        <v>0</v>
      </c>
      <c r="P414" t="n">
        <v>0</v>
      </c>
      <c r="Q414" t="n">
        <v>0</v>
      </c>
      <c r="R414" s="2" t="inlineStr"/>
    </row>
    <row r="415" ht="15" customHeight="1">
      <c r="A415" t="inlineStr">
        <is>
          <t>A 56811-2025</t>
        </is>
      </c>
      <c r="B415" s="1" t="n">
        <v>45978.45540509259</v>
      </c>
      <c r="C415" s="1" t="n">
        <v>46062</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57268-2025</t>
        </is>
      </c>
      <c r="B416" s="1" t="n">
        <v>45979.6756712963</v>
      </c>
      <c r="C416" s="1" t="n">
        <v>46062</v>
      </c>
      <c r="D416" t="inlineStr">
        <is>
          <t>JÄMTLANDS LÄN</t>
        </is>
      </c>
      <c r="E416" t="inlineStr">
        <is>
          <t>ÖSTERSUND</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48893-2025</t>
        </is>
      </c>
      <c r="B417" s="1" t="n">
        <v>45937.47302083333</v>
      </c>
      <c r="C417" s="1" t="n">
        <v>46062</v>
      </c>
      <c r="D417" t="inlineStr">
        <is>
          <t>JÄMTLANDS LÄN</t>
        </is>
      </c>
      <c r="E417" t="inlineStr">
        <is>
          <t>ÖSTERSUND</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47727-2023</t>
        </is>
      </c>
      <c r="B418" s="1" t="n">
        <v>45203</v>
      </c>
      <c r="C418" s="1" t="n">
        <v>46062</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60767-2022</t>
        </is>
      </c>
      <c r="B419" s="1" t="n">
        <v>44914.35599537037</v>
      </c>
      <c r="C419" s="1" t="n">
        <v>46062</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33358-2025</t>
        </is>
      </c>
      <c r="B420" s="1" t="n">
        <v>45841.38054398148</v>
      </c>
      <c r="C420" s="1" t="n">
        <v>46062</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60623-2022</t>
        </is>
      </c>
      <c r="B421" s="1" t="n">
        <v>44911.6459837963</v>
      </c>
      <c r="C421" s="1" t="n">
        <v>46062</v>
      </c>
      <c r="D421" t="inlineStr">
        <is>
          <t>JÄMTLANDS LÄN</t>
        </is>
      </c>
      <c r="E421" t="inlineStr">
        <is>
          <t>ÖSTERSUND</t>
        </is>
      </c>
      <c r="G421" t="n">
        <v>10.9</v>
      </c>
      <c r="H421" t="n">
        <v>0</v>
      </c>
      <c r="I421" t="n">
        <v>0</v>
      </c>
      <c r="J421" t="n">
        <v>0</v>
      </c>
      <c r="K421" t="n">
        <v>0</v>
      </c>
      <c r="L421" t="n">
        <v>0</v>
      </c>
      <c r="M421" t="n">
        <v>0</v>
      </c>
      <c r="N421" t="n">
        <v>0</v>
      </c>
      <c r="O421" t="n">
        <v>0</v>
      </c>
      <c r="P421" t="n">
        <v>0</v>
      </c>
      <c r="Q421" t="n">
        <v>0</v>
      </c>
      <c r="R421" s="2" t="inlineStr"/>
    </row>
    <row r="422" ht="15" customHeight="1">
      <c r="A422" t="inlineStr">
        <is>
          <t>A 49039-2025</t>
        </is>
      </c>
      <c r="B422" s="1" t="n">
        <v>45937.63275462963</v>
      </c>
      <c r="C422" s="1" t="n">
        <v>46062</v>
      </c>
      <c r="D422" t="inlineStr">
        <is>
          <t>JÄMTLANDS LÄN</t>
        </is>
      </c>
      <c r="E422" t="inlineStr">
        <is>
          <t>ÖSTERSUND</t>
        </is>
      </c>
      <c r="G422" t="n">
        <v>1.6</v>
      </c>
      <c r="H422" t="n">
        <v>0</v>
      </c>
      <c r="I422" t="n">
        <v>0</v>
      </c>
      <c r="J422" t="n">
        <v>0</v>
      </c>
      <c r="K422" t="n">
        <v>0</v>
      </c>
      <c r="L422" t="n">
        <v>0</v>
      </c>
      <c r="M422" t="n">
        <v>0</v>
      </c>
      <c r="N422" t="n">
        <v>0</v>
      </c>
      <c r="O422" t="n">
        <v>0</v>
      </c>
      <c r="P422" t="n">
        <v>0</v>
      </c>
      <c r="Q422" t="n">
        <v>0</v>
      </c>
      <c r="R422" s="2" t="inlineStr"/>
    </row>
    <row r="423" ht="15" customHeight="1">
      <c r="A423" t="inlineStr">
        <is>
          <t>A 3615-2025</t>
        </is>
      </c>
      <c r="B423" s="1" t="n">
        <v>45681.36493055556</v>
      </c>
      <c r="C423" s="1" t="n">
        <v>46062</v>
      </c>
      <c r="D423" t="inlineStr">
        <is>
          <t>JÄMTLANDS LÄN</t>
        </is>
      </c>
      <c r="E423" t="inlineStr">
        <is>
          <t>ÖSTERSUND</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3651-2025</t>
        </is>
      </c>
      <c r="B424" s="1" t="n">
        <v>45681.40689814815</v>
      </c>
      <c r="C424" s="1" t="n">
        <v>46062</v>
      </c>
      <c r="D424" t="inlineStr">
        <is>
          <t>JÄMTLANDS LÄN</t>
        </is>
      </c>
      <c r="E424" t="inlineStr">
        <is>
          <t>ÖSTERSUND</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49572-2025</t>
        </is>
      </c>
      <c r="B425" s="1" t="n">
        <v>45939.49018518518</v>
      </c>
      <c r="C425" s="1" t="n">
        <v>46062</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3664-2025</t>
        </is>
      </c>
      <c r="B426" s="1" t="n">
        <v>45681.4275462963</v>
      </c>
      <c r="C426" s="1" t="n">
        <v>46062</v>
      </c>
      <c r="D426" t="inlineStr">
        <is>
          <t>JÄMTLANDS LÄN</t>
        </is>
      </c>
      <c r="E426" t="inlineStr">
        <is>
          <t>ÖSTERSUND</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12821-2023</t>
        </is>
      </c>
      <c r="B427" s="1" t="n">
        <v>45000</v>
      </c>
      <c r="C427" s="1" t="n">
        <v>46062</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49576-2025</t>
        </is>
      </c>
      <c r="B428" s="1" t="n">
        <v>45939</v>
      </c>
      <c r="C428" s="1" t="n">
        <v>46062</v>
      </c>
      <c r="D428" t="inlineStr">
        <is>
          <t>JÄMTLANDS LÄN</t>
        </is>
      </c>
      <c r="E428" t="inlineStr">
        <is>
          <t>ÖSTERSUND</t>
        </is>
      </c>
      <c r="F428" t="inlineStr">
        <is>
          <t>SCA</t>
        </is>
      </c>
      <c r="G428" t="n">
        <v>17.1</v>
      </c>
      <c r="H428" t="n">
        <v>0</v>
      </c>
      <c r="I428" t="n">
        <v>0</v>
      </c>
      <c r="J428" t="n">
        <v>0</v>
      </c>
      <c r="K428" t="n">
        <v>0</v>
      </c>
      <c r="L428" t="n">
        <v>0</v>
      </c>
      <c r="M428" t="n">
        <v>0</v>
      </c>
      <c r="N428" t="n">
        <v>0</v>
      </c>
      <c r="O428" t="n">
        <v>0</v>
      </c>
      <c r="P428" t="n">
        <v>0</v>
      </c>
      <c r="Q428" t="n">
        <v>0</v>
      </c>
      <c r="R428" s="2" t="inlineStr"/>
    </row>
    <row r="429" ht="15" customHeight="1">
      <c r="A429" t="inlineStr">
        <is>
          <t>A 44798-2023</t>
        </is>
      </c>
      <c r="B429" s="1" t="n">
        <v>45190</v>
      </c>
      <c r="C429" s="1" t="n">
        <v>46062</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50168-2025</t>
        </is>
      </c>
      <c r="B430" s="1" t="n">
        <v>45943.59442129629</v>
      </c>
      <c r="C430" s="1" t="n">
        <v>46062</v>
      </c>
      <c r="D430" t="inlineStr">
        <is>
          <t>JÄMTLANDS LÄN</t>
        </is>
      </c>
      <c r="E430" t="inlineStr">
        <is>
          <t>ÖSTERSUND</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4936-2025</t>
        </is>
      </c>
      <c r="B431" s="1" t="n">
        <v>45688.69356481481</v>
      </c>
      <c r="C431" s="1" t="n">
        <v>46062</v>
      </c>
      <c r="D431" t="inlineStr">
        <is>
          <t>JÄMTLANDS LÄN</t>
        </is>
      </c>
      <c r="E431" t="inlineStr">
        <is>
          <t>ÖSTERSUND</t>
        </is>
      </c>
      <c r="G431" t="n">
        <v>8.1</v>
      </c>
      <c r="H431" t="n">
        <v>0</v>
      </c>
      <c r="I431" t="n">
        <v>0</v>
      </c>
      <c r="J431" t="n">
        <v>0</v>
      </c>
      <c r="K431" t="n">
        <v>0</v>
      </c>
      <c r="L431" t="n">
        <v>0</v>
      </c>
      <c r="M431" t="n">
        <v>0</v>
      </c>
      <c r="N431" t="n">
        <v>0</v>
      </c>
      <c r="O431" t="n">
        <v>0</v>
      </c>
      <c r="P431" t="n">
        <v>0</v>
      </c>
      <c r="Q431" t="n">
        <v>0</v>
      </c>
      <c r="R431" s="2" t="inlineStr"/>
    </row>
    <row r="432" ht="15" customHeight="1">
      <c r="A432" t="inlineStr">
        <is>
          <t>A 50528-2025</t>
        </is>
      </c>
      <c r="B432" s="1" t="n">
        <v>45945.47097222223</v>
      </c>
      <c r="C432" s="1" t="n">
        <v>46062</v>
      </c>
      <c r="D432" t="inlineStr">
        <is>
          <t>JÄMTLANDS LÄN</t>
        </is>
      </c>
      <c r="E432" t="inlineStr">
        <is>
          <t>ÖSTERSUND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34490-2025</t>
        </is>
      </c>
      <c r="B433" s="1" t="n">
        <v>45847.40722222222</v>
      </c>
      <c r="C433" s="1" t="n">
        <v>46062</v>
      </c>
      <c r="D433" t="inlineStr">
        <is>
          <t>JÄMTLANDS LÄN</t>
        </is>
      </c>
      <c r="E433" t="inlineStr">
        <is>
          <t>ÖSTERSUND</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6877-2024</t>
        </is>
      </c>
      <c r="B434" s="1" t="n">
        <v>45342</v>
      </c>
      <c r="C434" s="1" t="n">
        <v>46062</v>
      </c>
      <c r="D434" t="inlineStr">
        <is>
          <t>JÄMTLANDS LÄN</t>
        </is>
      </c>
      <c r="E434" t="inlineStr">
        <is>
          <t>ÖSTERSUND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34331-2025</t>
        </is>
      </c>
      <c r="B435" s="1" t="n">
        <v>45846.44827546296</v>
      </c>
      <c r="C435" s="1" t="n">
        <v>46062</v>
      </c>
      <c r="D435" t="inlineStr">
        <is>
          <t>JÄMTLANDS LÄN</t>
        </is>
      </c>
      <c r="E435" t="inlineStr">
        <is>
          <t>ÖSTERSUND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50428-2025</t>
        </is>
      </c>
      <c r="B436" s="1" t="n">
        <v>45944.67787037037</v>
      </c>
      <c r="C436" s="1" t="n">
        <v>46062</v>
      </c>
      <c r="D436" t="inlineStr">
        <is>
          <t>JÄMTLANDS LÄN</t>
        </is>
      </c>
      <c r="E436" t="inlineStr">
        <is>
          <t>ÖSTERSUND</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58996-2025</t>
        </is>
      </c>
      <c r="B437" s="1" t="n">
        <v>45987.67032407408</v>
      </c>
      <c r="C437" s="1" t="n">
        <v>46062</v>
      </c>
      <c r="D437" t="inlineStr">
        <is>
          <t>JÄMTLANDS LÄN</t>
        </is>
      </c>
      <c r="E437" t="inlineStr">
        <is>
          <t>ÖSTERSUND</t>
        </is>
      </c>
      <c r="G437" t="n">
        <v>4.3</v>
      </c>
      <c r="H437" t="n">
        <v>0</v>
      </c>
      <c r="I437" t="n">
        <v>0</v>
      </c>
      <c r="J437" t="n">
        <v>0</v>
      </c>
      <c r="K437" t="n">
        <v>0</v>
      </c>
      <c r="L437" t="n">
        <v>0</v>
      </c>
      <c r="M437" t="n">
        <v>0</v>
      </c>
      <c r="N437" t="n">
        <v>0</v>
      </c>
      <c r="O437" t="n">
        <v>0</v>
      </c>
      <c r="P437" t="n">
        <v>0</v>
      </c>
      <c r="Q437" t="n">
        <v>0</v>
      </c>
      <c r="R437" s="2" t="inlineStr"/>
    </row>
    <row r="438" ht="15" customHeight="1">
      <c r="A438" t="inlineStr">
        <is>
          <t>A 34589-2025</t>
        </is>
      </c>
      <c r="B438" s="1" t="n">
        <v>45847.61561342593</v>
      </c>
      <c r="C438" s="1" t="n">
        <v>46062</v>
      </c>
      <c r="D438" t="inlineStr">
        <is>
          <t>JÄMTLANDS LÄN</t>
        </is>
      </c>
      <c r="E438" t="inlineStr">
        <is>
          <t>ÖSTERSUND</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9971-2025</t>
        </is>
      </c>
      <c r="B439" s="1" t="n">
        <v>45719.38630787037</v>
      </c>
      <c r="C439" s="1" t="n">
        <v>46062</v>
      </c>
      <c r="D439" t="inlineStr">
        <is>
          <t>JÄMTLANDS LÄN</t>
        </is>
      </c>
      <c r="E439" t="inlineStr">
        <is>
          <t>ÖSTERSUND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34587-2025</t>
        </is>
      </c>
      <c r="B440" s="1" t="n">
        <v>45847.61533564814</v>
      </c>
      <c r="C440" s="1" t="n">
        <v>46062</v>
      </c>
      <c r="D440" t="inlineStr">
        <is>
          <t>JÄMTLANDS LÄN</t>
        </is>
      </c>
      <c r="E440" t="inlineStr">
        <is>
          <t>ÖSTERSUND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6351-2024</t>
        </is>
      </c>
      <c r="B441" s="1" t="n">
        <v>45338</v>
      </c>
      <c r="C441" s="1" t="n">
        <v>46062</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7941-2025</t>
        </is>
      </c>
      <c r="B442" s="1" t="n">
        <v>45707</v>
      </c>
      <c r="C442" s="1" t="n">
        <v>46062</v>
      </c>
      <c r="D442" t="inlineStr">
        <is>
          <t>JÄMTLANDS LÄN</t>
        </is>
      </c>
      <c r="E442" t="inlineStr">
        <is>
          <t>ÖSTERSUND</t>
        </is>
      </c>
      <c r="G442" t="n">
        <v>2</v>
      </c>
      <c r="H442" t="n">
        <v>0</v>
      </c>
      <c r="I442" t="n">
        <v>0</v>
      </c>
      <c r="J442" t="n">
        <v>0</v>
      </c>
      <c r="K442" t="n">
        <v>0</v>
      </c>
      <c r="L442" t="n">
        <v>0</v>
      </c>
      <c r="M442" t="n">
        <v>0</v>
      </c>
      <c r="N442" t="n">
        <v>0</v>
      </c>
      <c r="O442" t="n">
        <v>0</v>
      </c>
      <c r="P442" t="n">
        <v>0</v>
      </c>
      <c r="Q442" t="n">
        <v>0</v>
      </c>
      <c r="R442" s="2" t="inlineStr"/>
    </row>
    <row r="443" ht="15" customHeight="1">
      <c r="A443" t="inlineStr">
        <is>
          <t>A 3749-2023</t>
        </is>
      </c>
      <c r="B443" s="1" t="n">
        <v>44949</v>
      </c>
      <c r="C443" s="1" t="n">
        <v>46062</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46062</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3255-2025</t>
        </is>
      </c>
      <c r="B445" s="1" t="n">
        <v>45679.55256944444</v>
      </c>
      <c r="C445" s="1" t="n">
        <v>46062</v>
      </c>
      <c r="D445" t="inlineStr">
        <is>
          <t>JÄMTLANDS LÄN</t>
        </is>
      </c>
      <c r="E445" t="inlineStr">
        <is>
          <t>ÖSTERSUND</t>
        </is>
      </c>
      <c r="F445" t="inlineStr">
        <is>
          <t>SCA</t>
        </is>
      </c>
      <c r="G445" t="n">
        <v>16.7</v>
      </c>
      <c r="H445" t="n">
        <v>0</v>
      </c>
      <c r="I445" t="n">
        <v>0</v>
      </c>
      <c r="J445" t="n">
        <v>0</v>
      </c>
      <c r="K445" t="n">
        <v>0</v>
      </c>
      <c r="L445" t="n">
        <v>0</v>
      </c>
      <c r="M445" t="n">
        <v>0</v>
      </c>
      <c r="N445" t="n">
        <v>0</v>
      </c>
      <c r="O445" t="n">
        <v>0</v>
      </c>
      <c r="P445" t="n">
        <v>0</v>
      </c>
      <c r="Q445" t="n">
        <v>0</v>
      </c>
      <c r="R445" s="2" t="inlineStr"/>
    </row>
    <row r="446" ht="15" customHeight="1">
      <c r="A446" t="inlineStr">
        <is>
          <t>A 58364-2024</t>
        </is>
      </c>
      <c r="B446" s="1" t="n">
        <v>45632.68814814815</v>
      </c>
      <c r="C446" s="1" t="n">
        <v>46062</v>
      </c>
      <c r="D446" t="inlineStr">
        <is>
          <t>JÄMTLANDS LÄN</t>
        </is>
      </c>
      <c r="E446" t="inlineStr">
        <is>
          <t>ÖSTERSUND</t>
        </is>
      </c>
      <c r="G446" t="n">
        <v>5.5</v>
      </c>
      <c r="H446" t="n">
        <v>0</v>
      </c>
      <c r="I446" t="n">
        <v>0</v>
      </c>
      <c r="J446" t="n">
        <v>0</v>
      </c>
      <c r="K446" t="n">
        <v>0</v>
      </c>
      <c r="L446" t="n">
        <v>0</v>
      </c>
      <c r="M446" t="n">
        <v>0</v>
      </c>
      <c r="N446" t="n">
        <v>0</v>
      </c>
      <c r="O446" t="n">
        <v>0</v>
      </c>
      <c r="P446" t="n">
        <v>0</v>
      </c>
      <c r="Q446" t="n">
        <v>0</v>
      </c>
      <c r="R446" s="2" t="inlineStr"/>
    </row>
    <row r="447" ht="15" customHeight="1">
      <c r="A447" t="inlineStr">
        <is>
          <t>A 52247-2025</t>
        </is>
      </c>
      <c r="B447" s="1" t="n">
        <v>45953.47575231481</v>
      </c>
      <c r="C447" s="1" t="n">
        <v>46062</v>
      </c>
      <c r="D447" t="inlineStr">
        <is>
          <t>JÄMTLANDS LÄN</t>
        </is>
      </c>
      <c r="E447" t="inlineStr">
        <is>
          <t>ÖSTERSUND</t>
        </is>
      </c>
      <c r="G447" t="n">
        <v>8.4</v>
      </c>
      <c r="H447" t="n">
        <v>0</v>
      </c>
      <c r="I447" t="n">
        <v>0</v>
      </c>
      <c r="J447" t="n">
        <v>0</v>
      </c>
      <c r="K447" t="n">
        <v>0</v>
      </c>
      <c r="L447" t="n">
        <v>0</v>
      </c>
      <c r="M447" t="n">
        <v>0</v>
      </c>
      <c r="N447" t="n">
        <v>0</v>
      </c>
      <c r="O447" t="n">
        <v>0</v>
      </c>
      <c r="P447" t="n">
        <v>0</v>
      </c>
      <c r="Q447" t="n">
        <v>0</v>
      </c>
      <c r="R447" s="2" t="inlineStr"/>
    </row>
    <row r="448" ht="15" customHeight="1">
      <c r="A448" t="inlineStr">
        <is>
          <t>A 52286-2025</t>
        </is>
      </c>
      <c r="B448" s="1" t="n">
        <v>45953.58497685185</v>
      </c>
      <c r="C448" s="1" t="n">
        <v>46062</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46062</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3997-2025</t>
        </is>
      </c>
      <c r="B450" s="1" t="n">
        <v>45684.56725694444</v>
      </c>
      <c r="C450" s="1" t="n">
        <v>46062</v>
      </c>
      <c r="D450" t="inlineStr">
        <is>
          <t>JÄMTLANDS LÄN</t>
        </is>
      </c>
      <c r="E450" t="inlineStr">
        <is>
          <t>ÖSTERSUND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26586-2025</t>
        </is>
      </c>
      <c r="B451" s="1" t="n">
        <v>45807.74140046296</v>
      </c>
      <c r="C451" s="1" t="n">
        <v>46062</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46062</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36211-2025</t>
        </is>
      </c>
      <c r="B453" s="1" t="n">
        <v>45867.46946759259</v>
      </c>
      <c r="C453" s="1" t="n">
        <v>46062</v>
      </c>
      <c r="D453" t="inlineStr">
        <is>
          <t>JÄMTLANDS LÄN</t>
        </is>
      </c>
      <c r="E453" t="inlineStr">
        <is>
          <t>ÖSTERSUND</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64645-2021</t>
        </is>
      </c>
      <c r="B454" s="1" t="n">
        <v>44511.94629629629</v>
      </c>
      <c r="C454" s="1" t="n">
        <v>46062</v>
      </c>
      <c r="D454" t="inlineStr">
        <is>
          <t>JÄMTLANDS LÄN</t>
        </is>
      </c>
      <c r="E454" t="inlineStr">
        <is>
          <t>ÖSTERSUND</t>
        </is>
      </c>
      <c r="G454" t="n">
        <v>3.2</v>
      </c>
      <c r="H454" t="n">
        <v>0</v>
      </c>
      <c r="I454" t="n">
        <v>0</v>
      </c>
      <c r="J454" t="n">
        <v>0</v>
      </c>
      <c r="K454" t="n">
        <v>0</v>
      </c>
      <c r="L454" t="n">
        <v>0</v>
      </c>
      <c r="M454" t="n">
        <v>0</v>
      </c>
      <c r="N454" t="n">
        <v>0</v>
      </c>
      <c r="O454" t="n">
        <v>0</v>
      </c>
      <c r="P454" t="n">
        <v>0</v>
      </c>
      <c r="Q454" t="n">
        <v>0</v>
      </c>
      <c r="R454" s="2" t="inlineStr"/>
    </row>
    <row r="455" ht="15" customHeight="1">
      <c r="A455" t="inlineStr">
        <is>
          <t>A 34923-2025</t>
        </is>
      </c>
      <c r="B455" s="1" t="n">
        <v>45849.55601851852</v>
      </c>
      <c r="C455" s="1" t="n">
        <v>46062</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36098-2025</t>
        </is>
      </c>
      <c r="B456" s="1" t="n">
        <v>45866.50549768518</v>
      </c>
      <c r="C456" s="1" t="n">
        <v>46062</v>
      </c>
      <c r="D456" t="inlineStr">
        <is>
          <t>JÄMTLANDS LÄN</t>
        </is>
      </c>
      <c r="E456" t="inlineStr">
        <is>
          <t>ÖSTERSUND</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52003-2025</t>
        </is>
      </c>
      <c r="B457" s="1" t="n">
        <v>45952.5909375</v>
      </c>
      <c r="C457" s="1" t="n">
        <v>46062</v>
      </c>
      <c r="D457" t="inlineStr">
        <is>
          <t>JÄMTLANDS LÄN</t>
        </is>
      </c>
      <c r="E457" t="inlineStr">
        <is>
          <t>ÖSTERSUND</t>
        </is>
      </c>
      <c r="G457" t="n">
        <v>5.7</v>
      </c>
      <c r="H457" t="n">
        <v>0</v>
      </c>
      <c r="I457" t="n">
        <v>0</v>
      </c>
      <c r="J457" t="n">
        <v>0</v>
      </c>
      <c r="K457" t="n">
        <v>0</v>
      </c>
      <c r="L457" t="n">
        <v>0</v>
      </c>
      <c r="M457" t="n">
        <v>0</v>
      </c>
      <c r="N457" t="n">
        <v>0</v>
      </c>
      <c r="O457" t="n">
        <v>0</v>
      </c>
      <c r="P457" t="n">
        <v>0</v>
      </c>
      <c r="Q457" t="n">
        <v>0</v>
      </c>
      <c r="R457" s="2" t="inlineStr"/>
    </row>
    <row r="458" ht="15" customHeight="1">
      <c r="A458" t="inlineStr">
        <is>
          <t>A 36566-2025</t>
        </is>
      </c>
      <c r="B458" s="1" t="n">
        <v>45869</v>
      </c>
      <c r="C458" s="1" t="n">
        <v>46062</v>
      </c>
      <c r="D458" t="inlineStr">
        <is>
          <t>JÄMTLANDS LÄN</t>
        </is>
      </c>
      <c r="E458" t="inlineStr">
        <is>
          <t>ÖSTERSUND</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52935-2025</t>
        </is>
      </c>
      <c r="B459" s="1" t="n">
        <v>45957.62978009259</v>
      </c>
      <c r="C459" s="1" t="n">
        <v>46062</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846-2024</t>
        </is>
      </c>
      <c r="B460" s="1" t="n">
        <v>45300</v>
      </c>
      <c r="C460" s="1" t="n">
        <v>46062</v>
      </c>
      <c r="D460" t="inlineStr">
        <is>
          <t>JÄMTLANDS LÄN</t>
        </is>
      </c>
      <c r="E460" t="inlineStr">
        <is>
          <t>ÖSTERSUND</t>
        </is>
      </c>
      <c r="G460" t="n">
        <v>2.8</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45954.68207175926</v>
      </c>
      <c r="C461" s="1" t="n">
        <v>46062</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12102-2025</t>
        </is>
      </c>
      <c r="B462" s="1" t="n">
        <v>45729.3425</v>
      </c>
      <c r="C462" s="1" t="n">
        <v>46062</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52975-2025</t>
        </is>
      </c>
      <c r="B463" s="1" t="n">
        <v>45957.67876157408</v>
      </c>
      <c r="C463" s="1" t="n">
        <v>46062</v>
      </c>
      <c r="D463" t="inlineStr">
        <is>
          <t>JÄMTLANDS LÄN</t>
        </is>
      </c>
      <c r="E463" t="inlineStr">
        <is>
          <t>ÖSTERSUND</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45958.36498842593</v>
      </c>
      <c r="C464" s="1" t="n">
        <v>46062</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7233-2024</t>
        </is>
      </c>
      <c r="B465" s="1" t="n">
        <v>45344</v>
      </c>
      <c r="C465" s="1" t="n">
        <v>46062</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37085-2025</t>
        </is>
      </c>
      <c r="B466" s="1" t="n">
        <v>45875.44840277778</v>
      </c>
      <c r="C466" s="1" t="n">
        <v>46062</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61791-2023</t>
        </is>
      </c>
      <c r="B467" s="1" t="n">
        <v>45265.95795138889</v>
      </c>
      <c r="C467" s="1" t="n">
        <v>46062</v>
      </c>
      <c r="D467" t="inlineStr">
        <is>
          <t>JÄMTLANDS LÄN</t>
        </is>
      </c>
      <c r="E467" t="inlineStr">
        <is>
          <t>ÖSTERSUND</t>
        </is>
      </c>
      <c r="F467" t="inlineStr">
        <is>
          <t>SCA</t>
        </is>
      </c>
      <c r="G467" t="n">
        <v>11.4</v>
      </c>
      <c r="H467" t="n">
        <v>0</v>
      </c>
      <c r="I467" t="n">
        <v>0</v>
      </c>
      <c r="J467" t="n">
        <v>0</v>
      </c>
      <c r="K467" t="n">
        <v>0</v>
      </c>
      <c r="L467" t="n">
        <v>0</v>
      </c>
      <c r="M467" t="n">
        <v>0</v>
      </c>
      <c r="N467" t="n">
        <v>0</v>
      </c>
      <c r="O467" t="n">
        <v>0</v>
      </c>
      <c r="P467" t="n">
        <v>0</v>
      </c>
      <c r="Q467" t="n">
        <v>0</v>
      </c>
      <c r="R467" s="2" t="inlineStr"/>
    </row>
    <row r="468" ht="15" customHeight="1">
      <c r="A468" t="inlineStr">
        <is>
          <t>A 53057-2025</t>
        </is>
      </c>
      <c r="B468" s="1" t="n">
        <v>45958.36537037037</v>
      </c>
      <c r="C468" s="1" t="n">
        <v>46062</v>
      </c>
      <c r="D468" t="inlineStr">
        <is>
          <t>JÄMTLANDS LÄN</t>
        </is>
      </c>
      <c r="E468" t="inlineStr">
        <is>
          <t>ÖSTERSUND</t>
        </is>
      </c>
      <c r="F468" t="inlineStr">
        <is>
          <t>SCA</t>
        </is>
      </c>
      <c r="G468" t="n">
        <v>47.8</v>
      </c>
      <c r="H468" t="n">
        <v>0</v>
      </c>
      <c r="I468" t="n">
        <v>0</v>
      </c>
      <c r="J468" t="n">
        <v>0</v>
      </c>
      <c r="K468" t="n">
        <v>0</v>
      </c>
      <c r="L468" t="n">
        <v>0</v>
      </c>
      <c r="M468" t="n">
        <v>0</v>
      </c>
      <c r="N468" t="n">
        <v>0</v>
      </c>
      <c r="O468" t="n">
        <v>0</v>
      </c>
      <c r="P468" t="n">
        <v>0</v>
      </c>
      <c r="Q468" t="n">
        <v>0</v>
      </c>
      <c r="R468" s="2" t="inlineStr"/>
    </row>
    <row r="469" ht="15" customHeight="1">
      <c r="A469" t="inlineStr">
        <is>
          <t>A 47022-2024</t>
        </is>
      </c>
      <c r="B469" s="1" t="n">
        <v>45586.40660879629</v>
      </c>
      <c r="C469" s="1" t="n">
        <v>46062</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12-2023</t>
        </is>
      </c>
      <c r="B470" s="1" t="n">
        <v>44927.88021990741</v>
      </c>
      <c r="C470" s="1" t="n">
        <v>46062</v>
      </c>
      <c r="D470" t="inlineStr">
        <is>
          <t>JÄMTLANDS LÄN</t>
        </is>
      </c>
      <c r="E470" t="inlineStr">
        <is>
          <t>ÖSTERSUND</t>
        </is>
      </c>
      <c r="G470" t="n">
        <v>4.7</v>
      </c>
      <c r="H470" t="n">
        <v>0</v>
      </c>
      <c r="I470" t="n">
        <v>0</v>
      </c>
      <c r="J470" t="n">
        <v>0</v>
      </c>
      <c r="K470" t="n">
        <v>0</v>
      </c>
      <c r="L470" t="n">
        <v>0</v>
      </c>
      <c r="M470" t="n">
        <v>0</v>
      </c>
      <c r="N470" t="n">
        <v>0</v>
      </c>
      <c r="O470" t="n">
        <v>0</v>
      </c>
      <c r="P470" t="n">
        <v>0</v>
      </c>
      <c r="Q470" t="n">
        <v>0</v>
      </c>
      <c r="R470" s="2" t="inlineStr"/>
    </row>
    <row r="471" ht="15" customHeight="1">
      <c r="A471" t="inlineStr">
        <is>
          <t>A 45533-2025</t>
        </is>
      </c>
      <c r="B471" s="1" t="n">
        <v>45922</v>
      </c>
      <c r="C471" s="1" t="n">
        <v>46062</v>
      </c>
      <c r="D471" t="inlineStr">
        <is>
          <t>JÄMTLANDS LÄN</t>
        </is>
      </c>
      <c r="E471" t="inlineStr">
        <is>
          <t>ÖSTERSUND</t>
        </is>
      </c>
      <c r="F471" t="inlineStr">
        <is>
          <t>Övriga statliga verk och myndigheter</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64309-2023</t>
        </is>
      </c>
      <c r="B472" s="1" t="n">
        <v>45280</v>
      </c>
      <c r="C472" s="1" t="n">
        <v>46062</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64314-2023</t>
        </is>
      </c>
      <c r="B473" s="1" t="n">
        <v>45280</v>
      </c>
      <c r="C473" s="1" t="n">
        <v>46062</v>
      </c>
      <c r="D473" t="inlineStr">
        <is>
          <t>JÄMTLANDS LÄN</t>
        </is>
      </c>
      <c r="E473" t="inlineStr">
        <is>
          <t>ÖSTERSUND</t>
        </is>
      </c>
      <c r="G473" t="n">
        <v>0.6</v>
      </c>
      <c r="H473" t="n">
        <v>0</v>
      </c>
      <c r="I473" t="n">
        <v>0</v>
      </c>
      <c r="J473" t="n">
        <v>0</v>
      </c>
      <c r="K473" t="n">
        <v>0</v>
      </c>
      <c r="L473" t="n">
        <v>0</v>
      </c>
      <c r="M473" t="n">
        <v>0</v>
      </c>
      <c r="N473" t="n">
        <v>0</v>
      </c>
      <c r="O473" t="n">
        <v>0</v>
      </c>
      <c r="P473" t="n">
        <v>0</v>
      </c>
      <c r="Q473" t="n">
        <v>0</v>
      </c>
      <c r="R473" s="2" t="inlineStr"/>
    </row>
    <row r="474" ht="15" customHeight="1">
      <c r="A474" t="inlineStr">
        <is>
          <t>A 27124-2023</t>
        </is>
      </c>
      <c r="B474" s="1" t="n">
        <v>45096</v>
      </c>
      <c r="C474" s="1" t="n">
        <v>46062</v>
      </c>
      <c r="D474" t="inlineStr">
        <is>
          <t>JÄMTLANDS LÄN</t>
        </is>
      </c>
      <c r="E474" t="inlineStr">
        <is>
          <t>ÖSTERSUND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16336-2025</t>
        </is>
      </c>
      <c r="B475" s="1" t="n">
        <v>45751.36519675926</v>
      </c>
      <c r="C475" s="1" t="n">
        <v>46062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54133-2025</t>
        </is>
      </c>
      <c r="B476" s="1" t="n">
        <v>45964.46944444445</v>
      </c>
      <c r="C476" s="1" t="n">
        <v>46062</v>
      </c>
      <c r="D476" t="inlineStr">
        <is>
          <t>JÄMTLANDS LÄN</t>
        </is>
      </c>
      <c r="E476" t="inlineStr">
        <is>
          <t>ÖSTERSUND</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17066-2024</t>
        </is>
      </c>
      <c r="B477" s="1" t="n">
        <v>45412.46636574074</v>
      </c>
      <c r="C477" s="1" t="n">
        <v>46062</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54528-2025</t>
        </is>
      </c>
      <c r="B478" s="1" t="n">
        <v>45965.63496527778</v>
      </c>
      <c r="C478" s="1" t="n">
        <v>46062</v>
      </c>
      <c r="D478" t="inlineStr">
        <is>
          <t>JÄMTLANDS LÄN</t>
        </is>
      </c>
      <c r="E478" t="inlineStr">
        <is>
          <t>ÖSTERSUND</t>
        </is>
      </c>
      <c r="G478" t="n">
        <v>1.7</v>
      </c>
      <c r="H478" t="n">
        <v>0</v>
      </c>
      <c r="I478" t="n">
        <v>0</v>
      </c>
      <c r="J478" t="n">
        <v>0</v>
      </c>
      <c r="K478" t="n">
        <v>0</v>
      </c>
      <c r="L478" t="n">
        <v>0</v>
      </c>
      <c r="M478" t="n">
        <v>0</v>
      </c>
      <c r="N478" t="n">
        <v>0</v>
      </c>
      <c r="O478" t="n">
        <v>0</v>
      </c>
      <c r="P478" t="n">
        <v>0</v>
      </c>
      <c r="Q478" t="n">
        <v>0</v>
      </c>
      <c r="R478" s="2" t="inlineStr"/>
    </row>
    <row r="479" ht="15" customHeight="1">
      <c r="A479" t="inlineStr">
        <is>
          <t>A 54965-2025</t>
        </is>
      </c>
      <c r="B479" s="1" t="n">
        <v>45967.49037037037</v>
      </c>
      <c r="C479" s="1" t="n">
        <v>46062</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61449-2024</t>
        </is>
      </c>
      <c r="B480" s="1" t="n">
        <v>45646.48988425926</v>
      </c>
      <c r="C480" s="1" t="n">
        <v>46062</v>
      </c>
      <c r="D480" t="inlineStr">
        <is>
          <t>JÄMTLANDS LÄN</t>
        </is>
      </c>
      <c r="E480" t="inlineStr">
        <is>
          <t>ÖSTERSUND</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61450-2024</t>
        </is>
      </c>
      <c r="B481" s="1" t="n">
        <v>45646.49012731481</v>
      </c>
      <c r="C481" s="1" t="n">
        <v>46062</v>
      </c>
      <c r="D481" t="inlineStr">
        <is>
          <t>JÄMTLANDS LÄN</t>
        </is>
      </c>
      <c r="E481" t="inlineStr">
        <is>
          <t>ÖSTERSUND</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61451-2024</t>
        </is>
      </c>
      <c r="B482" s="1" t="n">
        <v>45646.49017361111</v>
      </c>
      <c r="C482" s="1" t="n">
        <v>46062</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8261-2025</t>
        </is>
      </c>
      <c r="B483" s="1" t="n">
        <v>45708.50256944444</v>
      </c>
      <c r="C483" s="1" t="n">
        <v>46062</v>
      </c>
      <c r="D483" t="inlineStr">
        <is>
          <t>JÄMTLANDS LÄN</t>
        </is>
      </c>
      <c r="E483" t="inlineStr">
        <is>
          <t>ÖSTERSUND</t>
        </is>
      </c>
      <c r="G483" t="n">
        <v>5.4</v>
      </c>
      <c r="H483" t="n">
        <v>0</v>
      </c>
      <c r="I483" t="n">
        <v>0</v>
      </c>
      <c r="J483" t="n">
        <v>0</v>
      </c>
      <c r="K483" t="n">
        <v>0</v>
      </c>
      <c r="L483" t="n">
        <v>0</v>
      </c>
      <c r="M483" t="n">
        <v>0</v>
      </c>
      <c r="N483" t="n">
        <v>0</v>
      </c>
      <c r="O483" t="n">
        <v>0</v>
      </c>
      <c r="P483" t="n">
        <v>0</v>
      </c>
      <c r="Q483" t="n">
        <v>0</v>
      </c>
      <c r="R483" s="2" t="inlineStr"/>
    </row>
    <row r="484" ht="15" customHeight="1">
      <c r="A484" t="inlineStr">
        <is>
          <t>A 54667-2025</t>
        </is>
      </c>
      <c r="B484" s="1" t="n">
        <v>45966.4077662037</v>
      </c>
      <c r="C484" s="1" t="n">
        <v>46062</v>
      </c>
      <c r="D484" t="inlineStr">
        <is>
          <t>JÄMTLANDS LÄN</t>
        </is>
      </c>
      <c r="E484" t="inlineStr">
        <is>
          <t>ÖSTERSUND</t>
        </is>
      </c>
      <c r="G484" t="n">
        <v>6.8</v>
      </c>
      <c r="H484" t="n">
        <v>0</v>
      </c>
      <c r="I484" t="n">
        <v>0</v>
      </c>
      <c r="J484" t="n">
        <v>0</v>
      </c>
      <c r="K484" t="n">
        <v>0</v>
      </c>
      <c r="L484" t="n">
        <v>0</v>
      </c>
      <c r="M484" t="n">
        <v>0</v>
      </c>
      <c r="N484" t="n">
        <v>0</v>
      </c>
      <c r="O484" t="n">
        <v>0</v>
      </c>
      <c r="P484" t="n">
        <v>0</v>
      </c>
      <c r="Q484" t="n">
        <v>0</v>
      </c>
      <c r="R484" s="2" t="inlineStr"/>
    </row>
    <row r="485" ht="15" customHeight="1">
      <c r="A485" t="inlineStr">
        <is>
          <t>A 54931-2025</t>
        </is>
      </c>
      <c r="B485" s="1" t="n">
        <v>45967.42462962963</v>
      </c>
      <c r="C485" s="1" t="n">
        <v>46062</v>
      </c>
      <c r="D485" t="inlineStr">
        <is>
          <t>JÄMTLANDS LÄN</t>
        </is>
      </c>
      <c r="E485" t="inlineStr">
        <is>
          <t>ÖSTERSUND</t>
        </is>
      </c>
      <c r="G485" t="n">
        <v>7.1</v>
      </c>
      <c r="H485" t="n">
        <v>0</v>
      </c>
      <c r="I485" t="n">
        <v>0</v>
      </c>
      <c r="J485" t="n">
        <v>0</v>
      </c>
      <c r="K485" t="n">
        <v>0</v>
      </c>
      <c r="L485" t="n">
        <v>0</v>
      </c>
      <c r="M485" t="n">
        <v>0</v>
      </c>
      <c r="N485" t="n">
        <v>0</v>
      </c>
      <c r="O485" t="n">
        <v>0</v>
      </c>
      <c r="P485" t="n">
        <v>0</v>
      </c>
      <c r="Q485" t="n">
        <v>0</v>
      </c>
      <c r="R485" s="2" t="inlineStr"/>
    </row>
    <row r="486" ht="15" customHeight="1">
      <c r="A486" t="inlineStr">
        <is>
          <t>A 39975-2024</t>
        </is>
      </c>
      <c r="B486" s="1" t="n">
        <v>45553.60474537037</v>
      </c>
      <c r="C486" s="1" t="n">
        <v>46062</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61506-2023</t>
        </is>
      </c>
      <c r="B487" s="1" t="n">
        <v>45264</v>
      </c>
      <c r="C487" s="1" t="n">
        <v>46062</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55179-2025</t>
        </is>
      </c>
      <c r="B488" s="1" t="n">
        <v>45968.53167824074</v>
      </c>
      <c r="C488" s="1" t="n">
        <v>46062</v>
      </c>
      <c r="D488" t="inlineStr">
        <is>
          <t>JÄMTLANDS LÄN</t>
        </is>
      </c>
      <c r="E488" t="inlineStr">
        <is>
          <t>ÖSTERSUND</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16753-2025</t>
        </is>
      </c>
      <c r="B489" s="1" t="n">
        <v>45754.56839120371</v>
      </c>
      <c r="C489" s="1" t="n">
        <v>46062</v>
      </c>
      <c r="D489" t="inlineStr">
        <is>
          <t>JÄMTLANDS LÄN</t>
        </is>
      </c>
      <c r="E489" t="inlineStr">
        <is>
          <t>ÖSTERSUND</t>
        </is>
      </c>
      <c r="G489" t="n">
        <v>0.5</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44889.59378472222</v>
      </c>
      <c r="C490" s="1" t="n">
        <v>46062</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56165-2025</t>
        </is>
      </c>
      <c r="B491" s="1" t="n">
        <v>45974.38310185185</v>
      </c>
      <c r="C491" s="1" t="n">
        <v>46062</v>
      </c>
      <c r="D491" t="inlineStr">
        <is>
          <t>JÄMTLANDS LÄN</t>
        </is>
      </c>
      <c r="E491" t="inlineStr">
        <is>
          <t>ÖSTERSUND</t>
        </is>
      </c>
      <c r="G491" t="n">
        <v>1.2</v>
      </c>
      <c r="H491" t="n">
        <v>0</v>
      </c>
      <c r="I491" t="n">
        <v>0</v>
      </c>
      <c r="J491" t="n">
        <v>0</v>
      </c>
      <c r="K491" t="n">
        <v>0</v>
      </c>
      <c r="L491" t="n">
        <v>0</v>
      </c>
      <c r="M491" t="n">
        <v>0</v>
      </c>
      <c r="N491" t="n">
        <v>0</v>
      </c>
      <c r="O491" t="n">
        <v>0</v>
      </c>
      <c r="P491" t="n">
        <v>0</v>
      </c>
      <c r="Q491" t="n">
        <v>0</v>
      </c>
      <c r="R491" s="2" t="inlineStr"/>
    </row>
    <row r="492" ht="15" customHeight="1">
      <c r="A492" t="inlineStr">
        <is>
          <t>A 6067-2025</t>
        </is>
      </c>
      <c r="B492" s="1" t="n">
        <v>45696.34405092592</v>
      </c>
      <c r="C492" s="1" t="n">
        <v>46062</v>
      </c>
      <c r="D492" t="inlineStr">
        <is>
          <t>JÄMTLANDS LÄN</t>
        </is>
      </c>
      <c r="E492" t="inlineStr">
        <is>
          <t>ÖSTERSUND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14518-2023</t>
        </is>
      </c>
      <c r="B493" s="1" t="n">
        <v>45012</v>
      </c>
      <c r="C493" s="1" t="n">
        <v>46062</v>
      </c>
      <c r="D493" t="inlineStr">
        <is>
          <t>JÄMTLANDS LÄN</t>
        </is>
      </c>
      <c r="E493" t="inlineStr">
        <is>
          <t>ÖSTERSUND</t>
        </is>
      </c>
      <c r="G493" t="n">
        <v>14.4</v>
      </c>
      <c r="H493" t="n">
        <v>0</v>
      </c>
      <c r="I493" t="n">
        <v>0</v>
      </c>
      <c r="J493" t="n">
        <v>0</v>
      </c>
      <c r="K493" t="n">
        <v>0</v>
      </c>
      <c r="L493" t="n">
        <v>0</v>
      </c>
      <c r="M493" t="n">
        <v>0</v>
      </c>
      <c r="N493" t="n">
        <v>0</v>
      </c>
      <c r="O493" t="n">
        <v>0</v>
      </c>
      <c r="P493" t="n">
        <v>0</v>
      </c>
      <c r="Q493" t="n">
        <v>0</v>
      </c>
      <c r="R493" s="2" t="inlineStr"/>
    </row>
    <row r="494" ht="15" customHeight="1">
      <c r="A494" t="inlineStr">
        <is>
          <t>A 63807-2025</t>
        </is>
      </c>
      <c r="B494" s="1" t="n">
        <v>46019</v>
      </c>
      <c r="C494" s="1" t="n">
        <v>46062</v>
      </c>
      <c r="D494" t="inlineStr">
        <is>
          <t>JÄMTLANDS LÄN</t>
        </is>
      </c>
      <c r="E494" t="inlineStr">
        <is>
          <t>ÖSTERSUND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56903-2025</t>
        </is>
      </c>
      <c r="B495" s="1" t="n">
        <v>45978.57414351852</v>
      </c>
      <c r="C495" s="1" t="n">
        <v>46062</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30602-2023</t>
        </is>
      </c>
      <c r="B496" s="1" t="n">
        <v>45112</v>
      </c>
      <c r="C496" s="1" t="n">
        <v>46062</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56690-2025</t>
        </is>
      </c>
      <c r="B497" s="1" t="n">
        <v>45976.58684027778</v>
      </c>
      <c r="C497" s="1" t="n">
        <v>46062</v>
      </c>
      <c r="D497" t="inlineStr">
        <is>
          <t>JÄMTLANDS LÄN</t>
        </is>
      </c>
      <c r="E497" t="inlineStr">
        <is>
          <t>ÖSTERSUND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46021.34454861111</v>
      </c>
      <c r="C498" s="1" t="n">
        <v>46062</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1211-2025</t>
        </is>
      </c>
      <c r="B499" s="1" t="n">
        <v>45667.40662037037</v>
      </c>
      <c r="C499" s="1" t="n">
        <v>46062</v>
      </c>
      <c r="D499" t="inlineStr">
        <is>
          <t>JÄMTLANDS LÄN</t>
        </is>
      </c>
      <c r="E499" t="inlineStr">
        <is>
          <t>ÖSTERSUND</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45004-2022</t>
        </is>
      </c>
      <c r="B500" s="1" t="n">
        <v>44840</v>
      </c>
      <c r="C500" s="1" t="n">
        <v>46062</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12352-2025</t>
        </is>
      </c>
      <c r="B501" s="1" t="n">
        <v>45730.36263888889</v>
      </c>
      <c r="C501" s="1" t="n">
        <v>46062</v>
      </c>
      <c r="D501" t="inlineStr">
        <is>
          <t>JÄMTLANDS LÄN</t>
        </is>
      </c>
      <c r="E501" t="inlineStr">
        <is>
          <t>ÖSTERSUND</t>
        </is>
      </c>
      <c r="G501" t="n">
        <v>7.8</v>
      </c>
      <c r="H501" t="n">
        <v>0</v>
      </c>
      <c r="I501" t="n">
        <v>0</v>
      </c>
      <c r="J501" t="n">
        <v>0</v>
      </c>
      <c r="K501" t="n">
        <v>0</v>
      </c>
      <c r="L501" t="n">
        <v>0</v>
      </c>
      <c r="M501" t="n">
        <v>0</v>
      </c>
      <c r="N501" t="n">
        <v>0</v>
      </c>
      <c r="O501" t="n">
        <v>0</v>
      </c>
      <c r="P501" t="n">
        <v>0</v>
      </c>
      <c r="Q501" t="n">
        <v>0</v>
      </c>
      <c r="R501" s="2" t="inlineStr"/>
    </row>
    <row r="502" ht="15" customHeight="1">
      <c r="A502" t="inlineStr">
        <is>
          <t>A 64022-2025</t>
        </is>
      </c>
      <c r="B502" s="1" t="n">
        <v>46021.46912037037</v>
      </c>
      <c r="C502" s="1" t="n">
        <v>46062</v>
      </c>
      <c r="D502" t="inlineStr">
        <is>
          <t>JÄMTLANDS LÄN</t>
        </is>
      </c>
      <c r="E502" t="inlineStr">
        <is>
          <t>ÖSTERSUND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63981-2025</t>
        </is>
      </c>
      <c r="B503" s="1" t="n">
        <v>46021.34450231482</v>
      </c>
      <c r="C503" s="1" t="n">
        <v>46062</v>
      </c>
      <c r="D503" t="inlineStr">
        <is>
          <t>JÄMTLANDS LÄN</t>
        </is>
      </c>
      <c r="E503" t="inlineStr">
        <is>
          <t>ÖSTERSUND</t>
        </is>
      </c>
      <c r="G503" t="n">
        <v>17.7</v>
      </c>
      <c r="H503" t="n">
        <v>0</v>
      </c>
      <c r="I503" t="n">
        <v>0</v>
      </c>
      <c r="J503" t="n">
        <v>0</v>
      </c>
      <c r="K503" t="n">
        <v>0</v>
      </c>
      <c r="L503" t="n">
        <v>0</v>
      </c>
      <c r="M503" t="n">
        <v>0</v>
      </c>
      <c r="N503" t="n">
        <v>0</v>
      </c>
      <c r="O503" t="n">
        <v>0</v>
      </c>
      <c r="P503" t="n">
        <v>0</v>
      </c>
      <c r="Q503" t="n">
        <v>0</v>
      </c>
      <c r="R503" s="2" t="inlineStr"/>
    </row>
    <row r="504" ht="15" customHeight="1">
      <c r="A504" t="inlineStr">
        <is>
          <t>A 27906-2024</t>
        </is>
      </c>
      <c r="B504" s="1" t="n">
        <v>45475.94585648148</v>
      </c>
      <c r="C504" s="1" t="n">
        <v>46062</v>
      </c>
      <c r="D504" t="inlineStr">
        <is>
          <t>JÄMTLANDS LÄN</t>
        </is>
      </c>
      <c r="E504" t="inlineStr">
        <is>
          <t>ÖSTERSUND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63856-2025</t>
        </is>
      </c>
      <c r="B505" s="1" t="n">
        <v>46020.47796296296</v>
      </c>
      <c r="C505" s="1" t="n">
        <v>46062</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53380-2023</t>
        </is>
      </c>
      <c r="B506" s="1" t="n">
        <v>45223</v>
      </c>
      <c r="C506" s="1" t="n">
        <v>46062</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63861-2025</t>
        </is>
      </c>
      <c r="B507" s="1" t="n">
        <v>46020.49056712963</v>
      </c>
      <c r="C507" s="1" t="n">
        <v>46062</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10116-2025</t>
        </is>
      </c>
      <c r="B508" s="1" t="n">
        <v>45719.59836805556</v>
      </c>
      <c r="C508" s="1" t="n">
        <v>46062</v>
      </c>
      <c r="D508" t="inlineStr">
        <is>
          <t>JÄMTLANDS LÄN</t>
        </is>
      </c>
      <c r="E508" t="inlineStr">
        <is>
          <t>ÖSTERSUND</t>
        </is>
      </c>
      <c r="G508" t="n">
        <v>11.1</v>
      </c>
      <c r="H508" t="n">
        <v>0</v>
      </c>
      <c r="I508" t="n">
        <v>0</v>
      </c>
      <c r="J508" t="n">
        <v>0</v>
      </c>
      <c r="K508" t="n">
        <v>0</v>
      </c>
      <c r="L508" t="n">
        <v>0</v>
      </c>
      <c r="M508" t="n">
        <v>0</v>
      </c>
      <c r="N508" t="n">
        <v>0</v>
      </c>
      <c r="O508" t="n">
        <v>0</v>
      </c>
      <c r="P508" t="n">
        <v>0</v>
      </c>
      <c r="Q508" t="n">
        <v>0</v>
      </c>
      <c r="R508" s="2" t="inlineStr"/>
    </row>
    <row r="509" ht="15" customHeight="1">
      <c r="A509" t="inlineStr">
        <is>
          <t>A 48696-2024</t>
        </is>
      </c>
      <c r="B509" s="1" t="n">
        <v>45593.51123842593</v>
      </c>
      <c r="C509" s="1" t="n">
        <v>46062</v>
      </c>
      <c r="D509" t="inlineStr">
        <is>
          <t>JÄMTLANDS LÄN</t>
        </is>
      </c>
      <c r="E509" t="inlineStr">
        <is>
          <t>ÖSTERSUND</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48737-2024</t>
        </is>
      </c>
      <c r="B510" s="1" t="n">
        <v>45593.57327546296</v>
      </c>
      <c r="C510" s="1" t="n">
        <v>46062</v>
      </c>
      <c r="D510" t="inlineStr">
        <is>
          <t>JÄMTLANDS LÄN</t>
        </is>
      </c>
      <c r="E510" t="inlineStr">
        <is>
          <t>ÖSTERSUND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46062</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33501-2023</t>
        </is>
      </c>
      <c r="B512" s="1" t="n">
        <v>45118</v>
      </c>
      <c r="C512" s="1" t="n">
        <v>46062</v>
      </c>
      <c r="D512" t="inlineStr">
        <is>
          <t>JÄMTLANDS LÄN</t>
        </is>
      </c>
      <c r="E512" t="inlineStr">
        <is>
          <t>ÖSTERSUND</t>
        </is>
      </c>
      <c r="G512" t="n">
        <v>5.8</v>
      </c>
      <c r="H512" t="n">
        <v>0</v>
      </c>
      <c r="I512" t="n">
        <v>0</v>
      </c>
      <c r="J512" t="n">
        <v>0</v>
      </c>
      <c r="K512" t="n">
        <v>0</v>
      </c>
      <c r="L512" t="n">
        <v>0</v>
      </c>
      <c r="M512" t="n">
        <v>0</v>
      </c>
      <c r="N512" t="n">
        <v>0</v>
      </c>
      <c r="O512" t="n">
        <v>0</v>
      </c>
      <c r="P512" t="n">
        <v>0</v>
      </c>
      <c r="Q512" t="n">
        <v>0</v>
      </c>
      <c r="R512" s="2" t="inlineStr"/>
    </row>
    <row r="513" ht="15" customHeight="1">
      <c r="A513" t="inlineStr">
        <is>
          <t>A 60088-2024</t>
        </is>
      </c>
      <c r="B513" s="1" t="n">
        <v>45642.54847222222</v>
      </c>
      <c r="C513" s="1" t="n">
        <v>46062</v>
      </c>
      <c r="D513" t="inlineStr">
        <is>
          <t>JÄMTLANDS LÄN</t>
        </is>
      </c>
      <c r="E513" t="inlineStr">
        <is>
          <t>ÖSTERSUND</t>
        </is>
      </c>
      <c r="G513" t="n">
        <v>5</v>
      </c>
      <c r="H513" t="n">
        <v>0</v>
      </c>
      <c r="I513" t="n">
        <v>0</v>
      </c>
      <c r="J513" t="n">
        <v>0</v>
      </c>
      <c r="K513" t="n">
        <v>0</v>
      </c>
      <c r="L513" t="n">
        <v>0</v>
      </c>
      <c r="M513" t="n">
        <v>0</v>
      </c>
      <c r="N513" t="n">
        <v>0</v>
      </c>
      <c r="O513" t="n">
        <v>0</v>
      </c>
      <c r="P513" t="n">
        <v>0</v>
      </c>
      <c r="Q513" t="n">
        <v>0</v>
      </c>
      <c r="R513" s="2" t="inlineStr"/>
    </row>
    <row r="514" ht="15" customHeight="1">
      <c r="A514" t="inlineStr">
        <is>
          <t>A 58122-2025</t>
        </is>
      </c>
      <c r="B514" s="1" t="n">
        <v>45982.61043981482</v>
      </c>
      <c r="C514" s="1" t="n">
        <v>46062</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58099-2025</t>
        </is>
      </c>
      <c r="B515" s="1" t="n">
        <v>45982.5862037037</v>
      </c>
      <c r="C515" s="1" t="n">
        <v>46062</v>
      </c>
      <c r="D515" t="inlineStr">
        <is>
          <t>JÄMTLANDS LÄN</t>
        </is>
      </c>
      <c r="E515" t="inlineStr">
        <is>
          <t>ÖSTERSUND</t>
        </is>
      </c>
      <c r="G515" t="n">
        <v>6.1</v>
      </c>
      <c r="H515" t="n">
        <v>0</v>
      </c>
      <c r="I515" t="n">
        <v>0</v>
      </c>
      <c r="J515" t="n">
        <v>0</v>
      </c>
      <c r="K515" t="n">
        <v>0</v>
      </c>
      <c r="L515" t="n">
        <v>0</v>
      </c>
      <c r="M515" t="n">
        <v>0</v>
      </c>
      <c r="N515" t="n">
        <v>0</v>
      </c>
      <c r="O515" t="n">
        <v>0</v>
      </c>
      <c r="P515" t="n">
        <v>0</v>
      </c>
      <c r="Q515" t="n">
        <v>0</v>
      </c>
      <c r="R515" s="2" t="inlineStr"/>
    </row>
    <row r="516" ht="15" customHeight="1">
      <c r="A516" t="inlineStr">
        <is>
          <t>A 379-2026</t>
        </is>
      </c>
      <c r="B516" s="1" t="n">
        <v>46027.7344212963</v>
      </c>
      <c r="C516" s="1" t="n">
        <v>46062</v>
      </c>
      <c r="D516" t="inlineStr">
        <is>
          <t>JÄMTLANDS LÄN</t>
        </is>
      </c>
      <c r="E516" t="inlineStr">
        <is>
          <t>ÖSTERSUND</t>
        </is>
      </c>
      <c r="G516" t="n">
        <v>5.6</v>
      </c>
      <c r="H516" t="n">
        <v>0</v>
      </c>
      <c r="I516" t="n">
        <v>0</v>
      </c>
      <c r="J516" t="n">
        <v>0</v>
      </c>
      <c r="K516" t="n">
        <v>0</v>
      </c>
      <c r="L516" t="n">
        <v>0</v>
      </c>
      <c r="M516" t="n">
        <v>0</v>
      </c>
      <c r="N516" t="n">
        <v>0</v>
      </c>
      <c r="O516" t="n">
        <v>0</v>
      </c>
      <c r="P516" t="n">
        <v>0</v>
      </c>
      <c r="Q516" t="n">
        <v>0</v>
      </c>
      <c r="R516" s="2" t="inlineStr"/>
    </row>
    <row r="517" ht="15" customHeight="1">
      <c r="A517" t="inlineStr">
        <is>
          <t>A 49788-2024</t>
        </is>
      </c>
      <c r="B517" s="1" t="n">
        <v>45597.36623842592</v>
      </c>
      <c r="C517" s="1" t="n">
        <v>46062</v>
      </c>
      <c r="D517" t="inlineStr">
        <is>
          <t>JÄMTLANDS LÄN</t>
        </is>
      </c>
      <c r="E517" t="inlineStr">
        <is>
          <t>ÖSTERSUND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58440-2025</t>
        </is>
      </c>
      <c r="B518" s="1" t="n">
        <v>45985.61524305555</v>
      </c>
      <c r="C518" s="1" t="n">
        <v>46062</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4901-2025</t>
        </is>
      </c>
      <c r="B519" s="1" t="n">
        <v>45688.67965277778</v>
      </c>
      <c r="C519" s="1" t="n">
        <v>46062</v>
      </c>
      <c r="D519" t="inlineStr">
        <is>
          <t>JÄMTLANDS LÄN</t>
        </is>
      </c>
      <c r="E519" t="inlineStr">
        <is>
          <t>ÖSTERSUND</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58354-2025</t>
        </is>
      </c>
      <c r="B520" s="1" t="n">
        <v>45985.51131944444</v>
      </c>
      <c r="C520" s="1" t="n">
        <v>46062</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58353-2025</t>
        </is>
      </c>
      <c r="B521" s="1" t="n">
        <v>45985.51128472222</v>
      </c>
      <c r="C521" s="1" t="n">
        <v>46062</v>
      </c>
      <c r="D521" t="inlineStr">
        <is>
          <t>JÄMTLANDS LÄN</t>
        </is>
      </c>
      <c r="E521" t="inlineStr">
        <is>
          <t>ÖSTERSUND</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318-2026</t>
        </is>
      </c>
      <c r="B522" s="1" t="n">
        <v>46027.57334490741</v>
      </c>
      <c r="C522" s="1" t="n">
        <v>46062</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58373-2025</t>
        </is>
      </c>
      <c r="B523" s="1" t="n">
        <v>45985.53162037037</v>
      </c>
      <c r="C523" s="1" t="n">
        <v>46062</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330-2026</t>
        </is>
      </c>
      <c r="B524" s="1" t="n">
        <v>46027.59451388889</v>
      </c>
      <c r="C524" s="1" t="n">
        <v>46062</v>
      </c>
      <c r="D524" t="inlineStr">
        <is>
          <t>JÄMTLANDS LÄN</t>
        </is>
      </c>
      <c r="E524" t="inlineStr">
        <is>
          <t>ÖSTERSUND</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17709-2024</t>
        </is>
      </c>
      <c r="B525" s="1" t="n">
        <v>45418.4843287037</v>
      </c>
      <c r="C525" s="1" t="n">
        <v>46062</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58406-2024</t>
        </is>
      </c>
      <c r="B526" s="1" t="n">
        <v>45634.70898148148</v>
      </c>
      <c r="C526" s="1" t="n">
        <v>46062</v>
      </c>
      <c r="D526" t="inlineStr">
        <is>
          <t>JÄMTLANDS LÄN</t>
        </is>
      </c>
      <c r="E526" t="inlineStr">
        <is>
          <t>ÖSTERSUND</t>
        </is>
      </c>
      <c r="G526" t="n">
        <v>3.8</v>
      </c>
      <c r="H526" t="n">
        <v>0</v>
      </c>
      <c r="I526" t="n">
        <v>0</v>
      </c>
      <c r="J526" t="n">
        <v>0</v>
      </c>
      <c r="K526" t="n">
        <v>0</v>
      </c>
      <c r="L526" t="n">
        <v>0</v>
      </c>
      <c r="M526" t="n">
        <v>0</v>
      </c>
      <c r="N526" t="n">
        <v>0</v>
      </c>
      <c r="O526" t="n">
        <v>0</v>
      </c>
      <c r="P526" t="n">
        <v>0</v>
      </c>
      <c r="Q526" t="n">
        <v>0</v>
      </c>
      <c r="R526" s="2" t="inlineStr"/>
    </row>
    <row r="527" ht="15" customHeight="1">
      <c r="A527" t="inlineStr">
        <is>
          <t>A 51826-2024</t>
        </is>
      </c>
      <c r="B527" s="1" t="n">
        <v>45607.50137731482</v>
      </c>
      <c r="C527" s="1" t="n">
        <v>46062</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58917-2025</t>
        </is>
      </c>
      <c r="B528" s="1" t="n">
        <v>45987.52949074074</v>
      </c>
      <c r="C528" s="1" t="n">
        <v>46062</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13166-2023</t>
        </is>
      </c>
      <c r="B529" s="1" t="n">
        <v>45002</v>
      </c>
      <c r="C529" s="1" t="n">
        <v>46062</v>
      </c>
      <c r="D529" t="inlineStr">
        <is>
          <t>JÄMTLANDS LÄN</t>
        </is>
      </c>
      <c r="E529" t="inlineStr">
        <is>
          <t>ÖSTERSUND</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58818-2025</t>
        </is>
      </c>
      <c r="B530" s="1" t="n">
        <v>45987.33479166667</v>
      </c>
      <c r="C530" s="1" t="n">
        <v>46062</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58824-2025</t>
        </is>
      </c>
      <c r="B531" s="1" t="n">
        <v>45987.34543981482</v>
      </c>
      <c r="C531" s="1" t="n">
        <v>46062</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58583-2025</t>
        </is>
      </c>
      <c r="B532" s="1" t="n">
        <v>45986.39024305555</v>
      </c>
      <c r="C532" s="1" t="n">
        <v>46062</v>
      </c>
      <c r="D532" t="inlineStr">
        <is>
          <t>JÄMTLANDS LÄN</t>
        </is>
      </c>
      <c r="E532" t="inlineStr">
        <is>
          <t>ÖSTERSUND</t>
        </is>
      </c>
      <c r="G532" t="n">
        <v>43.1</v>
      </c>
      <c r="H532" t="n">
        <v>0</v>
      </c>
      <c r="I532" t="n">
        <v>0</v>
      </c>
      <c r="J532" t="n">
        <v>0</v>
      </c>
      <c r="K532" t="n">
        <v>0</v>
      </c>
      <c r="L532" t="n">
        <v>0</v>
      </c>
      <c r="M532" t="n">
        <v>0</v>
      </c>
      <c r="N532" t="n">
        <v>0</v>
      </c>
      <c r="O532" t="n">
        <v>0</v>
      </c>
      <c r="P532" t="n">
        <v>0</v>
      </c>
      <c r="Q532" t="n">
        <v>0</v>
      </c>
      <c r="R532" s="2" t="inlineStr"/>
    </row>
    <row r="533" ht="15" customHeight="1">
      <c r="A533" t="inlineStr">
        <is>
          <t>A 485-2026</t>
        </is>
      </c>
      <c r="B533" s="1" t="n">
        <v>46029.41560185186</v>
      </c>
      <c r="C533" s="1" t="n">
        <v>46062</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623-2026</t>
        </is>
      </c>
      <c r="B534" s="1" t="n">
        <v>46024</v>
      </c>
      <c r="C534" s="1" t="n">
        <v>46062</v>
      </c>
      <c r="D534" t="inlineStr">
        <is>
          <t>JÄMTLANDS LÄN</t>
        </is>
      </c>
      <c r="E534" t="inlineStr">
        <is>
          <t>ÖSTERSUND</t>
        </is>
      </c>
      <c r="G534" t="n">
        <v>1.1</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46062</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8423-2023</t>
        </is>
      </c>
      <c r="B536" s="1" t="n">
        <v>44977</v>
      </c>
      <c r="C536" s="1" t="n">
        <v>46062</v>
      </c>
      <c r="D536" t="inlineStr">
        <is>
          <t>JÄMTLANDS LÄN</t>
        </is>
      </c>
      <c r="E536" t="inlineStr">
        <is>
          <t>ÖSTERSUND</t>
        </is>
      </c>
      <c r="F536" t="inlineStr">
        <is>
          <t>Övriga Aktiebolag</t>
        </is>
      </c>
      <c r="G536" t="n">
        <v>53.1</v>
      </c>
      <c r="H536" t="n">
        <v>0</v>
      </c>
      <c r="I536" t="n">
        <v>0</v>
      </c>
      <c r="J536" t="n">
        <v>0</v>
      </c>
      <c r="K536" t="n">
        <v>0</v>
      </c>
      <c r="L536" t="n">
        <v>0</v>
      </c>
      <c r="M536" t="n">
        <v>0</v>
      </c>
      <c r="N536" t="n">
        <v>0</v>
      </c>
      <c r="O536" t="n">
        <v>0</v>
      </c>
      <c r="P536" t="n">
        <v>0</v>
      </c>
      <c r="Q536" t="n">
        <v>0</v>
      </c>
      <c r="R536" s="2" t="inlineStr"/>
    </row>
    <row r="537" ht="15" customHeight="1">
      <c r="A537" t="inlineStr">
        <is>
          <t>A 59015-2025</t>
        </is>
      </c>
      <c r="B537" s="1" t="n">
        <v>45987.83457175926</v>
      </c>
      <c r="C537" s="1" t="n">
        <v>46062</v>
      </c>
      <c r="D537" t="inlineStr">
        <is>
          <t>JÄMTLANDS LÄN</t>
        </is>
      </c>
      <c r="E537" t="inlineStr">
        <is>
          <t>ÖSTERSUND</t>
        </is>
      </c>
      <c r="G537" t="n">
        <v>2.4</v>
      </c>
      <c r="H537" t="n">
        <v>0</v>
      </c>
      <c r="I537" t="n">
        <v>0</v>
      </c>
      <c r="J537" t="n">
        <v>0</v>
      </c>
      <c r="K537" t="n">
        <v>0</v>
      </c>
      <c r="L537" t="n">
        <v>0</v>
      </c>
      <c r="M537" t="n">
        <v>0</v>
      </c>
      <c r="N537" t="n">
        <v>0</v>
      </c>
      <c r="O537" t="n">
        <v>0</v>
      </c>
      <c r="P537" t="n">
        <v>0</v>
      </c>
      <c r="Q537" t="n">
        <v>0</v>
      </c>
      <c r="R537" s="2" t="inlineStr"/>
    </row>
    <row r="538" ht="15" customHeight="1">
      <c r="A538" t="inlineStr">
        <is>
          <t>A 1374-2026</t>
        </is>
      </c>
      <c r="B538" s="1" t="n">
        <v>46031.6141087963</v>
      </c>
      <c r="C538" s="1" t="n">
        <v>46062</v>
      </c>
      <c r="D538" t="inlineStr">
        <is>
          <t>JÄMTLANDS LÄN</t>
        </is>
      </c>
      <c r="E538" t="inlineStr">
        <is>
          <t>ÖSTERSUND</t>
        </is>
      </c>
      <c r="G538" t="n">
        <v>2.7</v>
      </c>
      <c r="H538" t="n">
        <v>0</v>
      </c>
      <c r="I538" t="n">
        <v>0</v>
      </c>
      <c r="J538" t="n">
        <v>0</v>
      </c>
      <c r="K538" t="n">
        <v>0</v>
      </c>
      <c r="L538" t="n">
        <v>0</v>
      </c>
      <c r="M538" t="n">
        <v>0</v>
      </c>
      <c r="N538" t="n">
        <v>0</v>
      </c>
      <c r="O538" t="n">
        <v>0</v>
      </c>
      <c r="P538" t="n">
        <v>0</v>
      </c>
      <c r="Q538" t="n">
        <v>0</v>
      </c>
      <c r="R538" s="2" t="inlineStr"/>
    </row>
    <row r="539" ht="15" customHeight="1">
      <c r="A539" t="inlineStr">
        <is>
          <t>A 14831-2025</t>
        </is>
      </c>
      <c r="B539" s="1" t="n">
        <v>45743.37109953703</v>
      </c>
      <c r="C539" s="1" t="n">
        <v>46062</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4500-2025</t>
        </is>
      </c>
      <c r="B540" s="1" t="n">
        <v>45686.6859375</v>
      </c>
      <c r="C540" s="1" t="n">
        <v>46062</v>
      </c>
      <c r="D540" t="inlineStr">
        <is>
          <t>JÄMTLANDS LÄN</t>
        </is>
      </c>
      <c r="E540" t="inlineStr">
        <is>
          <t>ÖSTERSUND</t>
        </is>
      </c>
      <c r="G540" t="n">
        <v>28.4</v>
      </c>
      <c r="H540" t="n">
        <v>0</v>
      </c>
      <c r="I540" t="n">
        <v>0</v>
      </c>
      <c r="J540" t="n">
        <v>0</v>
      </c>
      <c r="K540" t="n">
        <v>0</v>
      </c>
      <c r="L540" t="n">
        <v>0</v>
      </c>
      <c r="M540" t="n">
        <v>0</v>
      </c>
      <c r="N540" t="n">
        <v>0</v>
      </c>
      <c r="O540" t="n">
        <v>0</v>
      </c>
      <c r="P540" t="n">
        <v>0</v>
      </c>
      <c r="Q540" t="n">
        <v>0</v>
      </c>
      <c r="R540" s="2" t="inlineStr"/>
    </row>
    <row r="541" ht="15" customHeight="1">
      <c r="A541" t="inlineStr">
        <is>
          <t>A 59007-2025</t>
        </is>
      </c>
      <c r="B541" s="1" t="n">
        <v>45987.69552083333</v>
      </c>
      <c r="C541" s="1" t="n">
        <v>46062</v>
      </c>
      <c r="D541" t="inlineStr">
        <is>
          <t>JÄMTLANDS LÄN</t>
        </is>
      </c>
      <c r="E541" t="inlineStr">
        <is>
          <t>ÖSTERSUND</t>
        </is>
      </c>
      <c r="G541" t="n">
        <v>4</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46062</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59619-2025</t>
        </is>
      </c>
      <c r="B543" s="1" t="n">
        <v>45992.38109953704</v>
      </c>
      <c r="C543" s="1" t="n">
        <v>46062</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59612-2025</t>
        </is>
      </c>
      <c r="B544" s="1" t="n">
        <v>45992.3706712963</v>
      </c>
      <c r="C544" s="1" t="n">
        <v>46062</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59687-2025</t>
        </is>
      </c>
      <c r="B545" s="1" t="n">
        <v>45992.47729166667</v>
      </c>
      <c r="C545" s="1" t="n">
        <v>46062</v>
      </c>
      <c r="D545" t="inlineStr">
        <is>
          <t>JÄMTLANDS LÄN</t>
        </is>
      </c>
      <c r="E545" t="inlineStr">
        <is>
          <t>ÖSTERSUND</t>
        </is>
      </c>
      <c r="G545" t="n">
        <v>5</v>
      </c>
      <c r="H545" t="n">
        <v>0</v>
      </c>
      <c r="I545" t="n">
        <v>0</v>
      </c>
      <c r="J545" t="n">
        <v>0</v>
      </c>
      <c r="K545" t="n">
        <v>0</v>
      </c>
      <c r="L545" t="n">
        <v>0</v>
      </c>
      <c r="M545" t="n">
        <v>0</v>
      </c>
      <c r="N545" t="n">
        <v>0</v>
      </c>
      <c r="O545" t="n">
        <v>0</v>
      </c>
      <c r="P545" t="n">
        <v>0</v>
      </c>
      <c r="Q545" t="n">
        <v>0</v>
      </c>
      <c r="R545" s="2" t="inlineStr"/>
    </row>
    <row r="546" ht="15" customHeight="1">
      <c r="A546" t="inlineStr">
        <is>
          <t>A 42151-2023</t>
        </is>
      </c>
      <c r="B546" s="1" t="n">
        <v>45177.93612268518</v>
      </c>
      <c r="C546" s="1" t="n">
        <v>46062</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59613-2025</t>
        </is>
      </c>
      <c r="B547" s="1" t="n">
        <v>45992.37172453704</v>
      </c>
      <c r="C547" s="1" t="n">
        <v>46062</v>
      </c>
      <c r="D547" t="inlineStr">
        <is>
          <t>JÄMTLANDS LÄN</t>
        </is>
      </c>
      <c r="E547" t="inlineStr">
        <is>
          <t>ÖSTERSUND</t>
        </is>
      </c>
      <c r="G547" t="n">
        <v>2.1</v>
      </c>
      <c r="H547" t="n">
        <v>0</v>
      </c>
      <c r="I547" t="n">
        <v>0</v>
      </c>
      <c r="J547" t="n">
        <v>0</v>
      </c>
      <c r="K547" t="n">
        <v>0</v>
      </c>
      <c r="L547" t="n">
        <v>0</v>
      </c>
      <c r="M547" t="n">
        <v>0</v>
      </c>
      <c r="N547" t="n">
        <v>0</v>
      </c>
      <c r="O547" t="n">
        <v>0</v>
      </c>
      <c r="P547" t="n">
        <v>0</v>
      </c>
      <c r="Q547" t="n">
        <v>0</v>
      </c>
      <c r="R547" s="2" t="inlineStr"/>
    </row>
    <row r="548" ht="15" customHeight="1">
      <c r="A548" t="inlineStr">
        <is>
          <t>A 1552-2026</t>
        </is>
      </c>
      <c r="B548" s="1" t="n">
        <v>46034.38729166667</v>
      </c>
      <c r="C548" s="1" t="n">
        <v>46062</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46062</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29128-2022</t>
        </is>
      </c>
      <c r="B550" s="1" t="n">
        <v>44750</v>
      </c>
      <c r="C550" s="1" t="n">
        <v>46062</v>
      </c>
      <c r="D550" t="inlineStr">
        <is>
          <t>JÄMTLANDS LÄN</t>
        </is>
      </c>
      <c r="E550" t="inlineStr">
        <is>
          <t>ÖSTERSUND</t>
        </is>
      </c>
      <c r="G550" t="n">
        <v>3</v>
      </c>
      <c r="H550" t="n">
        <v>0</v>
      </c>
      <c r="I550" t="n">
        <v>0</v>
      </c>
      <c r="J550" t="n">
        <v>0</v>
      </c>
      <c r="K550" t="n">
        <v>0</v>
      </c>
      <c r="L550" t="n">
        <v>0</v>
      </c>
      <c r="M550" t="n">
        <v>0</v>
      </c>
      <c r="N550" t="n">
        <v>0</v>
      </c>
      <c r="O550" t="n">
        <v>0</v>
      </c>
      <c r="P550" t="n">
        <v>0</v>
      </c>
      <c r="Q550" t="n">
        <v>0</v>
      </c>
      <c r="R550" s="2" t="inlineStr"/>
    </row>
    <row r="551" ht="15" customHeight="1">
      <c r="A551" t="inlineStr">
        <is>
          <t>A 2700-2026</t>
        </is>
      </c>
      <c r="B551" s="1" t="n">
        <v>46037.6787962963</v>
      </c>
      <c r="C551" s="1" t="n">
        <v>46062</v>
      </c>
      <c r="D551" t="inlineStr">
        <is>
          <t>JÄMTLANDS LÄN</t>
        </is>
      </c>
      <c r="E551" t="inlineStr">
        <is>
          <t>ÖSTERSUND</t>
        </is>
      </c>
      <c r="G551" t="n">
        <v>8.6</v>
      </c>
      <c r="H551" t="n">
        <v>0</v>
      </c>
      <c r="I551" t="n">
        <v>0</v>
      </c>
      <c r="J551" t="n">
        <v>0</v>
      </c>
      <c r="K551" t="n">
        <v>0</v>
      </c>
      <c r="L551" t="n">
        <v>0</v>
      </c>
      <c r="M551" t="n">
        <v>0</v>
      </c>
      <c r="N551" t="n">
        <v>0</v>
      </c>
      <c r="O551" t="n">
        <v>0</v>
      </c>
      <c r="P551" t="n">
        <v>0</v>
      </c>
      <c r="Q551" t="n">
        <v>0</v>
      </c>
      <c r="R551" s="2" t="inlineStr"/>
    </row>
    <row r="552" ht="15" customHeight="1">
      <c r="A552" t="inlineStr">
        <is>
          <t>A 2702-2026</t>
        </is>
      </c>
      <c r="B552" s="1" t="n">
        <v>46037.68489583334</v>
      </c>
      <c r="C552" s="1" t="n">
        <v>46062</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14118-2025</t>
        </is>
      </c>
      <c r="B553" s="1" t="n">
        <v>45740.46325231482</v>
      </c>
      <c r="C553" s="1" t="n">
        <v>46062</v>
      </c>
      <c r="D553" t="inlineStr">
        <is>
          <t>JÄMTLANDS LÄN</t>
        </is>
      </c>
      <c r="E553" t="inlineStr">
        <is>
          <t>ÖSTERSUND</t>
        </is>
      </c>
      <c r="G553" t="n">
        <v>3.6</v>
      </c>
      <c r="H553" t="n">
        <v>0</v>
      </c>
      <c r="I553" t="n">
        <v>0</v>
      </c>
      <c r="J553" t="n">
        <v>0</v>
      </c>
      <c r="K553" t="n">
        <v>0</v>
      </c>
      <c r="L553" t="n">
        <v>0</v>
      </c>
      <c r="M553" t="n">
        <v>0</v>
      </c>
      <c r="N553" t="n">
        <v>0</v>
      </c>
      <c r="O553" t="n">
        <v>0</v>
      </c>
      <c r="P553" t="n">
        <v>0</v>
      </c>
      <c r="Q553" t="n">
        <v>0</v>
      </c>
      <c r="R553" s="2" t="inlineStr"/>
    </row>
    <row r="554" ht="15" customHeight="1">
      <c r="A554" t="inlineStr">
        <is>
          <t>A 44489-2024</t>
        </is>
      </c>
      <c r="B554" s="1" t="n">
        <v>45574.38943287037</v>
      </c>
      <c r="C554" s="1" t="n">
        <v>46062</v>
      </c>
      <c r="D554" t="inlineStr">
        <is>
          <t>JÄMTLANDS LÄN</t>
        </is>
      </c>
      <c r="E554" t="inlineStr">
        <is>
          <t>ÖSTERSUND</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1026-2026</t>
        </is>
      </c>
      <c r="B555" s="1" t="n">
        <v>46030.61326388889</v>
      </c>
      <c r="C555" s="1" t="n">
        <v>46062</v>
      </c>
      <c r="D555" t="inlineStr">
        <is>
          <t>JÄMTLANDS LÄN</t>
        </is>
      </c>
      <c r="E555" t="inlineStr">
        <is>
          <t>ÖSTERSUND</t>
        </is>
      </c>
      <c r="G555" t="n">
        <v>6.6</v>
      </c>
      <c r="H555" t="n">
        <v>0</v>
      </c>
      <c r="I555" t="n">
        <v>0</v>
      </c>
      <c r="J555" t="n">
        <v>0</v>
      </c>
      <c r="K555" t="n">
        <v>0</v>
      </c>
      <c r="L555" t="n">
        <v>0</v>
      </c>
      <c r="M555" t="n">
        <v>0</v>
      </c>
      <c r="N555" t="n">
        <v>0</v>
      </c>
      <c r="O555" t="n">
        <v>0</v>
      </c>
      <c r="P555" t="n">
        <v>0</v>
      </c>
      <c r="Q555" t="n">
        <v>0</v>
      </c>
      <c r="R555" s="2" t="inlineStr"/>
    </row>
    <row r="556" ht="15" customHeight="1">
      <c r="A556" t="inlineStr">
        <is>
          <t>A 60537-2025</t>
        </is>
      </c>
      <c r="B556" s="1" t="n">
        <v>45995</v>
      </c>
      <c r="C556" s="1" t="n">
        <v>46062</v>
      </c>
      <c r="D556" t="inlineStr">
        <is>
          <t>JÄMTLANDS LÄN</t>
        </is>
      </c>
      <c r="E556" t="inlineStr">
        <is>
          <t>ÖSTERSUND</t>
        </is>
      </c>
      <c r="G556" t="n">
        <v>4.7</v>
      </c>
      <c r="H556" t="n">
        <v>0</v>
      </c>
      <c r="I556" t="n">
        <v>0</v>
      </c>
      <c r="J556" t="n">
        <v>0</v>
      </c>
      <c r="K556" t="n">
        <v>0</v>
      </c>
      <c r="L556" t="n">
        <v>0</v>
      </c>
      <c r="M556" t="n">
        <v>0</v>
      </c>
      <c r="N556" t="n">
        <v>0</v>
      </c>
      <c r="O556" t="n">
        <v>0</v>
      </c>
      <c r="P556" t="n">
        <v>0</v>
      </c>
      <c r="Q556" t="n">
        <v>0</v>
      </c>
      <c r="R556" s="2" t="inlineStr"/>
    </row>
    <row r="557" ht="15" customHeight="1">
      <c r="A557" t="inlineStr">
        <is>
          <t>A 2694-2026</t>
        </is>
      </c>
      <c r="B557" s="1" t="n">
        <v>46037.6703125</v>
      </c>
      <c r="C557" s="1" t="n">
        <v>46062</v>
      </c>
      <c r="D557" t="inlineStr">
        <is>
          <t>JÄMTLANDS LÄN</t>
        </is>
      </c>
      <c r="E557" t="inlineStr">
        <is>
          <t>ÖSTERSUND</t>
        </is>
      </c>
      <c r="G557" t="n">
        <v>3</v>
      </c>
      <c r="H557" t="n">
        <v>0</v>
      </c>
      <c r="I557" t="n">
        <v>0</v>
      </c>
      <c r="J557" t="n">
        <v>0</v>
      </c>
      <c r="K557" t="n">
        <v>0</v>
      </c>
      <c r="L557" t="n">
        <v>0</v>
      </c>
      <c r="M557" t="n">
        <v>0</v>
      </c>
      <c r="N557" t="n">
        <v>0</v>
      </c>
      <c r="O557" t="n">
        <v>0</v>
      </c>
      <c r="P557" t="n">
        <v>0</v>
      </c>
      <c r="Q557" t="n">
        <v>0</v>
      </c>
      <c r="R557" s="2" t="inlineStr"/>
    </row>
    <row r="558" ht="15" customHeight="1">
      <c r="A558" t="inlineStr">
        <is>
          <t>A 7549-2025</t>
        </is>
      </c>
      <c r="B558" s="1" t="n">
        <v>45705.57454861111</v>
      </c>
      <c r="C558" s="1" t="n">
        <v>46062</v>
      </c>
      <c r="D558" t="inlineStr">
        <is>
          <t>JÄMTLANDS LÄN</t>
        </is>
      </c>
      <c r="E558" t="inlineStr">
        <is>
          <t>ÖSTERSUND</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1901-2026</t>
        </is>
      </c>
      <c r="B559" s="1" t="n">
        <v>46032</v>
      </c>
      <c r="C559" s="1" t="n">
        <v>46062</v>
      </c>
      <c r="D559" t="inlineStr">
        <is>
          <t>JÄMTLANDS LÄN</t>
        </is>
      </c>
      <c r="E559" t="inlineStr">
        <is>
          <t>ÖSTERSUND</t>
        </is>
      </c>
      <c r="G559" t="n">
        <v>6.4</v>
      </c>
      <c r="H559" t="n">
        <v>0</v>
      </c>
      <c r="I559" t="n">
        <v>0</v>
      </c>
      <c r="J559" t="n">
        <v>0</v>
      </c>
      <c r="K559" t="n">
        <v>0</v>
      </c>
      <c r="L559" t="n">
        <v>0</v>
      </c>
      <c r="M559" t="n">
        <v>0</v>
      </c>
      <c r="N559" t="n">
        <v>0</v>
      </c>
      <c r="O559" t="n">
        <v>0</v>
      </c>
      <c r="P559" t="n">
        <v>0</v>
      </c>
      <c r="Q559" t="n">
        <v>0</v>
      </c>
      <c r="R559" s="2" t="inlineStr"/>
    </row>
    <row r="560" ht="15" customHeight="1">
      <c r="A560" t="inlineStr">
        <is>
          <t>A 2974-2026</t>
        </is>
      </c>
      <c r="B560" s="1" t="n">
        <v>46038.62193287037</v>
      </c>
      <c r="C560" s="1" t="n">
        <v>46062</v>
      </c>
      <c r="D560" t="inlineStr">
        <is>
          <t>JÄMTLANDS LÄN</t>
        </is>
      </c>
      <c r="E560" t="inlineStr">
        <is>
          <t>ÖSTERSUND</t>
        </is>
      </c>
      <c r="G560" t="n">
        <v>4.5</v>
      </c>
      <c r="H560" t="n">
        <v>0</v>
      </c>
      <c r="I560" t="n">
        <v>0</v>
      </c>
      <c r="J560" t="n">
        <v>0</v>
      </c>
      <c r="K560" t="n">
        <v>0</v>
      </c>
      <c r="L560" t="n">
        <v>0</v>
      </c>
      <c r="M560" t="n">
        <v>0</v>
      </c>
      <c r="N560" t="n">
        <v>0</v>
      </c>
      <c r="O560" t="n">
        <v>0</v>
      </c>
      <c r="P560" t="n">
        <v>0</v>
      </c>
      <c r="Q560" t="n">
        <v>0</v>
      </c>
      <c r="R560" s="2" t="inlineStr"/>
    </row>
    <row r="561" ht="15" customHeight="1">
      <c r="A561" t="inlineStr">
        <is>
          <t>A 721-2026</t>
        </is>
      </c>
      <c r="B561" s="1" t="n">
        <v>46029</v>
      </c>
      <c r="C561" s="1" t="n">
        <v>46062</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14523-2023</t>
        </is>
      </c>
      <c r="B562" s="1" t="n">
        <v>45012</v>
      </c>
      <c r="C562" s="1" t="n">
        <v>46062</v>
      </c>
      <c r="D562" t="inlineStr">
        <is>
          <t>JÄMTLANDS LÄN</t>
        </is>
      </c>
      <c r="E562" t="inlineStr">
        <is>
          <t>ÖSTERSUND</t>
        </is>
      </c>
      <c r="G562" t="n">
        <v>4.5</v>
      </c>
      <c r="H562" t="n">
        <v>0</v>
      </c>
      <c r="I562" t="n">
        <v>0</v>
      </c>
      <c r="J562" t="n">
        <v>0</v>
      </c>
      <c r="K562" t="n">
        <v>0</v>
      </c>
      <c r="L562" t="n">
        <v>0</v>
      </c>
      <c r="M562" t="n">
        <v>0</v>
      </c>
      <c r="N562" t="n">
        <v>0</v>
      </c>
      <c r="O562" t="n">
        <v>0</v>
      </c>
      <c r="P562" t="n">
        <v>0</v>
      </c>
      <c r="Q562" t="n">
        <v>0</v>
      </c>
      <c r="R562" s="2" t="inlineStr"/>
    </row>
    <row r="563" ht="15" customHeight="1">
      <c r="A563" t="inlineStr">
        <is>
          <t>A 2986-2026</t>
        </is>
      </c>
      <c r="B563" s="1" t="n">
        <v>46038.6322337963</v>
      </c>
      <c r="C563" s="1" t="n">
        <v>46062</v>
      </c>
      <c r="D563" t="inlineStr">
        <is>
          <t>JÄMTLANDS LÄN</t>
        </is>
      </c>
      <c r="E563" t="inlineStr">
        <is>
          <t>ÖSTERSUND</t>
        </is>
      </c>
      <c r="G563" t="n">
        <v>8.6</v>
      </c>
      <c r="H563" t="n">
        <v>0</v>
      </c>
      <c r="I563" t="n">
        <v>0</v>
      </c>
      <c r="J563" t="n">
        <v>0</v>
      </c>
      <c r="K563" t="n">
        <v>0</v>
      </c>
      <c r="L563" t="n">
        <v>0</v>
      </c>
      <c r="M563" t="n">
        <v>0</v>
      </c>
      <c r="N563" t="n">
        <v>0</v>
      </c>
      <c r="O563" t="n">
        <v>0</v>
      </c>
      <c r="P563" t="n">
        <v>0</v>
      </c>
      <c r="Q563" t="n">
        <v>0</v>
      </c>
      <c r="R563" s="2" t="inlineStr"/>
    </row>
    <row r="564" ht="15" customHeight="1">
      <c r="A564" t="inlineStr">
        <is>
          <t>A 3197-2026</t>
        </is>
      </c>
      <c r="B564" s="1" t="n">
        <v>46041.47474537037</v>
      </c>
      <c r="C564" s="1" t="n">
        <v>46062</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1159-2024</t>
        </is>
      </c>
      <c r="B565" s="1" t="n">
        <v>45302.52006944444</v>
      </c>
      <c r="C565" s="1" t="n">
        <v>46062</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60048-2025</t>
        </is>
      </c>
      <c r="B566" s="1" t="n">
        <v>45993</v>
      </c>
      <c r="C566" s="1" t="n">
        <v>46062</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2971-2026</t>
        </is>
      </c>
      <c r="B567" s="1" t="n">
        <v>46038.62047453703</v>
      </c>
      <c r="C567" s="1" t="n">
        <v>46062</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2988-2026</t>
        </is>
      </c>
      <c r="B568" s="1" t="n">
        <v>46038.6360300926</v>
      </c>
      <c r="C568" s="1" t="n">
        <v>46062</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15669-2025</t>
        </is>
      </c>
      <c r="B569" s="1" t="n">
        <v>45748.4396412037</v>
      </c>
      <c r="C569" s="1" t="n">
        <v>46062</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61222-2025</t>
        </is>
      </c>
      <c r="B570" s="1" t="n">
        <v>46000.62851851852</v>
      </c>
      <c r="C570" s="1" t="n">
        <v>46062</v>
      </c>
      <c r="D570" t="inlineStr">
        <is>
          <t>JÄMTLANDS LÄN</t>
        </is>
      </c>
      <c r="E570" t="inlineStr">
        <is>
          <t>ÖSTERSUND</t>
        </is>
      </c>
      <c r="G570" t="n">
        <v>9.1</v>
      </c>
      <c r="H570" t="n">
        <v>0</v>
      </c>
      <c r="I570" t="n">
        <v>0</v>
      </c>
      <c r="J570" t="n">
        <v>0</v>
      </c>
      <c r="K570" t="n">
        <v>0</v>
      </c>
      <c r="L570" t="n">
        <v>0</v>
      </c>
      <c r="M570" t="n">
        <v>0</v>
      </c>
      <c r="N570" t="n">
        <v>0</v>
      </c>
      <c r="O570" t="n">
        <v>0</v>
      </c>
      <c r="P570" t="n">
        <v>0</v>
      </c>
      <c r="Q570" t="n">
        <v>0</v>
      </c>
      <c r="R570" s="2" t="inlineStr"/>
    </row>
    <row r="571" ht="15" customHeight="1">
      <c r="A571" t="inlineStr">
        <is>
          <t>A 61235-2025</t>
        </is>
      </c>
      <c r="B571" s="1" t="n">
        <v>46000.63969907408</v>
      </c>
      <c r="C571" s="1" t="n">
        <v>46062</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61267-2025</t>
        </is>
      </c>
      <c r="B572" s="1" t="n">
        <v>46000.67793981481</v>
      </c>
      <c r="C572" s="1" t="n">
        <v>46062</v>
      </c>
      <c r="D572" t="inlineStr">
        <is>
          <t>JÄMTLANDS LÄN</t>
        </is>
      </c>
      <c r="E572" t="inlineStr">
        <is>
          <t>ÖSTERSUND</t>
        </is>
      </c>
      <c r="G572" t="n">
        <v>3.6</v>
      </c>
      <c r="H572" t="n">
        <v>0</v>
      </c>
      <c r="I572" t="n">
        <v>0</v>
      </c>
      <c r="J572" t="n">
        <v>0</v>
      </c>
      <c r="K572" t="n">
        <v>0</v>
      </c>
      <c r="L572" t="n">
        <v>0</v>
      </c>
      <c r="M572" t="n">
        <v>0</v>
      </c>
      <c r="N572" t="n">
        <v>0</v>
      </c>
      <c r="O572" t="n">
        <v>0</v>
      </c>
      <c r="P572" t="n">
        <v>0</v>
      </c>
      <c r="Q572" t="n">
        <v>0</v>
      </c>
      <c r="R572" s="2" t="inlineStr"/>
    </row>
    <row r="573" ht="15" customHeight="1">
      <c r="A573" t="inlineStr">
        <is>
          <t>A 3122-2025</t>
        </is>
      </c>
      <c r="B573" s="1" t="n">
        <v>45678</v>
      </c>
      <c r="C573" s="1" t="n">
        <v>46062</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60575-2022</t>
        </is>
      </c>
      <c r="B574" s="1" t="n">
        <v>44911.5662037037</v>
      </c>
      <c r="C574" s="1" t="n">
        <v>46062</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61427-2025</t>
        </is>
      </c>
      <c r="B575" s="1" t="n">
        <v>46000</v>
      </c>
      <c r="C575" s="1" t="n">
        <v>46062</v>
      </c>
      <c r="D575" t="inlineStr">
        <is>
          <t>JÄMTLANDS LÄN</t>
        </is>
      </c>
      <c r="E575" t="inlineStr">
        <is>
          <t>ÖSTERSUND</t>
        </is>
      </c>
      <c r="G575" t="n">
        <v>0.3</v>
      </c>
      <c r="H575" t="n">
        <v>0</v>
      </c>
      <c r="I575" t="n">
        <v>0</v>
      </c>
      <c r="J575" t="n">
        <v>0</v>
      </c>
      <c r="K575" t="n">
        <v>0</v>
      </c>
      <c r="L575" t="n">
        <v>0</v>
      </c>
      <c r="M575" t="n">
        <v>0</v>
      </c>
      <c r="N575" t="n">
        <v>0</v>
      </c>
      <c r="O575" t="n">
        <v>0</v>
      </c>
      <c r="P575" t="n">
        <v>0</v>
      </c>
      <c r="Q575" t="n">
        <v>0</v>
      </c>
      <c r="R575" s="2" t="inlineStr"/>
    </row>
    <row r="576" ht="15" customHeight="1">
      <c r="A576" t="inlineStr">
        <is>
          <t>A 53060-2024</t>
        </is>
      </c>
      <c r="B576" s="1" t="n">
        <v>45611.46912037037</v>
      </c>
      <c r="C576" s="1" t="n">
        <v>46062</v>
      </c>
      <c r="D576" t="inlineStr">
        <is>
          <t>JÄMTLANDS LÄN</t>
        </is>
      </c>
      <c r="E576" t="inlineStr">
        <is>
          <t>ÖSTERSUND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61330-2025</t>
        </is>
      </c>
      <c r="B577" s="1" t="n">
        <v>46001</v>
      </c>
      <c r="C577" s="1" t="n">
        <v>46062</v>
      </c>
      <c r="D577" t="inlineStr">
        <is>
          <t>JÄMTLANDS LÄN</t>
        </is>
      </c>
      <c r="E577" t="inlineStr">
        <is>
          <t>ÖSTERSUND</t>
        </is>
      </c>
      <c r="G577" t="n">
        <v>4.5</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46062</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4406-2026</t>
        </is>
      </c>
      <c r="B579" s="1" t="n">
        <v>46045.59430555555</v>
      </c>
      <c r="C579" s="1" t="n">
        <v>46062</v>
      </c>
      <c r="D579" t="inlineStr">
        <is>
          <t>JÄMTLANDS LÄN</t>
        </is>
      </c>
      <c r="E579" t="inlineStr">
        <is>
          <t>ÖSTERSUND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54237-2024</t>
        </is>
      </c>
      <c r="B580" s="1" t="n">
        <v>45616.67833333334</v>
      </c>
      <c r="C580" s="1" t="n">
        <v>46062</v>
      </c>
      <c r="D580" t="inlineStr">
        <is>
          <t>JÄMTLANDS LÄN</t>
        </is>
      </c>
      <c r="E580" t="inlineStr">
        <is>
          <t>ÖSTERSUND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61836-2025</t>
        </is>
      </c>
      <c r="B581" s="1" t="n">
        <v>46003</v>
      </c>
      <c r="C581" s="1" t="n">
        <v>46062</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4294-2026</t>
        </is>
      </c>
      <c r="B582" s="1" t="n">
        <v>46045.41643518519</v>
      </c>
      <c r="C582" s="1" t="n">
        <v>46062</v>
      </c>
      <c r="D582" t="inlineStr">
        <is>
          <t>JÄMTLANDS LÄN</t>
        </is>
      </c>
      <c r="E582" t="inlineStr">
        <is>
          <t>ÖSTERSUND</t>
        </is>
      </c>
      <c r="G582" t="n">
        <v>21.6</v>
      </c>
      <c r="H582" t="n">
        <v>0</v>
      </c>
      <c r="I582" t="n">
        <v>0</v>
      </c>
      <c r="J582" t="n">
        <v>0</v>
      </c>
      <c r="K582" t="n">
        <v>0</v>
      </c>
      <c r="L582" t="n">
        <v>0</v>
      </c>
      <c r="M582" t="n">
        <v>0</v>
      </c>
      <c r="N582" t="n">
        <v>0</v>
      </c>
      <c r="O582" t="n">
        <v>0</v>
      </c>
      <c r="P582" t="n">
        <v>0</v>
      </c>
      <c r="Q582" t="n">
        <v>0</v>
      </c>
      <c r="R582" s="2" t="inlineStr"/>
    </row>
    <row r="583" ht="15" customHeight="1">
      <c r="A583" t="inlineStr">
        <is>
          <t>A 296-2023</t>
        </is>
      </c>
      <c r="B583" s="1" t="n">
        <v>44922</v>
      </c>
      <c r="C583" s="1" t="n">
        <v>46062</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17732-2022</t>
        </is>
      </c>
      <c r="B584" s="1" t="n">
        <v>44680.92873842592</v>
      </c>
      <c r="C584" s="1" t="n">
        <v>46062</v>
      </c>
      <c r="D584" t="inlineStr">
        <is>
          <t>JÄMTLANDS LÄN</t>
        </is>
      </c>
      <c r="E584" t="inlineStr">
        <is>
          <t>ÖSTERSUND</t>
        </is>
      </c>
      <c r="G584" t="n">
        <v>5.4</v>
      </c>
      <c r="H584" t="n">
        <v>0</v>
      </c>
      <c r="I584" t="n">
        <v>0</v>
      </c>
      <c r="J584" t="n">
        <v>0</v>
      </c>
      <c r="K584" t="n">
        <v>0</v>
      </c>
      <c r="L584" t="n">
        <v>0</v>
      </c>
      <c r="M584" t="n">
        <v>0</v>
      </c>
      <c r="N584" t="n">
        <v>0</v>
      </c>
      <c r="O584" t="n">
        <v>0</v>
      </c>
      <c r="P584" t="n">
        <v>0</v>
      </c>
      <c r="Q584" t="n">
        <v>0</v>
      </c>
      <c r="R584" s="2" t="inlineStr"/>
    </row>
    <row r="585" ht="15" customHeight="1">
      <c r="A585" t="inlineStr">
        <is>
          <t>A 61985-2025</t>
        </is>
      </c>
      <c r="B585" s="1" t="n">
        <v>46003.62509259259</v>
      </c>
      <c r="C585" s="1" t="n">
        <v>46062</v>
      </c>
      <c r="D585" t="inlineStr">
        <is>
          <t>JÄMTLANDS LÄN</t>
        </is>
      </c>
      <c r="E585" t="inlineStr">
        <is>
          <t>ÖSTERSUND</t>
        </is>
      </c>
      <c r="G585" t="n">
        <v>4.2</v>
      </c>
      <c r="H585" t="n">
        <v>0</v>
      </c>
      <c r="I585" t="n">
        <v>0</v>
      </c>
      <c r="J585" t="n">
        <v>0</v>
      </c>
      <c r="K585" t="n">
        <v>0</v>
      </c>
      <c r="L585" t="n">
        <v>0</v>
      </c>
      <c r="M585" t="n">
        <v>0</v>
      </c>
      <c r="N585" t="n">
        <v>0</v>
      </c>
      <c r="O585" t="n">
        <v>0</v>
      </c>
      <c r="P585" t="n">
        <v>0</v>
      </c>
      <c r="Q585" t="n">
        <v>0</v>
      </c>
      <c r="R585" s="2" t="inlineStr"/>
    </row>
    <row r="586" ht="15" customHeight="1">
      <c r="A586" t="inlineStr">
        <is>
          <t>A 4423-2026</t>
        </is>
      </c>
      <c r="B586" s="1" t="n">
        <v>46045.61509259259</v>
      </c>
      <c r="C586" s="1" t="n">
        <v>46062</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61944-2025</t>
        </is>
      </c>
      <c r="B587" s="1" t="n">
        <v>46003.56467592593</v>
      </c>
      <c r="C587" s="1" t="n">
        <v>46062</v>
      </c>
      <c r="D587" t="inlineStr">
        <is>
          <t>JÄMTLANDS LÄN</t>
        </is>
      </c>
      <c r="E587" t="inlineStr">
        <is>
          <t>ÖSTERSUND</t>
        </is>
      </c>
      <c r="G587" t="n">
        <v>0.8</v>
      </c>
      <c r="H587" t="n">
        <v>0</v>
      </c>
      <c r="I587" t="n">
        <v>0</v>
      </c>
      <c r="J587" t="n">
        <v>0</v>
      </c>
      <c r="K587" t="n">
        <v>0</v>
      </c>
      <c r="L587" t="n">
        <v>0</v>
      </c>
      <c r="M587" t="n">
        <v>0</v>
      </c>
      <c r="N587" t="n">
        <v>0</v>
      </c>
      <c r="O587" t="n">
        <v>0</v>
      </c>
      <c r="P587" t="n">
        <v>0</v>
      </c>
      <c r="Q587" t="n">
        <v>0</v>
      </c>
      <c r="R587" s="2" t="inlineStr"/>
    </row>
    <row r="588" ht="15" customHeight="1">
      <c r="A588" t="inlineStr">
        <is>
          <t>A 61964-2025</t>
        </is>
      </c>
      <c r="B588" s="1" t="n">
        <v>46003</v>
      </c>
      <c r="C588" s="1" t="n">
        <v>46062</v>
      </c>
      <c r="D588" t="inlineStr">
        <is>
          <t>JÄMTLANDS LÄN</t>
        </is>
      </c>
      <c r="E588" t="inlineStr">
        <is>
          <t>ÖSTERSUND</t>
        </is>
      </c>
      <c r="G588" t="n">
        <v>16.5</v>
      </c>
      <c r="H588" t="n">
        <v>0</v>
      </c>
      <c r="I588" t="n">
        <v>0</v>
      </c>
      <c r="J588" t="n">
        <v>0</v>
      </c>
      <c r="K588" t="n">
        <v>0</v>
      </c>
      <c r="L588" t="n">
        <v>0</v>
      </c>
      <c r="M588" t="n">
        <v>0</v>
      </c>
      <c r="N588" t="n">
        <v>0</v>
      </c>
      <c r="O588" t="n">
        <v>0</v>
      </c>
      <c r="P588" t="n">
        <v>0</v>
      </c>
      <c r="Q588" t="n">
        <v>0</v>
      </c>
      <c r="R588" s="2" t="inlineStr"/>
    </row>
    <row r="589" ht="15" customHeight="1">
      <c r="A589" t="inlineStr">
        <is>
          <t>A 61611-2025</t>
        </is>
      </c>
      <c r="B589" s="1" t="n">
        <v>46002</v>
      </c>
      <c r="C589" s="1" t="n">
        <v>46062</v>
      </c>
      <c r="D589" t="inlineStr">
        <is>
          <t>JÄMTLANDS LÄN</t>
        </is>
      </c>
      <c r="E589" t="inlineStr">
        <is>
          <t>ÖSTERSUND</t>
        </is>
      </c>
      <c r="G589" t="n">
        <v>5</v>
      </c>
      <c r="H589" t="n">
        <v>0</v>
      </c>
      <c r="I589" t="n">
        <v>0</v>
      </c>
      <c r="J589" t="n">
        <v>0</v>
      </c>
      <c r="K589" t="n">
        <v>0</v>
      </c>
      <c r="L589" t="n">
        <v>0</v>
      </c>
      <c r="M589" t="n">
        <v>0</v>
      </c>
      <c r="N589" t="n">
        <v>0</v>
      </c>
      <c r="O589" t="n">
        <v>0</v>
      </c>
      <c r="P589" t="n">
        <v>0</v>
      </c>
      <c r="Q589" t="n">
        <v>0</v>
      </c>
      <c r="R589" s="2" t="inlineStr"/>
    </row>
    <row r="590" ht="15" customHeight="1">
      <c r="A590" t="inlineStr">
        <is>
          <t>A 61982-2025</t>
        </is>
      </c>
      <c r="B590" s="1" t="n">
        <v>46003.6159375</v>
      </c>
      <c r="C590" s="1" t="n">
        <v>46062</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61849-2025</t>
        </is>
      </c>
      <c r="B591" s="1" t="n">
        <v>46003.38026620371</v>
      </c>
      <c r="C591" s="1" t="n">
        <v>46062</v>
      </c>
      <c r="D591" t="inlineStr">
        <is>
          <t>JÄMTLANDS LÄN</t>
        </is>
      </c>
      <c r="E591" t="inlineStr">
        <is>
          <t>ÖSTERSUND</t>
        </is>
      </c>
      <c r="G591" t="n">
        <v>5.5</v>
      </c>
      <c r="H591" t="n">
        <v>0</v>
      </c>
      <c r="I591" t="n">
        <v>0</v>
      </c>
      <c r="J591" t="n">
        <v>0</v>
      </c>
      <c r="K591" t="n">
        <v>0</v>
      </c>
      <c r="L591" t="n">
        <v>0</v>
      </c>
      <c r="M591" t="n">
        <v>0</v>
      </c>
      <c r="N591" t="n">
        <v>0</v>
      </c>
      <c r="O591" t="n">
        <v>0</v>
      </c>
      <c r="P591" t="n">
        <v>0</v>
      </c>
      <c r="Q591" t="n">
        <v>0</v>
      </c>
      <c r="R591" s="2" t="inlineStr"/>
    </row>
    <row r="592" ht="15" customHeight="1">
      <c r="A592" t="inlineStr">
        <is>
          <t>A 4382-2026</t>
        </is>
      </c>
      <c r="B592" s="1" t="n">
        <v>46045.56253472222</v>
      </c>
      <c r="C592" s="1" t="n">
        <v>46062</v>
      </c>
      <c r="D592" t="inlineStr">
        <is>
          <t>JÄMTLANDS LÄN</t>
        </is>
      </c>
      <c r="E592" t="inlineStr">
        <is>
          <t>ÖSTERSUND</t>
        </is>
      </c>
      <c r="G592" t="n">
        <v>13.5</v>
      </c>
      <c r="H592" t="n">
        <v>0</v>
      </c>
      <c r="I592" t="n">
        <v>0</v>
      </c>
      <c r="J592" t="n">
        <v>0</v>
      </c>
      <c r="K592" t="n">
        <v>0</v>
      </c>
      <c r="L592" t="n">
        <v>0</v>
      </c>
      <c r="M592" t="n">
        <v>0</v>
      </c>
      <c r="N592" t="n">
        <v>0</v>
      </c>
      <c r="O592" t="n">
        <v>0</v>
      </c>
      <c r="P592" t="n">
        <v>0</v>
      </c>
      <c r="Q592" t="n">
        <v>0</v>
      </c>
      <c r="R592" s="2" t="inlineStr"/>
    </row>
    <row r="593" ht="15" customHeight="1">
      <c r="A593" t="inlineStr">
        <is>
          <t>A 4226-2026</t>
        </is>
      </c>
      <c r="B593" s="1" t="n">
        <v>46044.85285879629</v>
      </c>
      <c r="C593" s="1" t="n">
        <v>46062</v>
      </c>
      <c r="D593" t="inlineStr">
        <is>
          <t>JÄMTLANDS LÄN</t>
        </is>
      </c>
      <c r="E593" t="inlineStr">
        <is>
          <t>ÖSTERSUND</t>
        </is>
      </c>
      <c r="G593" t="n">
        <v>2.1</v>
      </c>
      <c r="H593" t="n">
        <v>0</v>
      </c>
      <c r="I593" t="n">
        <v>0</v>
      </c>
      <c r="J593" t="n">
        <v>0</v>
      </c>
      <c r="K593" t="n">
        <v>0</v>
      </c>
      <c r="L593" t="n">
        <v>0</v>
      </c>
      <c r="M593" t="n">
        <v>0</v>
      </c>
      <c r="N593" t="n">
        <v>0</v>
      </c>
      <c r="O593" t="n">
        <v>0</v>
      </c>
      <c r="P593" t="n">
        <v>0</v>
      </c>
      <c r="Q593" t="n">
        <v>0</v>
      </c>
      <c r="R593" s="2" t="inlineStr"/>
    </row>
    <row r="594" ht="15" customHeight="1">
      <c r="A594" t="inlineStr">
        <is>
          <t>A 62176-2025</t>
        </is>
      </c>
      <c r="B594" s="1" t="n">
        <v>46006.51157407407</v>
      </c>
      <c r="C594" s="1" t="n">
        <v>46062</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57589-2024</t>
        </is>
      </c>
      <c r="B595" s="1" t="n">
        <v>45630.49710648148</v>
      </c>
      <c r="C595" s="1" t="n">
        <v>46062</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31040-2021</t>
        </is>
      </c>
      <c r="B596" s="1" t="n">
        <v>44368</v>
      </c>
      <c r="C596" s="1" t="n">
        <v>46062</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55678-2023</t>
        </is>
      </c>
      <c r="B597" s="1" t="n">
        <v>45239.33032407407</v>
      </c>
      <c r="C597" s="1" t="n">
        <v>46062</v>
      </c>
      <c r="D597" t="inlineStr">
        <is>
          <t>JÄMTLANDS LÄN</t>
        </is>
      </c>
      <c r="E597" t="inlineStr">
        <is>
          <t>ÖSTERSUND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62175-2025</t>
        </is>
      </c>
      <c r="B598" s="1" t="n">
        <v>46006.51155092593</v>
      </c>
      <c r="C598" s="1" t="n">
        <v>46062</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62437-2025</t>
        </is>
      </c>
      <c r="B599" s="1" t="n">
        <v>46007.46907407408</v>
      </c>
      <c r="C599" s="1" t="n">
        <v>46062</v>
      </c>
      <c r="D599" t="inlineStr">
        <is>
          <t>JÄMTLANDS LÄN</t>
        </is>
      </c>
      <c r="E599" t="inlineStr">
        <is>
          <t>ÖSTERSUND</t>
        </is>
      </c>
      <c r="G599" t="n">
        <v>6.3</v>
      </c>
      <c r="H599" t="n">
        <v>0</v>
      </c>
      <c r="I599" t="n">
        <v>0</v>
      </c>
      <c r="J599" t="n">
        <v>0</v>
      </c>
      <c r="K599" t="n">
        <v>0</v>
      </c>
      <c r="L599" t="n">
        <v>0</v>
      </c>
      <c r="M599" t="n">
        <v>0</v>
      </c>
      <c r="N599" t="n">
        <v>0</v>
      </c>
      <c r="O599" t="n">
        <v>0</v>
      </c>
      <c r="P599" t="n">
        <v>0</v>
      </c>
      <c r="Q599" t="n">
        <v>0</v>
      </c>
      <c r="R599" s="2" t="inlineStr"/>
    </row>
    <row r="600" ht="15" customHeight="1">
      <c r="A600" t="inlineStr">
        <is>
          <t>A 4936-2026</t>
        </is>
      </c>
      <c r="B600" s="1" t="n">
        <v>46048.89435185185</v>
      </c>
      <c r="C600" s="1" t="n">
        <v>46062</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62452-2025</t>
        </is>
      </c>
      <c r="B601" s="1" t="n">
        <v>46007.49001157407</v>
      </c>
      <c r="C601" s="1" t="n">
        <v>46062</v>
      </c>
      <c r="D601" t="inlineStr">
        <is>
          <t>JÄMTLANDS LÄN</t>
        </is>
      </c>
      <c r="E601" t="inlineStr">
        <is>
          <t>ÖSTERSUND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62509-2025</t>
        </is>
      </c>
      <c r="B602" s="1" t="n">
        <v>46007.5958912037</v>
      </c>
      <c r="C602" s="1" t="n">
        <v>46062</v>
      </c>
      <c r="D602" t="inlineStr">
        <is>
          <t>JÄMTLANDS LÄN</t>
        </is>
      </c>
      <c r="E602" t="inlineStr">
        <is>
          <t>ÖSTERSUND</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4775-2026</t>
        </is>
      </c>
      <c r="B603" s="1" t="n">
        <v>46045</v>
      </c>
      <c r="C603" s="1" t="n">
        <v>46062</v>
      </c>
      <c r="D603" t="inlineStr">
        <is>
          <t>JÄMTLANDS LÄN</t>
        </is>
      </c>
      <c r="E603" t="inlineStr">
        <is>
          <t>ÖSTERSUND</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62369-2025</t>
        </is>
      </c>
      <c r="B604" s="1" t="n">
        <v>46007.33719907407</v>
      </c>
      <c r="C604" s="1" t="n">
        <v>46062</v>
      </c>
      <c r="D604" t="inlineStr">
        <is>
          <t>JÄMTLANDS LÄN</t>
        </is>
      </c>
      <c r="E604" t="inlineStr">
        <is>
          <t>ÖSTERSUND</t>
        </is>
      </c>
      <c r="F604" t="inlineStr">
        <is>
          <t>Sveaskog</t>
        </is>
      </c>
      <c r="G604" t="n">
        <v>20.3</v>
      </c>
      <c r="H604" t="n">
        <v>0</v>
      </c>
      <c r="I604" t="n">
        <v>0</v>
      </c>
      <c r="J604" t="n">
        <v>0</v>
      </c>
      <c r="K604" t="n">
        <v>0</v>
      </c>
      <c r="L604" t="n">
        <v>0</v>
      </c>
      <c r="M604" t="n">
        <v>0</v>
      </c>
      <c r="N604" t="n">
        <v>0</v>
      </c>
      <c r="O604" t="n">
        <v>0</v>
      </c>
      <c r="P604" t="n">
        <v>0</v>
      </c>
      <c r="Q604" t="n">
        <v>0</v>
      </c>
      <c r="R604" s="2" t="inlineStr"/>
    </row>
    <row r="605" ht="15" customHeight="1">
      <c r="A605" t="inlineStr">
        <is>
          <t>A 62622-2025</t>
        </is>
      </c>
      <c r="B605" s="1" t="n">
        <v>46008.34438657408</v>
      </c>
      <c r="C605" s="1" t="n">
        <v>46062</v>
      </c>
      <c r="D605" t="inlineStr">
        <is>
          <t>JÄMTLANDS LÄN</t>
        </is>
      </c>
      <c r="E605" t="inlineStr">
        <is>
          <t>ÖSTERSUND</t>
        </is>
      </c>
      <c r="G605" t="n">
        <v>7.4</v>
      </c>
      <c r="H605" t="n">
        <v>0</v>
      </c>
      <c r="I605" t="n">
        <v>0</v>
      </c>
      <c r="J605" t="n">
        <v>0</v>
      </c>
      <c r="K605" t="n">
        <v>0</v>
      </c>
      <c r="L605" t="n">
        <v>0</v>
      </c>
      <c r="M605" t="n">
        <v>0</v>
      </c>
      <c r="N605" t="n">
        <v>0</v>
      </c>
      <c r="O605" t="n">
        <v>0</v>
      </c>
      <c r="P605" t="n">
        <v>0</v>
      </c>
      <c r="Q605" t="n">
        <v>0</v>
      </c>
      <c r="R605" s="2" t="inlineStr"/>
    </row>
    <row r="606" ht="15" customHeight="1">
      <c r="A606" t="inlineStr">
        <is>
          <t>A 62623-2025</t>
        </is>
      </c>
      <c r="B606" s="1" t="n">
        <v>46008.34443287037</v>
      </c>
      <c r="C606" s="1" t="n">
        <v>46062</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15659-2021</t>
        </is>
      </c>
      <c r="B607" s="1" t="n">
        <v>44298</v>
      </c>
      <c r="C607" s="1" t="n">
        <v>46062</v>
      </c>
      <c r="D607" t="inlineStr">
        <is>
          <t>JÄMTLANDS LÄN</t>
        </is>
      </c>
      <c r="E607" t="inlineStr">
        <is>
          <t>ÖSTERSUND</t>
        </is>
      </c>
      <c r="G607" t="n">
        <v>13.3</v>
      </c>
      <c r="H607" t="n">
        <v>0</v>
      </c>
      <c r="I607" t="n">
        <v>0</v>
      </c>
      <c r="J607" t="n">
        <v>0</v>
      </c>
      <c r="K607" t="n">
        <v>0</v>
      </c>
      <c r="L607" t="n">
        <v>0</v>
      </c>
      <c r="M607" t="n">
        <v>0</v>
      </c>
      <c r="N607" t="n">
        <v>0</v>
      </c>
      <c r="O607" t="n">
        <v>0</v>
      </c>
      <c r="P607" t="n">
        <v>0</v>
      </c>
      <c r="Q607" t="n">
        <v>0</v>
      </c>
      <c r="R607" s="2" t="inlineStr"/>
    </row>
    <row r="608" ht="15" customHeight="1">
      <c r="A608" t="inlineStr">
        <is>
          <t>A 5360-2026</t>
        </is>
      </c>
      <c r="B608" s="1" t="n">
        <v>46050.44859953703</v>
      </c>
      <c r="C608" s="1" t="n">
        <v>46062</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56847-2024</t>
        </is>
      </c>
      <c r="B609" s="1" t="n">
        <v>45628.53381944444</v>
      </c>
      <c r="C609" s="1" t="n">
        <v>46062</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19323-2024</t>
        </is>
      </c>
      <c r="B610" s="1" t="n">
        <v>45428.92486111111</v>
      </c>
      <c r="C610" s="1" t="n">
        <v>46062</v>
      </c>
      <c r="D610" t="inlineStr">
        <is>
          <t>JÄMTLANDS LÄN</t>
        </is>
      </c>
      <c r="E610" t="inlineStr">
        <is>
          <t>ÖSTERSUND</t>
        </is>
      </c>
      <c r="F610" t="inlineStr">
        <is>
          <t>Kommuner</t>
        </is>
      </c>
      <c r="G610" t="n">
        <v>0.2</v>
      </c>
      <c r="H610" t="n">
        <v>0</v>
      </c>
      <c r="I610" t="n">
        <v>0</v>
      </c>
      <c r="J610" t="n">
        <v>0</v>
      </c>
      <c r="K610" t="n">
        <v>0</v>
      </c>
      <c r="L610" t="n">
        <v>0</v>
      </c>
      <c r="M610" t="n">
        <v>0</v>
      </c>
      <c r="N610" t="n">
        <v>0</v>
      </c>
      <c r="O610" t="n">
        <v>0</v>
      </c>
      <c r="P610" t="n">
        <v>0</v>
      </c>
      <c r="Q610" t="n">
        <v>0</v>
      </c>
      <c r="R610" s="2" t="inlineStr"/>
    </row>
    <row r="611" ht="15" customHeight="1">
      <c r="A611" t="inlineStr">
        <is>
          <t>A 7005-2025</t>
        </is>
      </c>
      <c r="B611" s="1" t="n">
        <v>45701.60046296296</v>
      </c>
      <c r="C611" s="1" t="n">
        <v>46062</v>
      </c>
      <c r="D611" t="inlineStr">
        <is>
          <t>JÄMTLANDS LÄN</t>
        </is>
      </c>
      <c r="E611" t="inlineStr">
        <is>
          <t>ÖSTERSUND</t>
        </is>
      </c>
      <c r="G611" t="n">
        <v>3.3</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46062</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8389-2025</t>
        </is>
      </c>
      <c r="B613" s="1" t="n">
        <v>45709.36497685185</v>
      </c>
      <c r="C613" s="1" t="n">
        <v>46062</v>
      </c>
      <c r="D613" t="inlineStr">
        <is>
          <t>JÄMTLANDS LÄN</t>
        </is>
      </c>
      <c r="E613" t="inlineStr">
        <is>
          <t>ÖSTERSUND</t>
        </is>
      </c>
      <c r="F613" t="inlineStr">
        <is>
          <t>SCA</t>
        </is>
      </c>
      <c r="G613" t="n">
        <v>6.3</v>
      </c>
      <c r="H613" t="n">
        <v>0</v>
      </c>
      <c r="I613" t="n">
        <v>0</v>
      </c>
      <c r="J613" t="n">
        <v>0</v>
      </c>
      <c r="K613" t="n">
        <v>0</v>
      </c>
      <c r="L613" t="n">
        <v>0</v>
      </c>
      <c r="M613" t="n">
        <v>0</v>
      </c>
      <c r="N613" t="n">
        <v>0</v>
      </c>
      <c r="O613" t="n">
        <v>0</v>
      </c>
      <c r="P613" t="n">
        <v>0</v>
      </c>
      <c r="Q613" t="n">
        <v>0</v>
      </c>
      <c r="R613" s="2" t="inlineStr"/>
    </row>
    <row r="614" ht="15" customHeight="1">
      <c r="A614" t="inlineStr">
        <is>
          <t>A 63195-2025</t>
        </is>
      </c>
      <c r="B614" s="1" t="n">
        <v>46010.45680555556</v>
      </c>
      <c r="C614" s="1" t="n">
        <v>46062</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63245-2025</t>
        </is>
      </c>
      <c r="B615" s="1" t="n">
        <v>46010.53825231481</v>
      </c>
      <c r="C615" s="1" t="n">
        <v>46062</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63516-2025</t>
        </is>
      </c>
      <c r="B616" s="1" t="n">
        <v>46013.50993055556</v>
      </c>
      <c r="C616" s="1" t="n">
        <v>46062</v>
      </c>
      <c r="D616" t="inlineStr">
        <is>
          <t>JÄMTLANDS LÄN</t>
        </is>
      </c>
      <c r="E616" t="inlineStr">
        <is>
          <t>ÖSTERSUND</t>
        </is>
      </c>
      <c r="G616" t="n">
        <v>4.8</v>
      </c>
      <c r="H616" t="n">
        <v>0</v>
      </c>
      <c r="I616" t="n">
        <v>0</v>
      </c>
      <c r="J616" t="n">
        <v>0</v>
      </c>
      <c r="K616" t="n">
        <v>0</v>
      </c>
      <c r="L616" t="n">
        <v>0</v>
      </c>
      <c r="M616" t="n">
        <v>0</v>
      </c>
      <c r="N616" t="n">
        <v>0</v>
      </c>
      <c r="O616" t="n">
        <v>0</v>
      </c>
      <c r="P616" t="n">
        <v>0</v>
      </c>
      <c r="Q616" t="n">
        <v>0</v>
      </c>
      <c r="R616" s="2" t="inlineStr"/>
    </row>
    <row r="617" ht="15" customHeight="1">
      <c r="A617" t="inlineStr">
        <is>
          <t>A 63475-2025</t>
        </is>
      </c>
      <c r="B617" s="1" t="n">
        <v>46013.4459375</v>
      </c>
      <c r="C617" s="1" t="n">
        <v>46062</v>
      </c>
      <c r="D617" t="inlineStr">
        <is>
          <t>JÄMTLANDS LÄN</t>
        </is>
      </c>
      <c r="E617" t="inlineStr">
        <is>
          <t>ÖSTERSUND</t>
        </is>
      </c>
      <c r="G617" t="n">
        <v>4.4</v>
      </c>
      <c r="H617" t="n">
        <v>0</v>
      </c>
      <c r="I617" t="n">
        <v>0</v>
      </c>
      <c r="J617" t="n">
        <v>0</v>
      </c>
      <c r="K617" t="n">
        <v>0</v>
      </c>
      <c r="L617" t="n">
        <v>0</v>
      </c>
      <c r="M617" t="n">
        <v>0</v>
      </c>
      <c r="N617" t="n">
        <v>0</v>
      </c>
      <c r="O617" t="n">
        <v>0</v>
      </c>
      <c r="P617" t="n">
        <v>0</v>
      </c>
      <c r="Q617" t="n">
        <v>0</v>
      </c>
      <c r="R617" s="2" t="inlineStr"/>
    </row>
    <row r="618" ht="15" customHeight="1">
      <c r="A618" t="inlineStr">
        <is>
          <t>A 17570-2025</t>
        </is>
      </c>
      <c r="B618" s="1" t="n">
        <v>45757.64563657407</v>
      </c>
      <c r="C618" s="1" t="n">
        <v>46062</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41280-2024</t>
        </is>
      </c>
      <c r="B619" s="1" t="n">
        <v>45559.59476851852</v>
      </c>
      <c r="C619" s="1" t="n">
        <v>46062</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63693-2025</t>
        </is>
      </c>
      <c r="B620" s="1" t="n">
        <v>46014.5496875</v>
      </c>
      <c r="C620" s="1" t="n">
        <v>46062</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6831-2026</t>
        </is>
      </c>
      <c r="B621" s="1" t="n">
        <v>46057.40715277778</v>
      </c>
      <c r="C621" s="1" t="n">
        <v>46062</v>
      </c>
      <c r="D621" t="inlineStr">
        <is>
          <t>JÄMTLANDS LÄN</t>
        </is>
      </c>
      <c r="E621" t="inlineStr">
        <is>
          <t>ÖSTERSUND</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6999-2026</t>
        </is>
      </c>
      <c r="B622" s="1" t="n">
        <v>46057.6153125</v>
      </c>
      <c r="C622" s="1" t="n">
        <v>46062</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5684-2026</t>
        </is>
      </c>
      <c r="B623" s="1" t="n">
        <v>46051</v>
      </c>
      <c r="C623" s="1" t="n">
        <v>46062</v>
      </c>
      <c r="D623" t="inlineStr">
        <is>
          <t>JÄMTLANDS LÄN</t>
        </is>
      </c>
      <c r="E623" t="inlineStr">
        <is>
          <t>ÖSTERSUND</t>
        </is>
      </c>
      <c r="G623" t="n">
        <v>1.6</v>
      </c>
      <c r="H623" t="n">
        <v>0</v>
      </c>
      <c r="I623" t="n">
        <v>0</v>
      </c>
      <c r="J623" t="n">
        <v>0</v>
      </c>
      <c r="K623" t="n">
        <v>0</v>
      </c>
      <c r="L623" t="n">
        <v>0</v>
      </c>
      <c r="M623" t="n">
        <v>0</v>
      </c>
      <c r="N623" t="n">
        <v>0</v>
      </c>
      <c r="O623" t="n">
        <v>0</v>
      </c>
      <c r="P623" t="n">
        <v>0</v>
      </c>
      <c r="Q623" t="n">
        <v>0</v>
      </c>
      <c r="R623" s="2" t="inlineStr"/>
    </row>
    <row r="624" ht="15" customHeight="1">
      <c r="A624" t="inlineStr">
        <is>
          <t>A 12429-2025</t>
        </is>
      </c>
      <c r="B624" s="1" t="n">
        <v>45730.45930555555</v>
      </c>
      <c r="C624" s="1" t="n">
        <v>46062</v>
      </c>
      <c r="D624" t="inlineStr">
        <is>
          <t>JÄMTLANDS LÄN</t>
        </is>
      </c>
      <c r="E624" t="inlineStr">
        <is>
          <t>ÖSTERSUND</t>
        </is>
      </c>
      <c r="F624" t="inlineStr">
        <is>
          <t>Övriga Aktiebolag</t>
        </is>
      </c>
      <c r="G624" t="n">
        <v>4.4</v>
      </c>
      <c r="H624" t="n">
        <v>0</v>
      </c>
      <c r="I624" t="n">
        <v>0</v>
      </c>
      <c r="J624" t="n">
        <v>0</v>
      </c>
      <c r="K624" t="n">
        <v>0</v>
      </c>
      <c r="L624" t="n">
        <v>0</v>
      </c>
      <c r="M624" t="n">
        <v>0</v>
      </c>
      <c r="N624" t="n">
        <v>0</v>
      </c>
      <c r="O624" t="n">
        <v>0</v>
      </c>
      <c r="P624" t="n">
        <v>0</v>
      </c>
      <c r="Q624" t="n">
        <v>0</v>
      </c>
      <c r="R624" s="2" t="inlineStr"/>
    </row>
    <row r="625" ht="15" customHeight="1">
      <c r="A625" t="inlineStr">
        <is>
          <t>A 6929-2026</t>
        </is>
      </c>
      <c r="B625" s="1" t="n">
        <v>46057.55269675926</v>
      </c>
      <c r="C625" s="1" t="n">
        <v>46062</v>
      </c>
      <c r="D625" t="inlineStr">
        <is>
          <t>JÄMTLANDS LÄN</t>
        </is>
      </c>
      <c r="E625" t="inlineStr">
        <is>
          <t>ÖSTERSUND</t>
        </is>
      </c>
      <c r="G625" t="n">
        <v>6.4</v>
      </c>
      <c r="H625" t="n">
        <v>0</v>
      </c>
      <c r="I625" t="n">
        <v>0</v>
      </c>
      <c r="J625" t="n">
        <v>0</v>
      </c>
      <c r="K625" t="n">
        <v>0</v>
      </c>
      <c r="L625" t="n">
        <v>0</v>
      </c>
      <c r="M625" t="n">
        <v>0</v>
      </c>
      <c r="N625" t="n">
        <v>0</v>
      </c>
      <c r="O625" t="n">
        <v>0</v>
      </c>
      <c r="P625" t="n">
        <v>0</v>
      </c>
      <c r="Q625" t="n">
        <v>0</v>
      </c>
      <c r="R625" s="2" t="inlineStr"/>
    </row>
    <row r="626" ht="15" customHeight="1">
      <c r="A626" t="inlineStr">
        <is>
          <t>A 6761-2026</t>
        </is>
      </c>
      <c r="B626" s="1" t="n">
        <v>46056.8547337963</v>
      </c>
      <c r="C626" s="1" t="n">
        <v>46062</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19581-2025</t>
        </is>
      </c>
      <c r="B627" s="1" t="n">
        <v>45770.56363425926</v>
      </c>
      <c r="C627" s="1" t="n">
        <v>46062</v>
      </c>
      <c r="D627" t="inlineStr">
        <is>
          <t>JÄMTLANDS LÄN</t>
        </is>
      </c>
      <c r="E627" t="inlineStr">
        <is>
          <t>ÖSTERSUND</t>
        </is>
      </c>
      <c r="G627" t="n">
        <v>17.2</v>
      </c>
      <c r="H627" t="n">
        <v>0</v>
      </c>
      <c r="I627" t="n">
        <v>0</v>
      </c>
      <c r="J627" t="n">
        <v>0</v>
      </c>
      <c r="K627" t="n">
        <v>0</v>
      </c>
      <c r="L627" t="n">
        <v>0</v>
      </c>
      <c r="M627" t="n">
        <v>0</v>
      </c>
      <c r="N627" t="n">
        <v>0</v>
      </c>
      <c r="O627" t="n">
        <v>0</v>
      </c>
      <c r="P627" t="n">
        <v>0</v>
      </c>
      <c r="Q627" t="n">
        <v>0</v>
      </c>
      <c r="R627" s="2" t="inlineStr"/>
    </row>
    <row r="628" ht="15" customHeight="1">
      <c r="A628" t="inlineStr">
        <is>
          <t>A 7439-2026</t>
        </is>
      </c>
      <c r="B628" s="1" t="n">
        <v>46059.44539351852</v>
      </c>
      <c r="C628" s="1" t="n">
        <v>46062</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24312-2021</t>
        </is>
      </c>
      <c r="B629" s="1" t="n">
        <v>44336</v>
      </c>
      <c r="C629" s="1" t="n">
        <v>46062</v>
      </c>
      <c r="D629" t="inlineStr">
        <is>
          <t>JÄMTLANDS LÄN</t>
        </is>
      </c>
      <c r="E629" t="inlineStr">
        <is>
          <t>ÖSTERSUND</t>
        </is>
      </c>
      <c r="G629" t="n">
        <v>10.6</v>
      </c>
      <c r="H629" t="n">
        <v>0</v>
      </c>
      <c r="I629" t="n">
        <v>0</v>
      </c>
      <c r="J629" t="n">
        <v>0</v>
      </c>
      <c r="K629" t="n">
        <v>0</v>
      </c>
      <c r="L629" t="n">
        <v>0</v>
      </c>
      <c r="M629" t="n">
        <v>0</v>
      </c>
      <c r="N629" t="n">
        <v>0</v>
      </c>
      <c r="O629" t="n">
        <v>0</v>
      </c>
      <c r="P629" t="n">
        <v>0</v>
      </c>
      <c r="Q629" t="n">
        <v>0</v>
      </c>
      <c r="R629" s="2" t="inlineStr"/>
    </row>
    <row r="630" ht="15" customHeight="1">
      <c r="A630" t="inlineStr">
        <is>
          <t>A 7437-2026</t>
        </is>
      </c>
      <c r="B630" s="1" t="n">
        <v>46059.44135416667</v>
      </c>
      <c r="C630" s="1" t="n">
        <v>46062</v>
      </c>
      <c r="D630" t="inlineStr">
        <is>
          <t>JÄMTLANDS LÄN</t>
        </is>
      </c>
      <c r="E630" t="inlineStr">
        <is>
          <t>ÖSTERSUND</t>
        </is>
      </c>
      <c r="G630" t="n">
        <v>2.3</v>
      </c>
      <c r="H630" t="n">
        <v>0</v>
      </c>
      <c r="I630" t="n">
        <v>0</v>
      </c>
      <c r="J630" t="n">
        <v>0</v>
      </c>
      <c r="K630" t="n">
        <v>0</v>
      </c>
      <c r="L630" t="n">
        <v>0</v>
      </c>
      <c r="M630" t="n">
        <v>0</v>
      </c>
      <c r="N630" t="n">
        <v>0</v>
      </c>
      <c r="O630" t="n">
        <v>0</v>
      </c>
      <c r="P630" t="n">
        <v>0</v>
      </c>
      <c r="Q630" t="n">
        <v>0</v>
      </c>
      <c r="R630" s="2" t="inlineStr"/>
    </row>
    <row r="631" ht="15" customHeight="1">
      <c r="A631" t="inlineStr">
        <is>
          <t>A 38926-2024</t>
        </is>
      </c>
      <c r="B631" s="1" t="n">
        <v>45547.90777777778</v>
      </c>
      <c r="C631" s="1" t="n">
        <v>46062</v>
      </c>
      <c r="D631" t="inlineStr">
        <is>
          <t>JÄMTLANDS LÄN</t>
        </is>
      </c>
      <c r="E631" t="inlineStr">
        <is>
          <t>ÖSTERSUND</t>
        </is>
      </c>
      <c r="G631" t="n">
        <v>0.4</v>
      </c>
      <c r="H631" t="n">
        <v>0</v>
      </c>
      <c r="I631" t="n">
        <v>0</v>
      </c>
      <c r="J631" t="n">
        <v>0</v>
      </c>
      <c r="K631" t="n">
        <v>0</v>
      </c>
      <c r="L631" t="n">
        <v>0</v>
      </c>
      <c r="M631" t="n">
        <v>0</v>
      </c>
      <c r="N631" t="n">
        <v>0</v>
      </c>
      <c r="O631" t="n">
        <v>0</v>
      </c>
      <c r="P631" t="n">
        <v>0</v>
      </c>
      <c r="Q631" t="n">
        <v>0</v>
      </c>
      <c r="R631" s="2" t="inlineStr"/>
    </row>
    <row r="632" ht="15" customHeight="1">
      <c r="A632" t="inlineStr">
        <is>
          <t>A 55064-2024</t>
        </is>
      </c>
      <c r="B632" s="1" t="n">
        <v>45621.41050925926</v>
      </c>
      <c r="C632" s="1" t="n">
        <v>46062</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41802-2021</t>
        </is>
      </c>
      <c r="B633" s="1" t="n">
        <v>44425</v>
      </c>
      <c r="C633" s="1" t="n">
        <v>46062</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4063-2025</t>
        </is>
      </c>
      <c r="B634" s="1" t="n">
        <v>45684</v>
      </c>
      <c r="C634" s="1" t="n">
        <v>46062</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7224-2024</t>
        </is>
      </c>
      <c r="B635" s="1" t="n">
        <v>45344</v>
      </c>
      <c r="C635" s="1" t="n">
        <v>46062</v>
      </c>
      <c r="D635" t="inlineStr">
        <is>
          <t>JÄMTLANDS LÄN</t>
        </is>
      </c>
      <c r="E635" t="inlineStr">
        <is>
          <t>ÖSTERSUND</t>
        </is>
      </c>
      <c r="G635" t="n">
        <v>2.9</v>
      </c>
      <c r="H635" t="n">
        <v>0</v>
      </c>
      <c r="I635" t="n">
        <v>0</v>
      </c>
      <c r="J635" t="n">
        <v>0</v>
      </c>
      <c r="K635" t="n">
        <v>0</v>
      </c>
      <c r="L635" t="n">
        <v>0</v>
      </c>
      <c r="M635" t="n">
        <v>0</v>
      </c>
      <c r="N635" t="n">
        <v>0</v>
      </c>
      <c r="O635" t="n">
        <v>0</v>
      </c>
      <c r="P635" t="n">
        <v>0</v>
      </c>
      <c r="Q635" t="n">
        <v>0</v>
      </c>
      <c r="R635" s="2" t="inlineStr"/>
    </row>
    <row r="636" ht="15" customHeight="1">
      <c r="A636" t="inlineStr">
        <is>
          <t>A 62222-2022</t>
        </is>
      </c>
      <c r="B636" s="1" t="n">
        <v>44922</v>
      </c>
      <c r="C636" s="1" t="n">
        <v>46062</v>
      </c>
      <c r="D636" t="inlineStr">
        <is>
          <t>JÄMTLANDS LÄN</t>
        </is>
      </c>
      <c r="E636" t="inlineStr">
        <is>
          <t>ÖSTERSUND</t>
        </is>
      </c>
      <c r="G636" t="n">
        <v>4.1</v>
      </c>
      <c r="H636" t="n">
        <v>0</v>
      </c>
      <c r="I636" t="n">
        <v>0</v>
      </c>
      <c r="J636" t="n">
        <v>0</v>
      </c>
      <c r="K636" t="n">
        <v>0</v>
      </c>
      <c r="L636" t="n">
        <v>0</v>
      </c>
      <c r="M636" t="n">
        <v>0</v>
      </c>
      <c r="N636" t="n">
        <v>0</v>
      </c>
      <c r="O636" t="n">
        <v>0</v>
      </c>
      <c r="P636" t="n">
        <v>0</v>
      </c>
      <c r="Q636" t="n">
        <v>0</v>
      </c>
      <c r="R636" s="2" t="inlineStr"/>
    </row>
    <row r="637" ht="15" customHeight="1">
      <c r="A637" t="inlineStr">
        <is>
          <t>A 47804-2024</t>
        </is>
      </c>
      <c r="B637" s="1" t="n">
        <v>45588.61498842593</v>
      </c>
      <c r="C637" s="1" t="n">
        <v>46062</v>
      </c>
      <c r="D637" t="inlineStr">
        <is>
          <t>JÄMTLANDS LÄN</t>
        </is>
      </c>
      <c r="E637" t="inlineStr">
        <is>
          <t>ÖSTERSUND</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50218-2024</t>
        </is>
      </c>
      <c r="B638" s="1" t="n">
        <v>45600.53160879629</v>
      </c>
      <c r="C638" s="1" t="n">
        <v>46062</v>
      </c>
      <c r="D638" t="inlineStr">
        <is>
          <t>JÄMTLANDS LÄN</t>
        </is>
      </c>
      <c r="E638" t="inlineStr">
        <is>
          <t>ÖSTERSUND</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60780-2023</t>
        </is>
      </c>
      <c r="B639" s="1" t="n">
        <v>45260</v>
      </c>
      <c r="C639" s="1" t="n">
        <v>46062</v>
      </c>
      <c r="D639" t="inlineStr">
        <is>
          <t>JÄMTLANDS LÄN</t>
        </is>
      </c>
      <c r="E639" t="inlineStr">
        <is>
          <t>ÖSTERSUND</t>
        </is>
      </c>
      <c r="G639" t="n">
        <v>3.7</v>
      </c>
      <c r="H639" t="n">
        <v>0</v>
      </c>
      <c r="I639" t="n">
        <v>0</v>
      </c>
      <c r="J639" t="n">
        <v>0</v>
      </c>
      <c r="K639" t="n">
        <v>0</v>
      </c>
      <c r="L639" t="n">
        <v>0</v>
      </c>
      <c r="M639" t="n">
        <v>0</v>
      </c>
      <c r="N639" t="n">
        <v>0</v>
      </c>
      <c r="O639" t="n">
        <v>0</v>
      </c>
      <c r="P639" t="n">
        <v>0</v>
      </c>
      <c r="Q639" t="n">
        <v>0</v>
      </c>
      <c r="R639" s="2" t="inlineStr"/>
    </row>
    <row r="640" ht="15" customHeight="1">
      <c r="A640" t="inlineStr">
        <is>
          <t>A 60794-2023</t>
        </is>
      </c>
      <c r="B640" s="1" t="n">
        <v>45260</v>
      </c>
      <c r="C640" s="1" t="n">
        <v>46062</v>
      </c>
      <c r="D640" t="inlineStr">
        <is>
          <t>JÄMTLANDS LÄN</t>
        </is>
      </c>
      <c r="E640" t="inlineStr">
        <is>
          <t>ÖSTERSUND</t>
        </is>
      </c>
      <c r="G640" t="n">
        <v>3.6</v>
      </c>
      <c r="H640" t="n">
        <v>0</v>
      </c>
      <c r="I640" t="n">
        <v>0</v>
      </c>
      <c r="J640" t="n">
        <v>0</v>
      </c>
      <c r="K640" t="n">
        <v>0</v>
      </c>
      <c r="L640" t="n">
        <v>0</v>
      </c>
      <c r="M640" t="n">
        <v>0</v>
      </c>
      <c r="N640" t="n">
        <v>0</v>
      </c>
      <c r="O640" t="n">
        <v>0</v>
      </c>
      <c r="P640" t="n">
        <v>0</v>
      </c>
      <c r="Q640" t="n">
        <v>0</v>
      </c>
      <c r="R640" s="2" t="inlineStr"/>
    </row>
    <row r="641" ht="15" customHeight="1">
      <c r="A641" t="inlineStr">
        <is>
          <t>A 11877-2024</t>
        </is>
      </c>
      <c r="B641" s="1" t="n">
        <v>45376</v>
      </c>
      <c r="C641" s="1" t="n">
        <v>46062</v>
      </c>
      <c r="D641" t="inlineStr">
        <is>
          <t>JÄMTLANDS LÄN</t>
        </is>
      </c>
      <c r="E641" t="inlineStr">
        <is>
          <t>ÖSTERSUND</t>
        </is>
      </c>
      <c r="G641" t="n">
        <v>2.6</v>
      </c>
      <c r="H641" t="n">
        <v>0</v>
      </c>
      <c r="I641" t="n">
        <v>0</v>
      </c>
      <c r="J641" t="n">
        <v>0</v>
      </c>
      <c r="K641" t="n">
        <v>0</v>
      </c>
      <c r="L641" t="n">
        <v>0</v>
      </c>
      <c r="M641" t="n">
        <v>0</v>
      </c>
      <c r="N641" t="n">
        <v>0</v>
      </c>
      <c r="O641" t="n">
        <v>0</v>
      </c>
      <c r="P641" t="n">
        <v>0</v>
      </c>
      <c r="Q641" t="n">
        <v>0</v>
      </c>
      <c r="R641" s="2" t="inlineStr"/>
    </row>
    <row r="642" ht="15" customHeight="1">
      <c r="A642" t="inlineStr">
        <is>
          <t>A 53714-2022</t>
        </is>
      </c>
      <c r="B642" s="1" t="n">
        <v>44880</v>
      </c>
      <c r="C642" s="1" t="n">
        <v>46062</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52128-2023</t>
        </is>
      </c>
      <c r="B643" s="1" t="n">
        <v>45223</v>
      </c>
      <c r="C643" s="1" t="n">
        <v>46062</v>
      </c>
      <c r="D643" t="inlineStr">
        <is>
          <t>JÄMTLANDS LÄN</t>
        </is>
      </c>
      <c r="E643" t="inlineStr">
        <is>
          <t>ÖSTERSUND</t>
        </is>
      </c>
      <c r="F643" t="inlineStr">
        <is>
          <t>SCA</t>
        </is>
      </c>
      <c r="G643" t="n">
        <v>11.9</v>
      </c>
      <c r="H643" t="n">
        <v>0</v>
      </c>
      <c r="I643" t="n">
        <v>0</v>
      </c>
      <c r="J643" t="n">
        <v>0</v>
      </c>
      <c r="K643" t="n">
        <v>0</v>
      </c>
      <c r="L643" t="n">
        <v>0</v>
      </c>
      <c r="M643" t="n">
        <v>0</v>
      </c>
      <c r="N643" t="n">
        <v>0</v>
      </c>
      <c r="O643" t="n">
        <v>0</v>
      </c>
      <c r="P643" t="n">
        <v>0</v>
      </c>
      <c r="Q643" t="n">
        <v>0</v>
      </c>
      <c r="R643" s="2" t="inlineStr"/>
    </row>
    <row r="644" ht="15" customHeight="1">
      <c r="A644" t="inlineStr">
        <is>
          <t>A 44013-2021</t>
        </is>
      </c>
      <c r="B644" s="1" t="n">
        <v>44434</v>
      </c>
      <c r="C644" s="1" t="n">
        <v>46062</v>
      </c>
      <c r="D644" t="inlineStr">
        <is>
          <t>JÄMTLANDS LÄN</t>
        </is>
      </c>
      <c r="E644" t="inlineStr">
        <is>
          <t>ÖSTERSUND</t>
        </is>
      </c>
      <c r="G644" t="n">
        <v>1.9</v>
      </c>
      <c r="H644" t="n">
        <v>0</v>
      </c>
      <c r="I644" t="n">
        <v>0</v>
      </c>
      <c r="J644" t="n">
        <v>0</v>
      </c>
      <c r="K644" t="n">
        <v>0</v>
      </c>
      <c r="L644" t="n">
        <v>0</v>
      </c>
      <c r="M644" t="n">
        <v>0</v>
      </c>
      <c r="N644" t="n">
        <v>0</v>
      </c>
      <c r="O644" t="n">
        <v>0</v>
      </c>
      <c r="P644" t="n">
        <v>0</v>
      </c>
      <c r="Q644" t="n">
        <v>0</v>
      </c>
      <c r="R644" s="2" t="inlineStr"/>
    </row>
    <row r="645" ht="15" customHeight="1">
      <c r="A645" t="inlineStr">
        <is>
          <t>A 8003-2025</t>
        </is>
      </c>
      <c r="B645" s="1" t="n">
        <v>45707</v>
      </c>
      <c r="C645" s="1" t="n">
        <v>46062</v>
      </c>
      <c r="D645" t="inlineStr">
        <is>
          <t>JÄMTLANDS LÄN</t>
        </is>
      </c>
      <c r="E645" t="inlineStr">
        <is>
          <t>ÖSTERSUND</t>
        </is>
      </c>
      <c r="F645" t="inlineStr">
        <is>
          <t>Övriga Aktiebolag</t>
        </is>
      </c>
      <c r="G645" t="n">
        <v>35.1</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46062</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25385-2024</t>
        </is>
      </c>
      <c r="B647" s="1" t="n">
        <v>45462.96347222223</v>
      </c>
      <c r="C647" s="1" t="n">
        <v>46062</v>
      </c>
      <c r="D647" t="inlineStr">
        <is>
          <t>JÄMTLANDS LÄN</t>
        </is>
      </c>
      <c r="E647" t="inlineStr">
        <is>
          <t>ÖSTERSUND</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8027-2022</t>
        </is>
      </c>
      <c r="B648" s="1" t="n">
        <v>44609</v>
      </c>
      <c r="C648" s="1" t="n">
        <v>46062</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11933-2022</t>
        </is>
      </c>
      <c r="B649" s="1" t="n">
        <v>44635</v>
      </c>
      <c r="C649" s="1" t="n">
        <v>46062</v>
      </c>
      <c r="D649" t="inlineStr">
        <is>
          <t>JÄMTLANDS LÄN</t>
        </is>
      </c>
      <c r="E649" t="inlineStr">
        <is>
          <t>ÖSTERSUND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14947-2025</t>
        </is>
      </c>
      <c r="B650" s="1" t="n">
        <v>45743.57336805556</v>
      </c>
      <c r="C650" s="1" t="n">
        <v>46062</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2753-2025</t>
        </is>
      </c>
      <c r="B651" s="1" t="n">
        <v>45677.47302083333</v>
      </c>
      <c r="C651" s="1" t="n">
        <v>46062</v>
      </c>
      <c r="D651" t="inlineStr">
        <is>
          <t>JÄMTLANDS LÄN</t>
        </is>
      </c>
      <c r="E651" t="inlineStr">
        <is>
          <t>ÖSTERSUND</t>
        </is>
      </c>
      <c r="G651" t="n">
        <v>6.4</v>
      </c>
      <c r="H651" t="n">
        <v>0</v>
      </c>
      <c r="I651" t="n">
        <v>0</v>
      </c>
      <c r="J651" t="n">
        <v>0</v>
      </c>
      <c r="K651" t="n">
        <v>0</v>
      </c>
      <c r="L651" t="n">
        <v>0</v>
      </c>
      <c r="M651" t="n">
        <v>0</v>
      </c>
      <c r="N651" t="n">
        <v>0</v>
      </c>
      <c r="O651" t="n">
        <v>0</v>
      </c>
      <c r="P651" t="n">
        <v>0</v>
      </c>
      <c r="Q651" t="n">
        <v>0</v>
      </c>
      <c r="R651" s="2" t="inlineStr"/>
    </row>
    <row r="652" ht="15" customHeight="1">
      <c r="A652" t="inlineStr">
        <is>
          <t>A 36406-2023</t>
        </is>
      </c>
      <c r="B652" s="1" t="n">
        <v>45149</v>
      </c>
      <c r="C652" s="1" t="n">
        <v>46062</v>
      </c>
      <c r="D652" t="inlineStr">
        <is>
          <t>JÄMTLANDS LÄN</t>
        </is>
      </c>
      <c r="E652" t="inlineStr">
        <is>
          <t>ÖSTERSUND</t>
        </is>
      </c>
      <c r="G652" t="n">
        <v>2.4</v>
      </c>
      <c r="H652" t="n">
        <v>0</v>
      </c>
      <c r="I652" t="n">
        <v>0</v>
      </c>
      <c r="J652" t="n">
        <v>0</v>
      </c>
      <c r="K652" t="n">
        <v>0</v>
      </c>
      <c r="L652" t="n">
        <v>0</v>
      </c>
      <c r="M652" t="n">
        <v>0</v>
      </c>
      <c r="N652" t="n">
        <v>0</v>
      </c>
      <c r="O652" t="n">
        <v>0</v>
      </c>
      <c r="P652" t="n">
        <v>0</v>
      </c>
      <c r="Q652" t="n">
        <v>0</v>
      </c>
      <c r="R652" s="2" t="inlineStr"/>
    </row>
    <row r="653" ht="15" customHeight="1">
      <c r="A653" t="inlineStr">
        <is>
          <t>A 20400-2024</t>
        </is>
      </c>
      <c r="B653" s="1" t="n">
        <v>45435.55372685185</v>
      </c>
      <c r="C653" s="1" t="n">
        <v>46062</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20588-2023</t>
        </is>
      </c>
      <c r="B654" s="1" t="n">
        <v>45057</v>
      </c>
      <c r="C654" s="1" t="n">
        <v>46062</v>
      </c>
      <c r="D654" t="inlineStr">
        <is>
          <t>JÄMTLANDS LÄN</t>
        </is>
      </c>
      <c r="E654" t="inlineStr">
        <is>
          <t>ÖSTERSUND</t>
        </is>
      </c>
      <c r="G654" t="n">
        <v>0.9</v>
      </c>
      <c r="H654" t="n">
        <v>0</v>
      </c>
      <c r="I654" t="n">
        <v>0</v>
      </c>
      <c r="J654" t="n">
        <v>0</v>
      </c>
      <c r="K654" t="n">
        <v>0</v>
      </c>
      <c r="L654" t="n">
        <v>0</v>
      </c>
      <c r="M654" t="n">
        <v>0</v>
      </c>
      <c r="N654" t="n">
        <v>0</v>
      </c>
      <c r="O654" t="n">
        <v>0</v>
      </c>
      <c r="P654" t="n">
        <v>0</v>
      </c>
      <c r="Q654" t="n">
        <v>0</v>
      </c>
      <c r="R654" s="2" t="inlineStr"/>
    </row>
    <row r="655" ht="15" customHeight="1">
      <c r="A655" t="inlineStr">
        <is>
          <t>A 27689-2024</t>
        </is>
      </c>
      <c r="B655" s="1" t="n">
        <v>45475.3378125</v>
      </c>
      <c r="C655" s="1" t="n">
        <v>46062</v>
      </c>
      <c r="D655" t="inlineStr">
        <is>
          <t>JÄMTLANDS LÄN</t>
        </is>
      </c>
      <c r="E655" t="inlineStr">
        <is>
          <t>ÖSTERSUND</t>
        </is>
      </c>
      <c r="G655" t="n">
        <v>0.6</v>
      </c>
      <c r="H655" t="n">
        <v>0</v>
      </c>
      <c r="I655" t="n">
        <v>0</v>
      </c>
      <c r="J655" t="n">
        <v>0</v>
      </c>
      <c r="K655" t="n">
        <v>0</v>
      </c>
      <c r="L655" t="n">
        <v>0</v>
      </c>
      <c r="M655" t="n">
        <v>0</v>
      </c>
      <c r="N655" t="n">
        <v>0</v>
      </c>
      <c r="O655" t="n">
        <v>0</v>
      </c>
      <c r="P655" t="n">
        <v>0</v>
      </c>
      <c r="Q655" t="n">
        <v>0</v>
      </c>
      <c r="R655" s="2" t="inlineStr"/>
    </row>
    <row r="656" ht="15" customHeight="1">
      <c r="A656" t="inlineStr">
        <is>
          <t>A 51818-2024</t>
        </is>
      </c>
      <c r="B656" s="1" t="n">
        <v>45607.49265046296</v>
      </c>
      <c r="C656" s="1" t="n">
        <v>46062</v>
      </c>
      <c r="D656" t="inlineStr">
        <is>
          <t>JÄMTLANDS LÄN</t>
        </is>
      </c>
      <c r="E656" t="inlineStr">
        <is>
          <t>ÖSTERSUND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51479-2023</t>
        </is>
      </c>
      <c r="B657" s="1" t="n">
        <v>45221.92429398148</v>
      </c>
      <c r="C657" s="1" t="n">
        <v>46062</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2978-2024</t>
        </is>
      </c>
      <c r="B658" s="1" t="n">
        <v>45315</v>
      </c>
      <c r="C658" s="1" t="n">
        <v>46062</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28181-2024</t>
        </is>
      </c>
      <c r="B659" s="1" t="n">
        <v>45477.28482638889</v>
      </c>
      <c r="C659" s="1" t="n">
        <v>46062</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61002-2024</t>
        </is>
      </c>
      <c r="B660" s="1" t="n">
        <v>45645.44158564815</v>
      </c>
      <c r="C660" s="1" t="n">
        <v>46062</v>
      </c>
      <c r="D660" t="inlineStr">
        <is>
          <t>JÄMTLANDS LÄN</t>
        </is>
      </c>
      <c r="E660" t="inlineStr">
        <is>
          <t>ÖSTERSUND</t>
        </is>
      </c>
      <c r="G660" t="n">
        <v>4.1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45166.9569675926</v>
      </c>
      <c r="C661" s="1" t="n">
        <v>46062</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54883-2023</t>
        </is>
      </c>
      <c r="B662" s="1" t="n">
        <v>45236.62300925926</v>
      </c>
      <c r="C662" s="1" t="n">
        <v>46062</v>
      </c>
      <c r="D662" t="inlineStr">
        <is>
          <t>JÄMTLANDS LÄN</t>
        </is>
      </c>
      <c r="E662" t="inlineStr">
        <is>
          <t>ÖSTERSUND</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2730-2025</t>
        </is>
      </c>
      <c r="B663" s="1" t="n">
        <v>45677.44393518518</v>
      </c>
      <c r="C663" s="1" t="n">
        <v>46062</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62225-2022</t>
        </is>
      </c>
      <c r="B664" s="1" t="n">
        <v>44922</v>
      </c>
      <c r="C664" s="1" t="n">
        <v>46062</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8216-2025</t>
        </is>
      </c>
      <c r="B665" s="1" t="n">
        <v>45708.44947916667</v>
      </c>
      <c r="C665" s="1" t="n">
        <v>46062</v>
      </c>
      <c r="D665" t="inlineStr">
        <is>
          <t>JÄMTLANDS LÄN</t>
        </is>
      </c>
      <c r="E665" t="inlineStr">
        <is>
          <t>ÖSTERSUND</t>
        </is>
      </c>
      <c r="F665" t="inlineStr">
        <is>
          <t>Övriga Aktiebolag</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20634-2023</t>
        </is>
      </c>
      <c r="B666" s="1" t="n">
        <v>45057.9441087963</v>
      </c>
      <c r="C666" s="1" t="n">
        <v>46062</v>
      </c>
      <c r="D666" t="inlineStr">
        <is>
          <t>JÄMTLANDS LÄN</t>
        </is>
      </c>
      <c r="E666" t="inlineStr">
        <is>
          <t>ÖSTERSUND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10306-2023</t>
        </is>
      </c>
      <c r="B667" s="1" t="n">
        <v>44986.94196759259</v>
      </c>
      <c r="C667" s="1" t="n">
        <v>46062</v>
      </c>
      <c r="D667" t="inlineStr">
        <is>
          <t>JÄMTLANDS LÄN</t>
        </is>
      </c>
      <c r="E667" t="inlineStr">
        <is>
          <t>ÖSTERSUND</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16306-2025</t>
        </is>
      </c>
      <c r="B668" s="1" t="n">
        <v>45751.34664351852</v>
      </c>
      <c r="C668" s="1" t="n">
        <v>46062</v>
      </c>
      <c r="D668" t="inlineStr">
        <is>
          <t>JÄMTLANDS LÄN</t>
        </is>
      </c>
      <c r="E668" t="inlineStr">
        <is>
          <t>ÖSTERSUND</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26321-2022</t>
        </is>
      </c>
      <c r="B669" s="1" t="n">
        <v>44735</v>
      </c>
      <c r="C669" s="1" t="n">
        <v>46062</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46062</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22126-2021</t>
        </is>
      </c>
      <c r="B671" s="1" t="n">
        <v>44323</v>
      </c>
      <c r="C671" s="1" t="n">
        <v>46062</v>
      </c>
      <c r="D671" t="inlineStr">
        <is>
          <t>JÄMTLANDS LÄN</t>
        </is>
      </c>
      <c r="E671" t="inlineStr">
        <is>
          <t>ÖSTERSUND</t>
        </is>
      </c>
      <c r="G671" t="n">
        <v>1.4</v>
      </c>
      <c r="H671" t="n">
        <v>0</v>
      </c>
      <c r="I671" t="n">
        <v>0</v>
      </c>
      <c r="J671" t="n">
        <v>0</v>
      </c>
      <c r="K671" t="n">
        <v>0</v>
      </c>
      <c r="L671" t="n">
        <v>0</v>
      </c>
      <c r="M671" t="n">
        <v>0</v>
      </c>
      <c r="N671" t="n">
        <v>0</v>
      </c>
      <c r="O671" t="n">
        <v>0</v>
      </c>
      <c r="P671" t="n">
        <v>0</v>
      </c>
      <c r="Q671" t="n">
        <v>0</v>
      </c>
      <c r="R671" s="2" t="inlineStr"/>
    </row>
    <row r="672" ht="15" customHeight="1">
      <c r="A672" t="inlineStr">
        <is>
          <t>A 30217-2022</t>
        </is>
      </c>
      <c r="B672" s="1" t="n">
        <v>44757.92671296297</v>
      </c>
      <c r="C672" s="1" t="n">
        <v>46062</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55140-2023</t>
        </is>
      </c>
      <c r="B673" s="1" t="n">
        <v>45237.50966435186</v>
      </c>
      <c r="C673" s="1" t="n">
        <v>46062</v>
      </c>
      <c r="D673" t="inlineStr">
        <is>
          <t>JÄMTLANDS LÄN</t>
        </is>
      </c>
      <c r="E673" t="inlineStr">
        <is>
          <t>ÖSTERSUND</t>
        </is>
      </c>
      <c r="G673" t="n">
        <v>1.8</v>
      </c>
      <c r="H673" t="n">
        <v>0</v>
      </c>
      <c r="I673" t="n">
        <v>0</v>
      </c>
      <c r="J673" t="n">
        <v>0</v>
      </c>
      <c r="K673" t="n">
        <v>0</v>
      </c>
      <c r="L673" t="n">
        <v>0</v>
      </c>
      <c r="M673" t="n">
        <v>0</v>
      </c>
      <c r="N673" t="n">
        <v>0</v>
      </c>
      <c r="O673" t="n">
        <v>0</v>
      </c>
      <c r="P673" t="n">
        <v>0</v>
      </c>
      <c r="Q673" t="n">
        <v>0</v>
      </c>
      <c r="R673" s="2" t="inlineStr"/>
    </row>
    <row r="674" ht="15" customHeight="1">
      <c r="A674" t="inlineStr">
        <is>
          <t>A 54663-2022</t>
        </is>
      </c>
      <c r="B674" s="1" t="n">
        <v>44883.44737268519</v>
      </c>
      <c r="C674" s="1" t="n">
        <v>46062</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11052-2024</t>
        </is>
      </c>
      <c r="B675" s="1" t="n">
        <v>45370</v>
      </c>
      <c r="C675" s="1" t="n">
        <v>46062</v>
      </c>
      <c r="D675" t="inlineStr">
        <is>
          <t>JÄMTLANDS LÄN</t>
        </is>
      </c>
      <c r="E675" t="inlineStr">
        <is>
          <t>ÖSTERSUND</t>
        </is>
      </c>
      <c r="G675" t="n">
        <v>2.3</v>
      </c>
      <c r="H675" t="n">
        <v>0</v>
      </c>
      <c r="I675" t="n">
        <v>0</v>
      </c>
      <c r="J675" t="n">
        <v>0</v>
      </c>
      <c r="K675" t="n">
        <v>0</v>
      </c>
      <c r="L675" t="n">
        <v>0</v>
      </c>
      <c r="M675" t="n">
        <v>0</v>
      </c>
      <c r="N675" t="n">
        <v>0</v>
      </c>
      <c r="O675" t="n">
        <v>0</v>
      </c>
      <c r="P675" t="n">
        <v>0</v>
      </c>
      <c r="Q675" t="n">
        <v>0</v>
      </c>
      <c r="R675" s="2" t="inlineStr"/>
    </row>
    <row r="676" ht="15" customHeight="1">
      <c r="A676" t="inlineStr">
        <is>
          <t>A 37597-2023</t>
        </is>
      </c>
      <c r="B676" s="1" t="n">
        <v>45159.42180555555</v>
      </c>
      <c r="C676" s="1" t="n">
        <v>46062</v>
      </c>
      <c r="D676" t="inlineStr">
        <is>
          <t>JÄMTLANDS LÄN</t>
        </is>
      </c>
      <c r="E676" t="inlineStr">
        <is>
          <t>ÖSTERSUND</t>
        </is>
      </c>
      <c r="G676" t="n">
        <v>4.7</v>
      </c>
      <c r="H676" t="n">
        <v>0</v>
      </c>
      <c r="I676" t="n">
        <v>0</v>
      </c>
      <c r="J676" t="n">
        <v>0</v>
      </c>
      <c r="K676" t="n">
        <v>0</v>
      </c>
      <c r="L676" t="n">
        <v>0</v>
      </c>
      <c r="M676" t="n">
        <v>0</v>
      </c>
      <c r="N676" t="n">
        <v>0</v>
      </c>
      <c r="O676" t="n">
        <v>0</v>
      </c>
      <c r="P676" t="n">
        <v>0</v>
      </c>
      <c r="Q676" t="n">
        <v>0</v>
      </c>
      <c r="R676" s="2" t="inlineStr"/>
    </row>
    <row r="677" ht="15" customHeight="1">
      <c r="A677" t="inlineStr">
        <is>
          <t>A 55365-2024</t>
        </is>
      </c>
      <c r="B677" s="1" t="n">
        <v>45621.86827546296</v>
      </c>
      <c r="C677" s="1" t="n">
        <v>46062</v>
      </c>
      <c r="D677" t="inlineStr">
        <is>
          <t>JÄMTLANDS LÄN</t>
        </is>
      </c>
      <c r="E677" t="inlineStr">
        <is>
          <t>ÖSTERSUND</t>
        </is>
      </c>
      <c r="G677" t="n">
        <v>1.6</v>
      </c>
      <c r="H677" t="n">
        <v>0</v>
      </c>
      <c r="I677" t="n">
        <v>0</v>
      </c>
      <c r="J677" t="n">
        <v>0</v>
      </c>
      <c r="K677" t="n">
        <v>0</v>
      </c>
      <c r="L677" t="n">
        <v>0</v>
      </c>
      <c r="M677" t="n">
        <v>0</v>
      </c>
      <c r="N677" t="n">
        <v>0</v>
      </c>
      <c r="O677" t="n">
        <v>0</v>
      </c>
      <c r="P677" t="n">
        <v>0</v>
      </c>
      <c r="Q677" t="n">
        <v>0</v>
      </c>
      <c r="R677" s="2" t="inlineStr"/>
    </row>
    <row r="678" ht="15" customHeight="1">
      <c r="A678" t="inlineStr">
        <is>
          <t>A 44048-2024</t>
        </is>
      </c>
      <c r="B678" s="1" t="n">
        <v>45572.59430555555</v>
      </c>
      <c r="C678" s="1" t="n">
        <v>46062</v>
      </c>
      <c r="D678" t="inlineStr">
        <is>
          <t>JÄMTLANDS LÄN</t>
        </is>
      </c>
      <c r="E678" t="inlineStr">
        <is>
          <t>ÖSTERSUND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18429-2025</t>
        </is>
      </c>
      <c r="B679" s="1" t="n">
        <v>45762.63375</v>
      </c>
      <c r="C679" s="1" t="n">
        <v>46062</v>
      </c>
      <c r="D679" t="inlineStr">
        <is>
          <t>JÄMTLANDS LÄN</t>
        </is>
      </c>
      <c r="E679" t="inlineStr">
        <is>
          <t>ÖSTERSUND</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60349-2024</t>
        </is>
      </c>
      <c r="B680" s="1" t="n">
        <v>45643.42986111111</v>
      </c>
      <c r="C680" s="1" t="n">
        <v>46062</v>
      </c>
      <c r="D680" t="inlineStr">
        <is>
          <t>JÄMTLANDS LÄN</t>
        </is>
      </c>
      <c r="E680" t="inlineStr">
        <is>
          <t>ÖSTERSUND</t>
        </is>
      </c>
      <c r="F680" t="inlineStr">
        <is>
          <t>Sveaskog</t>
        </is>
      </c>
      <c r="G680" t="n">
        <v>16.6</v>
      </c>
      <c r="H680" t="n">
        <v>0</v>
      </c>
      <c r="I680" t="n">
        <v>0</v>
      </c>
      <c r="J680" t="n">
        <v>0</v>
      </c>
      <c r="K680" t="n">
        <v>0</v>
      </c>
      <c r="L680" t="n">
        <v>0</v>
      </c>
      <c r="M680" t="n">
        <v>0</v>
      </c>
      <c r="N680" t="n">
        <v>0</v>
      </c>
      <c r="O680" t="n">
        <v>0</v>
      </c>
      <c r="P680" t="n">
        <v>0</v>
      </c>
      <c r="Q680" t="n">
        <v>0</v>
      </c>
      <c r="R680" s="2" t="inlineStr"/>
    </row>
    <row r="681" ht="15" customHeight="1">
      <c r="A681" t="inlineStr">
        <is>
          <t>A 17574-2022</t>
        </is>
      </c>
      <c r="B681" s="1" t="n">
        <v>44679.92574074074</v>
      </c>
      <c r="C681" s="1" t="n">
        <v>46062</v>
      </c>
      <c r="D681" t="inlineStr">
        <is>
          <t>JÄMTLANDS LÄN</t>
        </is>
      </c>
      <c r="E681" t="inlineStr">
        <is>
          <t>ÖSTERSUND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61332-2024</t>
        </is>
      </c>
      <c r="B682" s="1" t="n">
        <v>45646.35685185185</v>
      </c>
      <c r="C682" s="1" t="n">
        <v>46062</v>
      </c>
      <c r="D682" t="inlineStr">
        <is>
          <t>JÄMTLANDS LÄN</t>
        </is>
      </c>
      <c r="E682" t="inlineStr">
        <is>
          <t>ÖSTERSUND</t>
        </is>
      </c>
      <c r="G682" t="n">
        <v>3.2</v>
      </c>
      <c r="H682" t="n">
        <v>0</v>
      </c>
      <c r="I682" t="n">
        <v>0</v>
      </c>
      <c r="J682" t="n">
        <v>0</v>
      </c>
      <c r="K682" t="n">
        <v>0</v>
      </c>
      <c r="L682" t="n">
        <v>0</v>
      </c>
      <c r="M682" t="n">
        <v>0</v>
      </c>
      <c r="N682" t="n">
        <v>0</v>
      </c>
      <c r="O682" t="n">
        <v>0</v>
      </c>
      <c r="P682" t="n">
        <v>0</v>
      </c>
      <c r="Q682" t="n">
        <v>0</v>
      </c>
      <c r="R682" s="2" t="inlineStr"/>
    </row>
    <row r="683" ht="15" customHeight="1">
      <c r="A683" t="inlineStr">
        <is>
          <t>A 32998-2021</t>
        </is>
      </c>
      <c r="B683" s="1" t="n">
        <v>44375</v>
      </c>
      <c r="C683" s="1" t="n">
        <v>46062</v>
      </c>
      <c r="D683" t="inlineStr">
        <is>
          <t>JÄMTLANDS LÄN</t>
        </is>
      </c>
      <c r="E683" t="inlineStr">
        <is>
          <t>ÖSTERSUND</t>
        </is>
      </c>
      <c r="G683" t="n">
        <v>0.1</v>
      </c>
      <c r="H683" t="n">
        <v>0</v>
      </c>
      <c r="I683" t="n">
        <v>0</v>
      </c>
      <c r="J683" t="n">
        <v>0</v>
      </c>
      <c r="K683" t="n">
        <v>0</v>
      </c>
      <c r="L683" t="n">
        <v>0</v>
      </c>
      <c r="M683" t="n">
        <v>0</v>
      </c>
      <c r="N683" t="n">
        <v>0</v>
      </c>
      <c r="O683" t="n">
        <v>0</v>
      </c>
      <c r="P683" t="n">
        <v>0</v>
      </c>
      <c r="Q683" t="n">
        <v>0</v>
      </c>
      <c r="R683" s="2" t="inlineStr"/>
    </row>
    <row r="684" ht="15" customHeight="1">
      <c r="A684" t="inlineStr">
        <is>
          <t>A 51941-2023</t>
        </is>
      </c>
      <c r="B684" s="1" t="n">
        <v>45223</v>
      </c>
      <c r="C684" s="1" t="n">
        <v>46062</v>
      </c>
      <c r="D684" t="inlineStr">
        <is>
          <t>JÄMTLANDS LÄN</t>
        </is>
      </c>
      <c r="E684" t="inlineStr">
        <is>
          <t>ÖSTERSUND</t>
        </is>
      </c>
      <c r="G684" t="n">
        <v>4.6</v>
      </c>
      <c r="H684" t="n">
        <v>0</v>
      </c>
      <c r="I684" t="n">
        <v>0</v>
      </c>
      <c r="J684" t="n">
        <v>0</v>
      </c>
      <c r="K684" t="n">
        <v>0</v>
      </c>
      <c r="L684" t="n">
        <v>0</v>
      </c>
      <c r="M684" t="n">
        <v>0</v>
      </c>
      <c r="N684" t="n">
        <v>0</v>
      </c>
      <c r="O684" t="n">
        <v>0</v>
      </c>
      <c r="P684" t="n">
        <v>0</v>
      </c>
      <c r="Q684" t="n">
        <v>0</v>
      </c>
      <c r="R684" s="2" t="inlineStr"/>
    </row>
    <row r="685" ht="15" customHeight="1">
      <c r="A685" t="inlineStr">
        <is>
          <t>A 33831-2021</t>
        </is>
      </c>
      <c r="B685" s="1" t="n">
        <v>44378</v>
      </c>
      <c r="C685" s="1" t="n">
        <v>46062</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51936-2023</t>
        </is>
      </c>
      <c r="B686" s="1" t="n">
        <v>45223.5036574074</v>
      </c>
      <c r="C686" s="1" t="n">
        <v>46062</v>
      </c>
      <c r="D686" t="inlineStr">
        <is>
          <t>JÄMTLANDS LÄN</t>
        </is>
      </c>
      <c r="E686" t="inlineStr">
        <is>
          <t>ÖSTERSUND</t>
        </is>
      </c>
      <c r="G686" t="n">
        <v>8.4</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45236.92776620371</v>
      </c>
      <c r="C687" s="1" t="n">
        <v>46062</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28179-2024</t>
        </is>
      </c>
      <c r="B688" s="1" t="n">
        <v>45477.26746527778</v>
      </c>
      <c r="C688" s="1" t="n">
        <v>46062</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13921-2023</t>
        </is>
      </c>
      <c r="B689" s="1" t="n">
        <v>45008</v>
      </c>
      <c r="C689" s="1" t="n">
        <v>46062</v>
      </c>
      <c r="D689" t="inlineStr">
        <is>
          <t>JÄMTLANDS LÄN</t>
        </is>
      </c>
      <c r="E689" t="inlineStr">
        <is>
          <t>ÖSTERSUND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207-2025</t>
        </is>
      </c>
      <c r="B690" s="1" t="n">
        <v>45660.32672453704</v>
      </c>
      <c r="C690" s="1" t="n">
        <v>46062</v>
      </c>
      <c r="D690" t="inlineStr">
        <is>
          <t>JÄMTLANDS LÄN</t>
        </is>
      </c>
      <c r="E690" t="inlineStr">
        <is>
          <t>ÖSTERSUND</t>
        </is>
      </c>
      <c r="G690" t="n">
        <v>4</v>
      </c>
      <c r="H690" t="n">
        <v>0</v>
      </c>
      <c r="I690" t="n">
        <v>0</v>
      </c>
      <c r="J690" t="n">
        <v>0</v>
      </c>
      <c r="K690" t="n">
        <v>0</v>
      </c>
      <c r="L690" t="n">
        <v>0</v>
      </c>
      <c r="M690" t="n">
        <v>0</v>
      </c>
      <c r="N690" t="n">
        <v>0</v>
      </c>
      <c r="O690" t="n">
        <v>0</v>
      </c>
      <c r="P690" t="n">
        <v>0</v>
      </c>
      <c r="Q690" t="n">
        <v>0</v>
      </c>
      <c r="R690" s="2" t="inlineStr"/>
    </row>
    <row r="691" ht="15" customHeight="1">
      <c r="A691" t="inlineStr">
        <is>
          <t>A 13738-2025</t>
        </is>
      </c>
      <c r="B691" s="1" t="n">
        <v>45737.40131944444</v>
      </c>
      <c r="C691" s="1" t="n">
        <v>46062</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18577-2025</t>
        </is>
      </c>
      <c r="B692" s="1" t="n">
        <v>45763</v>
      </c>
      <c r="C692" s="1" t="n">
        <v>46062</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18578-2025</t>
        </is>
      </c>
      <c r="B693" s="1" t="n">
        <v>45763</v>
      </c>
      <c r="C693" s="1" t="n">
        <v>46062</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59691-2024</t>
        </is>
      </c>
      <c r="B694" s="1" t="n">
        <v>45639.40684027778</v>
      </c>
      <c r="C694" s="1" t="n">
        <v>46062</v>
      </c>
      <c r="D694" t="inlineStr">
        <is>
          <t>JÄMTLANDS LÄN</t>
        </is>
      </c>
      <c r="E694" t="inlineStr">
        <is>
          <t>ÖSTERSUND</t>
        </is>
      </c>
      <c r="F694" t="inlineStr">
        <is>
          <t>SCA</t>
        </is>
      </c>
      <c r="G694" t="n">
        <v>15.9</v>
      </c>
      <c r="H694" t="n">
        <v>0</v>
      </c>
      <c r="I694" t="n">
        <v>0</v>
      </c>
      <c r="J694" t="n">
        <v>0</v>
      </c>
      <c r="K694" t="n">
        <v>0</v>
      </c>
      <c r="L694" t="n">
        <v>0</v>
      </c>
      <c r="M694" t="n">
        <v>0</v>
      </c>
      <c r="N694" t="n">
        <v>0</v>
      </c>
      <c r="O694" t="n">
        <v>0</v>
      </c>
      <c r="P694" t="n">
        <v>0</v>
      </c>
      <c r="Q694" t="n">
        <v>0</v>
      </c>
      <c r="R694" s="2" t="inlineStr"/>
    </row>
    <row r="695" ht="15" customHeight="1">
      <c r="A695" t="inlineStr">
        <is>
          <t>A 13655-2025</t>
        </is>
      </c>
      <c r="B695" s="1" t="n">
        <v>45736.71956018519</v>
      </c>
      <c r="C695" s="1" t="n">
        <v>46062</v>
      </c>
      <c r="D695" t="inlineStr">
        <is>
          <t>JÄMTLANDS LÄN</t>
        </is>
      </c>
      <c r="E695" t="inlineStr">
        <is>
          <t>ÖSTERSUND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23563-2022</t>
        </is>
      </c>
      <c r="B696" s="1" t="n">
        <v>44721.47241898148</v>
      </c>
      <c r="C696" s="1" t="n">
        <v>46062</v>
      </c>
      <c r="D696" t="inlineStr">
        <is>
          <t>JÄMTLANDS LÄN</t>
        </is>
      </c>
      <c r="E696" t="inlineStr">
        <is>
          <t>ÖSTERSUND</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27118-2023</t>
        </is>
      </c>
      <c r="B697" s="1" t="n">
        <v>45096</v>
      </c>
      <c r="C697" s="1" t="n">
        <v>46062</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8972-2022</t>
        </is>
      </c>
      <c r="B698" s="1" t="n">
        <v>44614.91989583334</v>
      </c>
      <c r="C698" s="1" t="n">
        <v>46062</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10305-2023</t>
        </is>
      </c>
      <c r="B699" s="1" t="n">
        <v>44986</v>
      </c>
      <c r="C699" s="1" t="n">
        <v>46062</v>
      </c>
      <c r="D699" t="inlineStr">
        <is>
          <t>JÄMTLANDS LÄN</t>
        </is>
      </c>
      <c r="E699" t="inlineStr">
        <is>
          <t>ÖSTERSUND</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51865-2024</t>
        </is>
      </c>
      <c r="B700" s="1" t="n">
        <v>45607.55260416667</v>
      </c>
      <c r="C700" s="1" t="n">
        <v>46062</v>
      </c>
      <c r="D700" t="inlineStr">
        <is>
          <t>JÄMTLANDS LÄN</t>
        </is>
      </c>
      <c r="E700" t="inlineStr">
        <is>
          <t>ÖSTERSUND</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55235-2023</t>
        </is>
      </c>
      <c r="B701" s="1" t="n">
        <v>45231</v>
      </c>
      <c r="C701" s="1" t="n">
        <v>46062</v>
      </c>
      <c r="D701" t="inlineStr">
        <is>
          <t>JÄMTLANDS LÄN</t>
        </is>
      </c>
      <c r="E701" t="inlineStr">
        <is>
          <t>ÖSTERSUND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7953-2025</t>
        </is>
      </c>
      <c r="B702" s="1" t="n">
        <v>45707.42392361111</v>
      </c>
      <c r="C702" s="1" t="n">
        <v>46062</v>
      </c>
      <c r="D702" t="inlineStr">
        <is>
          <t>JÄMTLANDS LÄN</t>
        </is>
      </c>
      <c r="E702" t="inlineStr">
        <is>
          <t>ÖSTERSUND</t>
        </is>
      </c>
      <c r="G702" t="n">
        <v>1.8</v>
      </c>
      <c r="H702" t="n">
        <v>0</v>
      </c>
      <c r="I702" t="n">
        <v>0</v>
      </c>
      <c r="J702" t="n">
        <v>0</v>
      </c>
      <c r="K702" t="n">
        <v>0</v>
      </c>
      <c r="L702" t="n">
        <v>0</v>
      </c>
      <c r="M702" t="n">
        <v>0</v>
      </c>
      <c r="N702" t="n">
        <v>0</v>
      </c>
      <c r="O702" t="n">
        <v>0</v>
      </c>
      <c r="P702" t="n">
        <v>0</v>
      </c>
      <c r="Q702" t="n">
        <v>0</v>
      </c>
      <c r="R702" s="2" t="inlineStr"/>
    </row>
    <row r="703" ht="15" customHeight="1">
      <c r="A703" t="inlineStr">
        <is>
          <t>A 4350-2024</t>
        </is>
      </c>
      <c r="B703" s="1" t="n">
        <v>45324.93804398148</v>
      </c>
      <c r="C703" s="1" t="n">
        <v>46062</v>
      </c>
      <c r="D703" t="inlineStr">
        <is>
          <t>JÄMTLANDS LÄN</t>
        </is>
      </c>
      <c r="E703" t="inlineStr">
        <is>
          <t>ÖSTERSUND</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2756-2024</t>
        </is>
      </c>
      <c r="B704" s="1" t="n">
        <v>45314.58785879629</v>
      </c>
      <c r="C704" s="1" t="n">
        <v>46062</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70256-2021</t>
        </is>
      </c>
      <c r="B705" s="1" t="n">
        <v>44533</v>
      </c>
      <c r="C705" s="1" t="n">
        <v>46062</v>
      </c>
      <c r="D705" t="inlineStr">
        <is>
          <t>JÄMTLANDS LÄN</t>
        </is>
      </c>
      <c r="E705" t="inlineStr">
        <is>
          <t>ÖSTERSUND</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4136-2023</t>
        </is>
      </c>
      <c r="B706" s="1" t="n">
        <v>44952</v>
      </c>
      <c r="C706" s="1" t="n">
        <v>46062</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1893-2023</t>
        </is>
      </c>
      <c r="B707" s="1" t="n">
        <v>44937</v>
      </c>
      <c r="C707" s="1" t="n">
        <v>46062</v>
      </c>
      <c r="D707" t="inlineStr">
        <is>
          <t>JÄMTLANDS LÄN</t>
        </is>
      </c>
      <c r="E707" t="inlineStr">
        <is>
          <t>ÖSTERSUND</t>
        </is>
      </c>
      <c r="G707" t="n">
        <v>11</v>
      </c>
      <c r="H707" t="n">
        <v>0</v>
      </c>
      <c r="I707" t="n">
        <v>0</v>
      </c>
      <c r="J707" t="n">
        <v>0</v>
      </c>
      <c r="K707" t="n">
        <v>0</v>
      </c>
      <c r="L707" t="n">
        <v>0</v>
      </c>
      <c r="M707" t="n">
        <v>0</v>
      </c>
      <c r="N707" t="n">
        <v>0</v>
      </c>
      <c r="O707" t="n">
        <v>0</v>
      </c>
      <c r="P707" t="n">
        <v>0</v>
      </c>
      <c r="Q707" t="n">
        <v>0</v>
      </c>
      <c r="R707" s="2" t="inlineStr"/>
    </row>
    <row r="708" ht="15" customHeight="1">
      <c r="A708" t="inlineStr">
        <is>
          <t>A 57556-2024</t>
        </is>
      </c>
      <c r="B708" s="1" t="n">
        <v>45630</v>
      </c>
      <c r="C708" s="1" t="n">
        <v>46062</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19566-2024</t>
        </is>
      </c>
      <c r="B709" s="1" t="n">
        <v>45429.92313657407</v>
      </c>
      <c r="C709" s="1" t="n">
        <v>46062</v>
      </c>
      <c r="D709" t="inlineStr">
        <is>
          <t>JÄMTLANDS LÄN</t>
        </is>
      </c>
      <c r="E709" t="inlineStr">
        <is>
          <t>ÖSTERSUND</t>
        </is>
      </c>
      <c r="G709" t="n">
        <v>0</v>
      </c>
      <c r="H709" t="n">
        <v>0</v>
      </c>
      <c r="I709" t="n">
        <v>0</v>
      </c>
      <c r="J709" t="n">
        <v>0</v>
      </c>
      <c r="K709" t="n">
        <v>0</v>
      </c>
      <c r="L709" t="n">
        <v>0</v>
      </c>
      <c r="M709" t="n">
        <v>0</v>
      </c>
      <c r="N709" t="n">
        <v>0</v>
      </c>
      <c r="O709" t="n">
        <v>0</v>
      </c>
      <c r="P709" t="n">
        <v>0</v>
      </c>
      <c r="Q709" t="n">
        <v>0</v>
      </c>
      <c r="R709" s="2" t="inlineStr"/>
    </row>
    <row r="710" ht="15" customHeight="1">
      <c r="A710" t="inlineStr">
        <is>
          <t>A 9552-2025</t>
        </is>
      </c>
      <c r="B710" s="1" t="n">
        <v>45715.59545138889</v>
      </c>
      <c r="C710" s="1" t="n">
        <v>46062</v>
      </c>
      <c r="D710" t="inlineStr">
        <is>
          <t>JÄMTLANDS LÄN</t>
        </is>
      </c>
      <c r="E710" t="inlineStr">
        <is>
          <t>ÖSTERSUND</t>
        </is>
      </c>
      <c r="G710" t="n">
        <v>1.6</v>
      </c>
      <c r="H710" t="n">
        <v>0</v>
      </c>
      <c r="I710" t="n">
        <v>0</v>
      </c>
      <c r="J710" t="n">
        <v>0</v>
      </c>
      <c r="K710" t="n">
        <v>0</v>
      </c>
      <c r="L710" t="n">
        <v>0</v>
      </c>
      <c r="M710" t="n">
        <v>0</v>
      </c>
      <c r="N710" t="n">
        <v>0</v>
      </c>
      <c r="O710" t="n">
        <v>0</v>
      </c>
      <c r="P710" t="n">
        <v>0</v>
      </c>
      <c r="Q710" t="n">
        <v>0</v>
      </c>
      <c r="R710" s="2" t="inlineStr"/>
    </row>
    <row r="711" ht="15" customHeight="1">
      <c r="A711" t="inlineStr">
        <is>
          <t>A 13024-2022</t>
        </is>
      </c>
      <c r="B711" s="1" t="n">
        <v>44643</v>
      </c>
      <c r="C711" s="1" t="n">
        <v>46062</v>
      </c>
      <c r="D711" t="inlineStr">
        <is>
          <t>JÄMTLANDS LÄN</t>
        </is>
      </c>
      <c r="E711" t="inlineStr">
        <is>
          <t>ÖSTERSUND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7233-2025</t>
        </is>
      </c>
      <c r="B712" s="1" t="n">
        <v>45702.51765046296</v>
      </c>
      <c r="C712" s="1" t="n">
        <v>46062</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4966-2025</t>
        </is>
      </c>
      <c r="B713" s="1" t="n">
        <v>45690.63628472222</v>
      </c>
      <c r="C713" s="1" t="n">
        <v>46062</v>
      </c>
      <c r="D713" t="inlineStr">
        <is>
          <t>JÄMTLANDS LÄN</t>
        </is>
      </c>
      <c r="E713" t="inlineStr">
        <is>
          <t>ÖSTERSUND</t>
        </is>
      </c>
      <c r="G713" t="n">
        <v>3.4</v>
      </c>
      <c r="H713" t="n">
        <v>0</v>
      </c>
      <c r="I713" t="n">
        <v>0</v>
      </c>
      <c r="J713" t="n">
        <v>0</v>
      </c>
      <c r="K713" t="n">
        <v>0</v>
      </c>
      <c r="L713" t="n">
        <v>0</v>
      </c>
      <c r="M713" t="n">
        <v>0</v>
      </c>
      <c r="N713" t="n">
        <v>0</v>
      </c>
      <c r="O713" t="n">
        <v>0</v>
      </c>
      <c r="P713" t="n">
        <v>0</v>
      </c>
      <c r="Q713" t="n">
        <v>0</v>
      </c>
      <c r="R713" s="2" t="inlineStr"/>
    </row>
    <row r="714" ht="15" customHeight="1">
      <c r="A714" t="inlineStr">
        <is>
          <t>A 2615-2024</t>
        </is>
      </c>
      <c r="B714" s="1" t="n">
        <v>45313</v>
      </c>
      <c r="C714" s="1" t="n">
        <v>46062</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33002-2021</t>
        </is>
      </c>
      <c r="B715" s="1" t="n">
        <v>44375</v>
      </c>
      <c r="C715" s="1" t="n">
        <v>46062</v>
      </c>
      <c r="D715" t="inlineStr">
        <is>
          <t>JÄMTLANDS LÄN</t>
        </is>
      </c>
      <c r="E715" t="inlineStr">
        <is>
          <t>ÖSTERSUND</t>
        </is>
      </c>
      <c r="G715" t="n">
        <v>0.2</v>
      </c>
      <c r="H715" t="n">
        <v>0</v>
      </c>
      <c r="I715" t="n">
        <v>0</v>
      </c>
      <c r="J715" t="n">
        <v>0</v>
      </c>
      <c r="K715" t="n">
        <v>0</v>
      </c>
      <c r="L715" t="n">
        <v>0</v>
      </c>
      <c r="M715" t="n">
        <v>0</v>
      </c>
      <c r="N715" t="n">
        <v>0</v>
      </c>
      <c r="O715" t="n">
        <v>0</v>
      </c>
      <c r="P715" t="n">
        <v>0</v>
      </c>
      <c r="Q715" t="n">
        <v>0</v>
      </c>
      <c r="R715" s="2" t="inlineStr"/>
    </row>
    <row r="716" ht="15" customHeight="1">
      <c r="A716" t="inlineStr">
        <is>
          <t>A 14542-2025</t>
        </is>
      </c>
      <c r="B716" s="1" t="n">
        <v>45741.68631944444</v>
      </c>
      <c r="C716" s="1" t="n">
        <v>46062</v>
      </c>
      <c r="D716" t="inlineStr">
        <is>
          <t>JÄMTLANDS LÄN</t>
        </is>
      </c>
      <c r="E716" t="inlineStr">
        <is>
          <t>ÖSTERSUND</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24786-2024</t>
        </is>
      </c>
      <c r="B717" s="1" t="n">
        <v>45460.81277777778</v>
      </c>
      <c r="C717" s="1" t="n">
        <v>46062</v>
      </c>
      <c r="D717" t="inlineStr">
        <is>
          <t>JÄMTLANDS LÄN</t>
        </is>
      </c>
      <c r="E717" t="inlineStr">
        <is>
          <t>ÖSTERSUND</t>
        </is>
      </c>
      <c r="G717" t="n">
        <v>0.1</v>
      </c>
      <c r="H717" t="n">
        <v>0</v>
      </c>
      <c r="I717" t="n">
        <v>0</v>
      </c>
      <c r="J717" t="n">
        <v>0</v>
      </c>
      <c r="K717" t="n">
        <v>0</v>
      </c>
      <c r="L717" t="n">
        <v>0</v>
      </c>
      <c r="M717" t="n">
        <v>0</v>
      </c>
      <c r="N717" t="n">
        <v>0</v>
      </c>
      <c r="O717" t="n">
        <v>0</v>
      </c>
      <c r="P717" t="n">
        <v>0</v>
      </c>
      <c r="Q717" t="n">
        <v>0</v>
      </c>
      <c r="R717" s="2" t="inlineStr"/>
    </row>
    <row r="718" ht="15" customHeight="1">
      <c r="A718" t="inlineStr">
        <is>
          <t>A 53660-2024</t>
        </is>
      </c>
      <c r="B718" s="1" t="n">
        <v>45615.31297453704</v>
      </c>
      <c r="C718" s="1" t="n">
        <v>46062</v>
      </c>
      <c r="D718" t="inlineStr">
        <is>
          <t>JÄMTLANDS LÄN</t>
        </is>
      </c>
      <c r="E718" t="inlineStr">
        <is>
          <t>ÖSTERSUND</t>
        </is>
      </c>
      <c r="G718" t="n">
        <v>1.1</v>
      </c>
      <c r="H718" t="n">
        <v>0</v>
      </c>
      <c r="I718" t="n">
        <v>0</v>
      </c>
      <c r="J718" t="n">
        <v>0</v>
      </c>
      <c r="K718" t="n">
        <v>0</v>
      </c>
      <c r="L718" t="n">
        <v>0</v>
      </c>
      <c r="M718" t="n">
        <v>0</v>
      </c>
      <c r="N718" t="n">
        <v>0</v>
      </c>
      <c r="O718" t="n">
        <v>0</v>
      </c>
      <c r="P718" t="n">
        <v>0</v>
      </c>
      <c r="Q718" t="n">
        <v>0</v>
      </c>
      <c r="R718" s="2" t="inlineStr"/>
    </row>
    <row r="719" ht="15" customHeight="1">
      <c r="A719" t="inlineStr">
        <is>
          <t>A 16682-2023</t>
        </is>
      </c>
      <c r="B719" s="1" t="n">
        <v>45028</v>
      </c>
      <c r="C719" s="1" t="n">
        <v>46062</v>
      </c>
      <c r="D719" t="inlineStr">
        <is>
          <t>JÄMTLANDS LÄN</t>
        </is>
      </c>
      <c r="E719" t="inlineStr">
        <is>
          <t>ÖSTERSUND</t>
        </is>
      </c>
      <c r="G719" t="n">
        <v>7.9</v>
      </c>
      <c r="H719" t="n">
        <v>0</v>
      </c>
      <c r="I719" t="n">
        <v>0</v>
      </c>
      <c r="J719" t="n">
        <v>0</v>
      </c>
      <c r="K719" t="n">
        <v>0</v>
      </c>
      <c r="L719" t="n">
        <v>0</v>
      </c>
      <c r="M719" t="n">
        <v>0</v>
      </c>
      <c r="N719" t="n">
        <v>0</v>
      </c>
      <c r="O719" t="n">
        <v>0</v>
      </c>
      <c r="P719" t="n">
        <v>0</v>
      </c>
      <c r="Q719" t="n">
        <v>0</v>
      </c>
      <c r="R719" s="2" t="inlineStr"/>
    </row>
    <row r="720" ht="15" customHeight="1">
      <c r="A720" t="inlineStr">
        <is>
          <t>A 1670-2024</t>
        </is>
      </c>
      <c r="B720" s="1" t="n">
        <v>45306</v>
      </c>
      <c r="C720" s="1" t="n">
        <v>46062</v>
      </c>
      <c r="D720" t="inlineStr">
        <is>
          <t>JÄMTLANDS LÄN</t>
        </is>
      </c>
      <c r="E720" t="inlineStr">
        <is>
          <t>ÖSTERSUND</t>
        </is>
      </c>
      <c r="G720" t="n">
        <v>1.2</v>
      </c>
      <c r="H720" t="n">
        <v>0</v>
      </c>
      <c r="I720" t="n">
        <v>0</v>
      </c>
      <c r="J720" t="n">
        <v>0</v>
      </c>
      <c r="K720" t="n">
        <v>0</v>
      </c>
      <c r="L720" t="n">
        <v>0</v>
      </c>
      <c r="M720" t="n">
        <v>0</v>
      </c>
      <c r="N720" t="n">
        <v>0</v>
      </c>
      <c r="O720" t="n">
        <v>0</v>
      </c>
      <c r="P720" t="n">
        <v>0</v>
      </c>
      <c r="Q720" t="n">
        <v>0</v>
      </c>
      <c r="R720" s="2" t="inlineStr"/>
    </row>
    <row r="721" ht="15" customHeight="1">
      <c r="A721" t="inlineStr">
        <is>
          <t>A 56111-2022</t>
        </is>
      </c>
      <c r="B721" s="1" t="n">
        <v>44889</v>
      </c>
      <c r="C721" s="1" t="n">
        <v>46062</v>
      </c>
      <c r="D721" t="inlineStr">
        <is>
          <t>JÄMTLANDS LÄN</t>
        </is>
      </c>
      <c r="E721" t="inlineStr">
        <is>
          <t>ÖSTERSUND</t>
        </is>
      </c>
      <c r="G721" t="n">
        <v>2.5</v>
      </c>
      <c r="H721" t="n">
        <v>0</v>
      </c>
      <c r="I721" t="n">
        <v>0</v>
      </c>
      <c r="J721" t="n">
        <v>0</v>
      </c>
      <c r="K721" t="n">
        <v>0</v>
      </c>
      <c r="L721" t="n">
        <v>0</v>
      </c>
      <c r="M721" t="n">
        <v>0</v>
      </c>
      <c r="N721" t="n">
        <v>0</v>
      </c>
      <c r="O721" t="n">
        <v>0</v>
      </c>
      <c r="P721" t="n">
        <v>0</v>
      </c>
      <c r="Q721" t="n">
        <v>0</v>
      </c>
      <c r="R721" s="2" t="inlineStr"/>
    </row>
    <row r="722" ht="15" customHeight="1">
      <c r="A722" t="inlineStr">
        <is>
          <t>A 14867-2025</t>
        </is>
      </c>
      <c r="B722" s="1" t="n">
        <v>45743.44207175926</v>
      </c>
      <c r="C722" s="1" t="n">
        <v>46062</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5544-2025</t>
        </is>
      </c>
      <c r="B723" s="1" t="n">
        <v>45693</v>
      </c>
      <c r="C723" s="1" t="n">
        <v>46062</v>
      </c>
      <c r="D723" t="inlineStr">
        <is>
          <t>JÄMTLANDS LÄN</t>
        </is>
      </c>
      <c r="E723" t="inlineStr">
        <is>
          <t>ÖSTERSUND</t>
        </is>
      </c>
      <c r="G723" t="n">
        <v>5.8</v>
      </c>
      <c r="H723" t="n">
        <v>0</v>
      </c>
      <c r="I723" t="n">
        <v>0</v>
      </c>
      <c r="J723" t="n">
        <v>0</v>
      </c>
      <c r="K723" t="n">
        <v>0</v>
      </c>
      <c r="L723" t="n">
        <v>0</v>
      </c>
      <c r="M723" t="n">
        <v>0</v>
      </c>
      <c r="N723" t="n">
        <v>0</v>
      </c>
      <c r="O723" t="n">
        <v>0</v>
      </c>
      <c r="P723" t="n">
        <v>0</v>
      </c>
      <c r="Q723" t="n">
        <v>0</v>
      </c>
      <c r="R723" s="2" t="inlineStr"/>
    </row>
    <row r="724" ht="15" customHeight="1">
      <c r="A724" t="inlineStr">
        <is>
          <t>A 4707-2024</t>
        </is>
      </c>
      <c r="B724" s="1" t="n">
        <v>45328</v>
      </c>
      <c r="C724" s="1" t="n">
        <v>46062</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231-2022</t>
        </is>
      </c>
      <c r="B725" s="1" t="n">
        <v>44564.93909722222</v>
      </c>
      <c r="C725" s="1" t="n">
        <v>46062</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58952-2024</t>
        </is>
      </c>
      <c r="B726" s="1" t="n">
        <v>45636.5674537037</v>
      </c>
      <c r="C726" s="1" t="n">
        <v>46062</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46748-2023</t>
        </is>
      </c>
      <c r="B727" s="1" t="n">
        <v>45198</v>
      </c>
      <c r="C727" s="1" t="n">
        <v>46062</v>
      </c>
      <c r="D727" t="inlineStr">
        <is>
          <t>JÄMTLANDS LÄN</t>
        </is>
      </c>
      <c r="E727" t="inlineStr">
        <is>
          <t>ÖSTERSUND</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46763-2023</t>
        </is>
      </c>
      <c r="B728" s="1" t="n">
        <v>45198</v>
      </c>
      <c r="C728" s="1" t="n">
        <v>46062</v>
      </c>
      <c r="D728" t="inlineStr">
        <is>
          <t>JÄMTLANDS LÄN</t>
        </is>
      </c>
      <c r="E728" t="inlineStr">
        <is>
          <t>ÖSTERSUND</t>
        </is>
      </c>
      <c r="F728" t="inlineStr">
        <is>
          <t>Sveaskog</t>
        </is>
      </c>
      <c r="G728" t="n">
        <v>13.3</v>
      </c>
      <c r="H728" t="n">
        <v>0</v>
      </c>
      <c r="I728" t="n">
        <v>0</v>
      </c>
      <c r="J728" t="n">
        <v>0</v>
      </c>
      <c r="K728" t="n">
        <v>0</v>
      </c>
      <c r="L728" t="n">
        <v>0</v>
      </c>
      <c r="M728" t="n">
        <v>0</v>
      </c>
      <c r="N728" t="n">
        <v>0</v>
      </c>
      <c r="O728" t="n">
        <v>0</v>
      </c>
      <c r="P728" t="n">
        <v>0</v>
      </c>
      <c r="Q728" t="n">
        <v>0</v>
      </c>
      <c r="R728" s="2" t="inlineStr"/>
    </row>
    <row r="729" ht="15" customHeight="1">
      <c r="A729" t="inlineStr">
        <is>
          <t>A 5341-2025</t>
        </is>
      </c>
      <c r="B729" s="1" t="n">
        <v>45692.55256944444</v>
      </c>
      <c r="C729" s="1" t="n">
        <v>46062</v>
      </c>
      <c r="D729" t="inlineStr">
        <is>
          <t>JÄMTLANDS LÄN</t>
        </is>
      </c>
      <c r="E729" t="inlineStr">
        <is>
          <t>ÖSTERSUND</t>
        </is>
      </c>
      <c r="G729" t="n">
        <v>2.6</v>
      </c>
      <c r="H729" t="n">
        <v>0</v>
      </c>
      <c r="I729" t="n">
        <v>0</v>
      </c>
      <c r="J729" t="n">
        <v>0</v>
      </c>
      <c r="K729" t="n">
        <v>0</v>
      </c>
      <c r="L729" t="n">
        <v>0</v>
      </c>
      <c r="M729" t="n">
        <v>0</v>
      </c>
      <c r="N729" t="n">
        <v>0</v>
      </c>
      <c r="O729" t="n">
        <v>0</v>
      </c>
      <c r="P729" t="n">
        <v>0</v>
      </c>
      <c r="Q729" t="n">
        <v>0</v>
      </c>
      <c r="R729" s="2" t="inlineStr"/>
    </row>
    <row r="730" ht="15" customHeight="1">
      <c r="A730" t="inlineStr">
        <is>
          <t>A 21060-2025</t>
        </is>
      </c>
      <c r="B730" s="1" t="n">
        <v>45777.58025462963</v>
      </c>
      <c r="C730" s="1" t="n">
        <v>46062</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21094-2025</t>
        </is>
      </c>
      <c r="B731" s="1" t="n">
        <v>45777.62665509259</v>
      </c>
      <c r="C731" s="1" t="n">
        <v>46062</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21237-2025</t>
        </is>
      </c>
      <c r="B732" s="1" t="n">
        <v>45779</v>
      </c>
      <c r="C732" s="1" t="n">
        <v>46062</v>
      </c>
      <c r="D732" t="inlineStr">
        <is>
          <t>JÄMTLANDS LÄN</t>
        </is>
      </c>
      <c r="E732" t="inlineStr">
        <is>
          <t>ÖSTERSUND</t>
        </is>
      </c>
      <c r="G732" t="n">
        <v>0.4</v>
      </c>
      <c r="H732" t="n">
        <v>0</v>
      </c>
      <c r="I732" t="n">
        <v>0</v>
      </c>
      <c r="J732" t="n">
        <v>0</v>
      </c>
      <c r="K732" t="n">
        <v>0</v>
      </c>
      <c r="L732" t="n">
        <v>0</v>
      </c>
      <c r="M732" t="n">
        <v>0</v>
      </c>
      <c r="N732" t="n">
        <v>0</v>
      </c>
      <c r="O732" t="n">
        <v>0</v>
      </c>
      <c r="P732" t="n">
        <v>0</v>
      </c>
      <c r="Q732" t="n">
        <v>0</v>
      </c>
      <c r="R732" s="2" t="inlineStr"/>
    </row>
    <row r="733" ht="15" customHeight="1">
      <c r="A733" t="inlineStr">
        <is>
          <t>A 16812-2025</t>
        </is>
      </c>
      <c r="B733" s="1" t="n">
        <v>45754</v>
      </c>
      <c r="C733" s="1" t="n">
        <v>46062</v>
      </c>
      <c r="D733" t="inlineStr">
        <is>
          <t>JÄMTLANDS LÄN</t>
        </is>
      </c>
      <c r="E733" t="inlineStr">
        <is>
          <t>ÖSTERSUND</t>
        </is>
      </c>
      <c r="F733" t="inlineStr">
        <is>
          <t>Övriga statliga verk och myndigheter</t>
        </is>
      </c>
      <c r="G733" t="n">
        <v>3.7</v>
      </c>
      <c r="H733" t="n">
        <v>0</v>
      </c>
      <c r="I733" t="n">
        <v>0</v>
      </c>
      <c r="J733" t="n">
        <v>0</v>
      </c>
      <c r="K733" t="n">
        <v>0</v>
      </c>
      <c r="L733" t="n">
        <v>0</v>
      </c>
      <c r="M733" t="n">
        <v>0</v>
      </c>
      <c r="N733" t="n">
        <v>0</v>
      </c>
      <c r="O733" t="n">
        <v>0</v>
      </c>
      <c r="P733" t="n">
        <v>0</v>
      </c>
      <c r="Q733" t="n">
        <v>0</v>
      </c>
      <c r="R733" s="2" t="inlineStr"/>
    </row>
    <row r="734" ht="15" customHeight="1">
      <c r="A734" t="inlineStr">
        <is>
          <t>A 14848-2025</t>
        </is>
      </c>
      <c r="B734" s="1" t="n">
        <v>45743.39528935185</v>
      </c>
      <c r="C734" s="1" t="n">
        <v>46062</v>
      </c>
      <c r="D734" t="inlineStr">
        <is>
          <t>JÄMTLANDS LÄN</t>
        </is>
      </c>
      <c r="E734" t="inlineStr">
        <is>
          <t>ÖSTERSUND</t>
        </is>
      </c>
      <c r="G734" t="n">
        <v>12.1</v>
      </c>
      <c r="H734" t="n">
        <v>0</v>
      </c>
      <c r="I734" t="n">
        <v>0</v>
      </c>
      <c r="J734" t="n">
        <v>0</v>
      </c>
      <c r="K734" t="n">
        <v>0</v>
      </c>
      <c r="L734" t="n">
        <v>0</v>
      </c>
      <c r="M734" t="n">
        <v>0</v>
      </c>
      <c r="N734" t="n">
        <v>0</v>
      </c>
      <c r="O734" t="n">
        <v>0</v>
      </c>
      <c r="P734" t="n">
        <v>0</v>
      </c>
      <c r="Q734" t="n">
        <v>0</v>
      </c>
      <c r="R734" s="2" t="inlineStr"/>
    </row>
    <row r="735" ht="15" customHeight="1">
      <c r="A735" t="inlineStr">
        <is>
          <t>A 16725-2025</t>
        </is>
      </c>
      <c r="B735" s="1" t="n">
        <v>45754</v>
      </c>
      <c r="C735" s="1" t="n">
        <v>46062</v>
      </c>
      <c r="D735" t="inlineStr">
        <is>
          <t>JÄMTLANDS LÄN</t>
        </is>
      </c>
      <c r="E735" t="inlineStr">
        <is>
          <t>ÖSTERSUND</t>
        </is>
      </c>
      <c r="F735" t="inlineStr">
        <is>
          <t>Övriga statliga verk och myndigheter</t>
        </is>
      </c>
      <c r="G735" t="n">
        <v>3.7</v>
      </c>
      <c r="H735" t="n">
        <v>0</v>
      </c>
      <c r="I735" t="n">
        <v>0</v>
      </c>
      <c r="J735" t="n">
        <v>0</v>
      </c>
      <c r="K735" t="n">
        <v>0</v>
      </c>
      <c r="L735" t="n">
        <v>0</v>
      </c>
      <c r="M735" t="n">
        <v>0</v>
      </c>
      <c r="N735" t="n">
        <v>0</v>
      </c>
      <c r="O735" t="n">
        <v>0</v>
      </c>
      <c r="P735" t="n">
        <v>0</v>
      </c>
      <c r="Q735" t="n">
        <v>0</v>
      </c>
      <c r="R735" s="2" t="inlineStr"/>
    </row>
    <row r="736" ht="15" customHeight="1">
      <c r="A736" t="inlineStr">
        <is>
          <t>A 4480-2025</t>
        </is>
      </c>
      <c r="B736" s="1" t="n">
        <v>45686.64175925926</v>
      </c>
      <c r="C736" s="1" t="n">
        <v>46062</v>
      </c>
      <c r="D736" t="inlineStr">
        <is>
          <t>JÄMTLANDS LÄN</t>
        </is>
      </c>
      <c r="E736" t="inlineStr">
        <is>
          <t>ÖSTERSUND</t>
        </is>
      </c>
      <c r="G736" t="n">
        <v>27.7</v>
      </c>
      <c r="H736" t="n">
        <v>0</v>
      </c>
      <c r="I736" t="n">
        <v>0</v>
      </c>
      <c r="J736" t="n">
        <v>0</v>
      </c>
      <c r="K736" t="n">
        <v>0</v>
      </c>
      <c r="L736" t="n">
        <v>0</v>
      </c>
      <c r="M736" t="n">
        <v>0</v>
      </c>
      <c r="N736" t="n">
        <v>0</v>
      </c>
      <c r="O736" t="n">
        <v>0</v>
      </c>
      <c r="P736" t="n">
        <v>0</v>
      </c>
      <c r="Q736" t="n">
        <v>0</v>
      </c>
      <c r="R736" s="2" t="inlineStr"/>
    </row>
    <row r="737" ht="15" customHeight="1">
      <c r="A737" t="inlineStr">
        <is>
          <t>A 22612-2025</t>
        </is>
      </c>
      <c r="B737" s="1" t="n">
        <v>45789.42538194444</v>
      </c>
      <c r="C737" s="1" t="n">
        <v>46062</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17948-2025</t>
        </is>
      </c>
      <c r="B738" s="1" t="n">
        <v>45760.66995370371</v>
      </c>
      <c r="C738" s="1" t="n">
        <v>46062</v>
      </c>
      <c r="D738" t="inlineStr">
        <is>
          <t>JÄMTLANDS LÄN</t>
        </is>
      </c>
      <c r="E738" t="inlineStr">
        <is>
          <t>ÖSTERSUND</t>
        </is>
      </c>
      <c r="G738" t="n">
        <v>3.9</v>
      </c>
      <c r="H738" t="n">
        <v>0</v>
      </c>
      <c r="I738" t="n">
        <v>0</v>
      </c>
      <c r="J738" t="n">
        <v>0</v>
      </c>
      <c r="K738" t="n">
        <v>0</v>
      </c>
      <c r="L738" t="n">
        <v>0</v>
      </c>
      <c r="M738" t="n">
        <v>0</v>
      </c>
      <c r="N738" t="n">
        <v>0</v>
      </c>
      <c r="O738" t="n">
        <v>0</v>
      </c>
      <c r="P738" t="n">
        <v>0</v>
      </c>
      <c r="Q738" t="n">
        <v>0</v>
      </c>
      <c r="R738" s="2" t="inlineStr"/>
    </row>
    <row r="739" ht="15" customHeight="1">
      <c r="A739" t="inlineStr">
        <is>
          <t>A 4520-2025</t>
        </is>
      </c>
      <c r="B739" s="1" t="n">
        <v>45686.92384259259</v>
      </c>
      <c r="C739" s="1" t="n">
        <v>46062</v>
      </c>
      <c r="D739" t="inlineStr">
        <is>
          <t>JÄMTLANDS LÄN</t>
        </is>
      </c>
      <c r="E739" t="inlineStr">
        <is>
          <t>ÖSTERSUND</t>
        </is>
      </c>
      <c r="G739" t="n">
        <v>15.2</v>
      </c>
      <c r="H739" t="n">
        <v>0</v>
      </c>
      <c r="I739" t="n">
        <v>0</v>
      </c>
      <c r="J739" t="n">
        <v>0</v>
      </c>
      <c r="K739" t="n">
        <v>0</v>
      </c>
      <c r="L739" t="n">
        <v>0</v>
      </c>
      <c r="M739" t="n">
        <v>0</v>
      </c>
      <c r="N739" t="n">
        <v>0</v>
      </c>
      <c r="O739" t="n">
        <v>0</v>
      </c>
      <c r="P739" t="n">
        <v>0</v>
      </c>
      <c r="Q739" t="n">
        <v>0</v>
      </c>
      <c r="R739" s="2" t="inlineStr"/>
    </row>
    <row r="740" ht="15" customHeight="1">
      <c r="A740" t="inlineStr">
        <is>
          <t>A 4523-2025</t>
        </is>
      </c>
      <c r="B740" s="1" t="n">
        <v>45686.92864583333</v>
      </c>
      <c r="C740" s="1" t="n">
        <v>46062</v>
      </c>
      <c r="D740" t="inlineStr">
        <is>
          <t>JÄMTLANDS LÄN</t>
        </is>
      </c>
      <c r="E740" t="inlineStr">
        <is>
          <t>ÖSTERSUND</t>
        </is>
      </c>
      <c r="G740" t="n">
        <v>15.2</v>
      </c>
      <c r="H740" t="n">
        <v>0</v>
      </c>
      <c r="I740" t="n">
        <v>0</v>
      </c>
      <c r="J740" t="n">
        <v>0</v>
      </c>
      <c r="K740" t="n">
        <v>0</v>
      </c>
      <c r="L740" t="n">
        <v>0</v>
      </c>
      <c r="M740" t="n">
        <v>0</v>
      </c>
      <c r="N740" t="n">
        <v>0</v>
      </c>
      <c r="O740" t="n">
        <v>0</v>
      </c>
      <c r="P740" t="n">
        <v>0</v>
      </c>
      <c r="Q740" t="n">
        <v>0</v>
      </c>
      <c r="R740" s="2" t="inlineStr"/>
    </row>
    <row r="741" ht="15" customHeight="1">
      <c r="A741" t="inlineStr">
        <is>
          <t>A 22713-2025</t>
        </is>
      </c>
      <c r="B741" s="1" t="n">
        <v>45789.56414351852</v>
      </c>
      <c r="C741" s="1" t="n">
        <v>46062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22822-2025</t>
        </is>
      </c>
      <c r="B742" s="1" t="n">
        <v>45789</v>
      </c>
      <c r="C742" s="1" t="n">
        <v>46062</v>
      </c>
      <c r="D742" t="inlineStr">
        <is>
          <t>JÄMTLANDS LÄN</t>
        </is>
      </c>
      <c r="E742" t="inlineStr">
        <is>
          <t>ÖSTERSUND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22384-2025</t>
        </is>
      </c>
      <c r="B743" s="1" t="n">
        <v>45786</v>
      </c>
      <c r="C743" s="1" t="n">
        <v>46062</v>
      </c>
      <c r="D743" t="inlineStr">
        <is>
          <t>JÄMTLANDS LÄN</t>
        </is>
      </c>
      <c r="E743" t="inlineStr">
        <is>
          <t>ÖSTERSUND</t>
        </is>
      </c>
      <c r="G743" t="n">
        <v>1.4</v>
      </c>
      <c r="H743" t="n">
        <v>0</v>
      </c>
      <c r="I743" t="n">
        <v>0</v>
      </c>
      <c r="J743" t="n">
        <v>0</v>
      </c>
      <c r="K743" t="n">
        <v>0</v>
      </c>
      <c r="L743" t="n">
        <v>0</v>
      </c>
      <c r="M743" t="n">
        <v>0</v>
      </c>
      <c r="N743" t="n">
        <v>0</v>
      </c>
      <c r="O743" t="n">
        <v>0</v>
      </c>
      <c r="P743" t="n">
        <v>0</v>
      </c>
      <c r="Q743" t="n">
        <v>0</v>
      </c>
      <c r="R743" s="2" t="inlineStr"/>
    </row>
    <row r="744" ht="15" customHeight="1">
      <c r="A744" t="inlineStr">
        <is>
          <t>A 23249-2025</t>
        </is>
      </c>
      <c r="B744" s="1" t="n">
        <v>45791</v>
      </c>
      <c r="C744" s="1" t="n">
        <v>46062</v>
      </c>
      <c r="D744" t="inlineStr">
        <is>
          <t>JÄMTLANDS LÄN</t>
        </is>
      </c>
      <c r="E744" t="inlineStr">
        <is>
          <t>ÖSTERSUND</t>
        </is>
      </c>
      <c r="G744" t="n">
        <v>10</v>
      </c>
      <c r="H744" t="n">
        <v>0</v>
      </c>
      <c r="I744" t="n">
        <v>0</v>
      </c>
      <c r="J744" t="n">
        <v>0</v>
      </c>
      <c r="K744" t="n">
        <v>0</v>
      </c>
      <c r="L744" t="n">
        <v>0</v>
      </c>
      <c r="M744" t="n">
        <v>0</v>
      </c>
      <c r="N744" t="n">
        <v>0</v>
      </c>
      <c r="O744" t="n">
        <v>0</v>
      </c>
      <c r="P744" t="n">
        <v>0</v>
      </c>
      <c r="Q744" t="n">
        <v>0</v>
      </c>
      <c r="R744" s="2" t="inlineStr"/>
    </row>
    <row r="745" ht="15" customHeight="1">
      <c r="A745" t="inlineStr">
        <is>
          <t>A 7938-2025</t>
        </is>
      </c>
      <c r="B745" s="1" t="n">
        <v>45707</v>
      </c>
      <c r="C745" s="1" t="n">
        <v>46062</v>
      </c>
      <c r="D745" t="inlineStr">
        <is>
          <t>JÄMTLANDS LÄN</t>
        </is>
      </c>
      <c r="E745" t="inlineStr">
        <is>
          <t>ÖSTERSUND</t>
        </is>
      </c>
      <c r="G745" t="n">
        <v>3</v>
      </c>
      <c r="H745" t="n">
        <v>0</v>
      </c>
      <c r="I745" t="n">
        <v>0</v>
      </c>
      <c r="J745" t="n">
        <v>0</v>
      </c>
      <c r="K745" t="n">
        <v>0</v>
      </c>
      <c r="L745" t="n">
        <v>0</v>
      </c>
      <c r="M745" t="n">
        <v>0</v>
      </c>
      <c r="N745" t="n">
        <v>0</v>
      </c>
      <c r="O745" t="n">
        <v>0</v>
      </c>
      <c r="P745" t="n">
        <v>0</v>
      </c>
      <c r="Q745" t="n">
        <v>0</v>
      </c>
      <c r="R745" s="2" t="inlineStr"/>
    </row>
    <row r="746" ht="15" customHeight="1">
      <c r="A746" t="inlineStr">
        <is>
          <t>A 23100-2025</t>
        </is>
      </c>
      <c r="B746" s="1" t="n">
        <v>45791.35212962963</v>
      </c>
      <c r="C746" s="1" t="n">
        <v>46062</v>
      </c>
      <c r="D746" t="inlineStr">
        <is>
          <t>JÄMTLANDS LÄN</t>
        </is>
      </c>
      <c r="E746" t="inlineStr">
        <is>
          <t>ÖSTERSUND</t>
        </is>
      </c>
      <c r="G746" t="n">
        <v>4.5</v>
      </c>
      <c r="H746" t="n">
        <v>0</v>
      </c>
      <c r="I746" t="n">
        <v>0</v>
      </c>
      <c r="J746" t="n">
        <v>0</v>
      </c>
      <c r="K746" t="n">
        <v>0</v>
      </c>
      <c r="L746" t="n">
        <v>0</v>
      </c>
      <c r="M746" t="n">
        <v>0</v>
      </c>
      <c r="N746" t="n">
        <v>0</v>
      </c>
      <c r="O746" t="n">
        <v>0</v>
      </c>
      <c r="P746" t="n">
        <v>0</v>
      </c>
      <c r="Q746" t="n">
        <v>0</v>
      </c>
      <c r="R746" s="2" t="inlineStr"/>
    </row>
    <row r="747" ht="15" customHeight="1">
      <c r="A747" t="inlineStr">
        <is>
          <t>A 23110-2025</t>
        </is>
      </c>
      <c r="B747" s="1" t="n">
        <v>45791.36526620371</v>
      </c>
      <c r="C747" s="1" t="n">
        <v>46062</v>
      </c>
      <c r="D747" t="inlineStr">
        <is>
          <t>JÄMTLANDS LÄN</t>
        </is>
      </c>
      <c r="E747" t="inlineStr">
        <is>
          <t>ÖSTERSUND</t>
        </is>
      </c>
      <c r="G747" t="n">
        <v>1</v>
      </c>
      <c r="H747" t="n">
        <v>0</v>
      </c>
      <c r="I747" t="n">
        <v>0</v>
      </c>
      <c r="J747" t="n">
        <v>0</v>
      </c>
      <c r="K747" t="n">
        <v>0</v>
      </c>
      <c r="L747" t="n">
        <v>0</v>
      </c>
      <c r="M747" t="n">
        <v>0</v>
      </c>
      <c r="N747" t="n">
        <v>0</v>
      </c>
      <c r="O747" t="n">
        <v>0</v>
      </c>
      <c r="P747" t="n">
        <v>0</v>
      </c>
      <c r="Q747" t="n">
        <v>0</v>
      </c>
      <c r="R747" s="2" t="inlineStr"/>
    </row>
    <row r="748" ht="15" customHeight="1">
      <c r="A748" t="inlineStr">
        <is>
          <t>A 22920-2025</t>
        </is>
      </c>
      <c r="B748" s="1" t="n">
        <v>45790.43905092592</v>
      </c>
      <c r="C748" s="1" t="n">
        <v>46062</v>
      </c>
      <c r="D748" t="inlineStr">
        <is>
          <t>JÄMTLANDS LÄN</t>
        </is>
      </c>
      <c r="E748" t="inlineStr">
        <is>
          <t>ÖSTERSUND</t>
        </is>
      </c>
      <c r="G748" t="n">
        <v>0.4</v>
      </c>
      <c r="H748" t="n">
        <v>0</v>
      </c>
      <c r="I748" t="n">
        <v>0</v>
      </c>
      <c r="J748" t="n">
        <v>0</v>
      </c>
      <c r="K748" t="n">
        <v>0</v>
      </c>
      <c r="L748" t="n">
        <v>0</v>
      </c>
      <c r="M748" t="n">
        <v>0</v>
      </c>
      <c r="N748" t="n">
        <v>0</v>
      </c>
      <c r="O748" t="n">
        <v>0</v>
      </c>
      <c r="P748" t="n">
        <v>0</v>
      </c>
      <c r="Q748" t="n">
        <v>0</v>
      </c>
      <c r="R748" s="2" t="inlineStr"/>
    </row>
    <row r="749" ht="15" customHeight="1">
      <c r="A749" t="inlineStr">
        <is>
          <t>A 23078-2025</t>
        </is>
      </c>
      <c r="B749" s="1" t="n">
        <v>45791.27984953704</v>
      </c>
      <c r="C749" s="1" t="n">
        <v>46062</v>
      </c>
      <c r="D749" t="inlineStr">
        <is>
          <t>JÄMTLANDS LÄN</t>
        </is>
      </c>
      <c r="E749" t="inlineStr">
        <is>
          <t>ÖSTERSUND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23877-2025</t>
        </is>
      </c>
      <c r="B750" s="1" t="n">
        <v>45793.68469907407</v>
      </c>
      <c r="C750" s="1" t="n">
        <v>46062</v>
      </c>
      <c r="D750" t="inlineStr">
        <is>
          <t>JÄMTLANDS LÄN</t>
        </is>
      </c>
      <c r="E750" t="inlineStr">
        <is>
          <t>ÖSTERSUND</t>
        </is>
      </c>
      <c r="G750" t="n">
        <v>0.5</v>
      </c>
      <c r="H750" t="n">
        <v>0</v>
      </c>
      <c r="I750" t="n">
        <v>0</v>
      </c>
      <c r="J750" t="n">
        <v>0</v>
      </c>
      <c r="K750" t="n">
        <v>0</v>
      </c>
      <c r="L750" t="n">
        <v>0</v>
      </c>
      <c r="M750" t="n">
        <v>0</v>
      </c>
      <c r="N750" t="n">
        <v>0</v>
      </c>
      <c r="O750" t="n">
        <v>0</v>
      </c>
      <c r="P750" t="n">
        <v>0</v>
      </c>
      <c r="Q750" t="n">
        <v>0</v>
      </c>
      <c r="R750" s="2" t="inlineStr"/>
    </row>
    <row r="751" ht="15" customHeight="1">
      <c r="A751" t="inlineStr">
        <is>
          <t>A 24403-2025</t>
        </is>
      </c>
      <c r="B751" s="1" t="n">
        <v>45797.65025462963</v>
      </c>
      <c r="C751" s="1" t="n">
        <v>46062</v>
      </c>
      <c r="D751" t="inlineStr">
        <is>
          <t>JÄMTLANDS LÄN</t>
        </is>
      </c>
      <c r="E751" t="inlineStr">
        <is>
          <t>ÖSTERSUND</t>
        </is>
      </c>
      <c r="G751" t="n">
        <v>1.3</v>
      </c>
      <c r="H751" t="n">
        <v>0</v>
      </c>
      <c r="I751" t="n">
        <v>0</v>
      </c>
      <c r="J751" t="n">
        <v>0</v>
      </c>
      <c r="K751" t="n">
        <v>0</v>
      </c>
      <c r="L751" t="n">
        <v>0</v>
      </c>
      <c r="M751" t="n">
        <v>0</v>
      </c>
      <c r="N751" t="n">
        <v>0</v>
      </c>
      <c r="O751" t="n">
        <v>0</v>
      </c>
      <c r="P751" t="n">
        <v>0</v>
      </c>
      <c r="Q751" t="n">
        <v>0</v>
      </c>
      <c r="R751" s="2" t="inlineStr"/>
    </row>
    <row r="752">
      <c r="A752" t="inlineStr">
        <is>
          <t>A 41780-2024</t>
        </is>
      </c>
      <c r="B752" s="1" t="n">
        <v>45561.34908564815</v>
      </c>
      <c r="C752" s="1" t="n">
        <v>46062</v>
      </c>
      <c r="D752" t="inlineStr">
        <is>
          <t>JÄMTLANDS LÄN</t>
        </is>
      </c>
      <c r="E752" t="inlineStr">
        <is>
          <t>ÖSTERSUND</t>
        </is>
      </c>
      <c r="F752" t="inlineStr">
        <is>
          <t>SCA</t>
        </is>
      </c>
      <c r="G752" t="n">
        <v>1.3</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2026-02-09T19:42:06Z</dcterms:created>
  <dcterms:modified xmlns:dcterms="http://purl.org/dc/terms/" xmlns:xsi="http://www.w3.org/2001/XMLSchema-instance" xsi:type="dcterms:W3CDTF">2026-02-09T19:42:07Z</dcterms:modified>
</cp:coreProperties>
</file>